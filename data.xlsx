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Z:\PRJ-SureStock_Pre\"/>
    </mc:Choice>
  </mc:AlternateContent>
  <xr:revisionPtr revIDLastSave="0" documentId="13_ncr:1_{8CD3AF65-7134-4ED6-8931-413B81E41485}" xr6:coauthVersionLast="47" xr6:coauthVersionMax="47" xr10:uidLastSave="{00000000-0000-0000-0000-000000000000}"/>
  <bookViews>
    <workbookView xWindow="-110" yWindow="-110" windowWidth="19420" windowHeight="11500" firstSheet="2" activeTab="2" xr2:uid="{F9C5881D-FC8E-42A0-8644-89BF1B76192E}"/>
  </bookViews>
  <sheets>
    <sheet name="All data" sheetId="1" r:id="rId1"/>
    <sheet name="Histograms" sheetId="5" r:id="rId2"/>
    <sheet name="Raw data" sheetId="2" r:id="rId3"/>
    <sheet name="ADG calculations" sheetId="3" r:id="rId4"/>
    <sheet name="FOO" sheetId="4" r:id="rId5"/>
  </sheets>
  <definedNames>
    <definedName name="_xlnm._FilterDatabase" localSheetId="3" hidden="1">'ADG calculations'!$A$1:$Q$1</definedName>
    <definedName name="_xlnm._FilterDatabase" localSheetId="0" hidden="1">'All data'!$A$1:$BZ$1</definedName>
    <definedName name="_xlnm._FilterDatabase" localSheetId="4" hidden="1">FOO!$A$1:$BX$1</definedName>
    <definedName name="_xlnm._FilterDatabase" localSheetId="2" hidden="1">'Raw data'!$A$1:$BA$196</definedName>
    <definedName name="_xlchart.v1.0" hidden="1">'All data'!$S$2:$S$50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G3" i="4" l="1"/>
  <c r="G2" i="4"/>
  <c r="R50" i="4"/>
  <c r="L50" i="4"/>
  <c r="K50" i="4"/>
  <c r="J50" i="4"/>
  <c r="H50" i="4"/>
  <c r="G50" i="4"/>
  <c r="R49" i="4"/>
  <c r="L49" i="4"/>
  <c r="K49" i="4"/>
  <c r="J49" i="4"/>
  <c r="H49" i="4"/>
  <c r="G49" i="4"/>
  <c r="Y48" i="4"/>
  <c r="R48" i="4"/>
  <c r="P48" i="4"/>
  <c r="O48" i="4"/>
  <c r="N48" i="4"/>
  <c r="L48" i="4"/>
  <c r="K48" i="4"/>
  <c r="J48" i="4"/>
  <c r="H48" i="4"/>
  <c r="G48" i="4"/>
  <c r="Y47" i="4"/>
  <c r="R47" i="4"/>
  <c r="P47" i="4"/>
  <c r="O47" i="4"/>
  <c r="N47" i="4"/>
  <c r="L47" i="4"/>
  <c r="K47" i="4"/>
  <c r="J47" i="4"/>
  <c r="H47" i="4"/>
  <c r="G47" i="4"/>
  <c r="Y46" i="4"/>
  <c r="R46" i="4"/>
  <c r="P46" i="4"/>
  <c r="O46" i="4"/>
  <c r="N46" i="4"/>
  <c r="L46" i="4"/>
  <c r="K46" i="4"/>
  <c r="J46" i="4"/>
  <c r="H46" i="4"/>
  <c r="G46" i="4"/>
  <c r="Y45" i="4"/>
  <c r="R45" i="4"/>
  <c r="P45" i="4"/>
  <c r="H45" i="4"/>
  <c r="G45" i="4"/>
  <c r="Y44" i="4"/>
  <c r="R44" i="4"/>
  <c r="P44" i="4"/>
  <c r="O44" i="4"/>
  <c r="N44" i="4"/>
  <c r="L44" i="4"/>
  <c r="K44" i="4"/>
  <c r="J44" i="4"/>
  <c r="H44" i="4"/>
  <c r="G44" i="4"/>
  <c r="Y43" i="4"/>
  <c r="R43" i="4"/>
  <c r="P43" i="4"/>
  <c r="O43" i="4"/>
  <c r="N43" i="4"/>
  <c r="L43" i="4"/>
  <c r="K43" i="4"/>
  <c r="J43" i="4"/>
  <c r="H43" i="4"/>
  <c r="G43" i="4"/>
  <c r="Y42" i="4"/>
  <c r="R42" i="4"/>
  <c r="P42" i="4"/>
  <c r="O42" i="4"/>
  <c r="N42" i="4"/>
  <c r="L42" i="4"/>
  <c r="K42" i="4"/>
  <c r="J42" i="4"/>
  <c r="H42" i="4"/>
  <c r="G42" i="4"/>
  <c r="Y41" i="4"/>
  <c r="R41" i="4"/>
  <c r="P41" i="4"/>
  <c r="O41" i="4"/>
  <c r="N41" i="4"/>
  <c r="L41" i="4"/>
  <c r="K41" i="4"/>
  <c r="J41" i="4"/>
  <c r="H41" i="4"/>
  <c r="G41" i="4"/>
  <c r="Y40" i="4"/>
  <c r="R40" i="4"/>
  <c r="P40" i="4"/>
  <c r="O40" i="4"/>
  <c r="N40" i="4"/>
  <c r="L40" i="4"/>
  <c r="K40" i="4"/>
  <c r="J40" i="4"/>
  <c r="H40" i="4"/>
  <c r="G40" i="4"/>
  <c r="Y39" i="4"/>
  <c r="R39" i="4"/>
  <c r="P39" i="4"/>
  <c r="O39" i="4"/>
  <c r="N39" i="4"/>
  <c r="L39" i="4"/>
  <c r="K39" i="4"/>
  <c r="J39" i="4"/>
  <c r="H39" i="4"/>
  <c r="G39" i="4"/>
  <c r="Y38" i="4"/>
  <c r="R38" i="4"/>
  <c r="P38" i="4"/>
  <c r="O38" i="4"/>
  <c r="N38" i="4"/>
  <c r="L38" i="4"/>
  <c r="K38" i="4"/>
  <c r="J38" i="4"/>
  <c r="H38" i="4"/>
  <c r="G38" i="4"/>
  <c r="Y37" i="4"/>
  <c r="R37" i="4"/>
  <c r="P37" i="4"/>
  <c r="O37" i="4"/>
  <c r="N37" i="4"/>
  <c r="L37" i="4"/>
  <c r="K37" i="4"/>
  <c r="J37" i="4"/>
  <c r="H37" i="4"/>
  <c r="G37" i="4"/>
  <c r="Y36" i="4"/>
  <c r="R36" i="4"/>
  <c r="P36" i="4"/>
  <c r="O36" i="4"/>
  <c r="N36" i="4"/>
  <c r="L36" i="4"/>
  <c r="K36" i="4"/>
  <c r="J36" i="4"/>
  <c r="H36" i="4"/>
  <c r="G36" i="4"/>
  <c r="Y35" i="4"/>
  <c r="R35" i="4"/>
  <c r="P35" i="4"/>
  <c r="O35" i="4"/>
  <c r="N35" i="4"/>
  <c r="L35" i="4"/>
  <c r="K35" i="4"/>
  <c r="J35" i="4"/>
  <c r="H35" i="4"/>
  <c r="G35" i="4"/>
  <c r="Y34" i="4"/>
  <c r="R34" i="4"/>
  <c r="P34" i="4"/>
  <c r="O34" i="4"/>
  <c r="N34" i="4"/>
  <c r="L34" i="4"/>
  <c r="K34" i="4"/>
  <c r="J34" i="4"/>
  <c r="H34" i="4"/>
  <c r="G34" i="4"/>
  <c r="Y33" i="4"/>
  <c r="R33" i="4"/>
  <c r="P33" i="4"/>
  <c r="O33" i="4"/>
  <c r="N33" i="4"/>
  <c r="L33" i="4"/>
  <c r="K33" i="4"/>
  <c r="J33" i="4"/>
  <c r="H33" i="4"/>
  <c r="G33" i="4"/>
  <c r="Y32" i="4"/>
  <c r="R32" i="4"/>
  <c r="P32" i="4"/>
  <c r="H32" i="4"/>
  <c r="G32" i="4"/>
  <c r="Y31" i="4"/>
  <c r="R31" i="4"/>
  <c r="P31" i="4"/>
  <c r="O31" i="4"/>
  <c r="N31" i="4"/>
  <c r="L31" i="4"/>
  <c r="K31" i="4"/>
  <c r="J31" i="4"/>
  <c r="H31" i="4"/>
  <c r="G31" i="4"/>
  <c r="Y30" i="4"/>
  <c r="R30" i="4"/>
  <c r="P30" i="4"/>
  <c r="O30" i="4"/>
  <c r="N30" i="4"/>
  <c r="L30" i="4"/>
  <c r="K30" i="4"/>
  <c r="J30" i="4"/>
  <c r="H30" i="4"/>
  <c r="G30" i="4"/>
  <c r="Y29" i="4"/>
  <c r="R29" i="4"/>
  <c r="P29" i="4"/>
  <c r="O29" i="4"/>
  <c r="N29" i="4"/>
  <c r="L29" i="4"/>
  <c r="K29" i="4"/>
  <c r="J29" i="4"/>
  <c r="H29" i="4"/>
  <c r="G29" i="4"/>
  <c r="Y28" i="4"/>
  <c r="R28" i="4"/>
  <c r="P28" i="4"/>
  <c r="O28" i="4"/>
  <c r="N28" i="4"/>
  <c r="L28" i="4"/>
  <c r="K28" i="4"/>
  <c r="J28" i="4"/>
  <c r="H28" i="4"/>
  <c r="G28" i="4"/>
  <c r="Y27" i="4"/>
  <c r="R27" i="4"/>
  <c r="P27" i="4"/>
  <c r="O27" i="4"/>
  <c r="N27" i="4"/>
  <c r="L27" i="4"/>
  <c r="K27" i="4"/>
  <c r="J27" i="4"/>
  <c r="H27" i="4"/>
  <c r="G27" i="4"/>
  <c r="Y26" i="4"/>
  <c r="R26" i="4"/>
  <c r="P26" i="4"/>
  <c r="O26" i="4"/>
  <c r="N26" i="4"/>
  <c r="L26" i="4"/>
  <c r="K26" i="4"/>
  <c r="J26" i="4"/>
  <c r="H26" i="4"/>
  <c r="G26" i="4"/>
  <c r="Y25" i="4"/>
  <c r="R25" i="4"/>
  <c r="P25" i="4"/>
  <c r="O25" i="4"/>
  <c r="N25" i="4"/>
  <c r="L25" i="4"/>
  <c r="K25" i="4"/>
  <c r="J25" i="4"/>
  <c r="H25" i="4"/>
  <c r="G25" i="4"/>
  <c r="Y24" i="4"/>
  <c r="R24" i="4"/>
  <c r="P24" i="4"/>
  <c r="O24" i="4"/>
  <c r="N24" i="4"/>
  <c r="L24" i="4"/>
  <c r="K24" i="4"/>
  <c r="J24" i="4"/>
  <c r="H24" i="4"/>
  <c r="G24" i="4"/>
  <c r="Y23" i="4"/>
  <c r="R23" i="4"/>
  <c r="P23" i="4"/>
  <c r="O23" i="4"/>
  <c r="N23" i="4"/>
  <c r="L23" i="4"/>
  <c r="K23" i="4"/>
  <c r="J23" i="4"/>
  <c r="H23" i="4"/>
  <c r="G23" i="4"/>
  <c r="Y22" i="4"/>
  <c r="R22" i="4"/>
  <c r="P22" i="4"/>
  <c r="O22" i="4"/>
  <c r="N22" i="4"/>
  <c r="L22" i="4"/>
  <c r="K22" i="4"/>
  <c r="J22" i="4"/>
  <c r="H22" i="4"/>
  <c r="G22" i="4"/>
  <c r="Y21" i="4"/>
  <c r="R21" i="4"/>
  <c r="P21" i="4"/>
  <c r="O21" i="4"/>
  <c r="N21" i="4"/>
  <c r="L21" i="4"/>
  <c r="K21" i="4"/>
  <c r="J21" i="4"/>
  <c r="H21" i="4"/>
  <c r="G21" i="4"/>
  <c r="Y20" i="4"/>
  <c r="R20" i="4"/>
  <c r="P20" i="4"/>
  <c r="O20" i="4"/>
  <c r="N20" i="4"/>
  <c r="L20" i="4"/>
  <c r="K20" i="4"/>
  <c r="J20" i="4"/>
  <c r="H20" i="4"/>
  <c r="G20" i="4"/>
  <c r="Y19" i="4"/>
  <c r="R19" i="4"/>
  <c r="P19" i="4"/>
  <c r="O19" i="4"/>
  <c r="N19" i="4"/>
  <c r="L19" i="4"/>
  <c r="K19" i="4"/>
  <c r="J19" i="4"/>
  <c r="H19" i="4"/>
  <c r="G19" i="4"/>
  <c r="Y18" i="4"/>
  <c r="R18" i="4"/>
  <c r="P18" i="4"/>
  <c r="O18" i="4"/>
  <c r="N18" i="4"/>
  <c r="L18" i="4"/>
  <c r="K18" i="4"/>
  <c r="J18" i="4"/>
  <c r="H18" i="4"/>
  <c r="G18" i="4"/>
  <c r="Y17" i="4"/>
  <c r="R17" i="4"/>
  <c r="P17" i="4"/>
  <c r="O17" i="4"/>
  <c r="N17" i="4"/>
  <c r="L17" i="4"/>
  <c r="K17" i="4"/>
  <c r="J17" i="4"/>
  <c r="H17" i="4"/>
  <c r="G17" i="4"/>
  <c r="Y16" i="4"/>
  <c r="R16" i="4"/>
  <c r="P16" i="4"/>
  <c r="O16" i="4"/>
  <c r="N16" i="4"/>
  <c r="L16" i="4"/>
  <c r="K16" i="4"/>
  <c r="J16" i="4"/>
  <c r="H16" i="4"/>
  <c r="G16" i="4"/>
  <c r="Y15" i="4"/>
  <c r="R15" i="4"/>
  <c r="P15" i="4"/>
  <c r="O15" i="4"/>
  <c r="N15" i="4"/>
  <c r="L15" i="4"/>
  <c r="K15" i="4"/>
  <c r="J15" i="4"/>
  <c r="H15" i="4"/>
  <c r="G15" i="4"/>
  <c r="Y14" i="4"/>
  <c r="R14" i="4"/>
  <c r="P14" i="4"/>
  <c r="O14" i="4"/>
  <c r="N14" i="4"/>
  <c r="L14" i="4"/>
  <c r="K14" i="4"/>
  <c r="J14" i="4"/>
  <c r="H14" i="4"/>
  <c r="G14" i="4"/>
  <c r="Y13" i="4"/>
  <c r="R13" i="4"/>
  <c r="P13" i="4"/>
  <c r="O13" i="4"/>
  <c r="N13" i="4"/>
  <c r="L13" i="4"/>
  <c r="K13" i="4"/>
  <c r="J13" i="4"/>
  <c r="H13" i="4"/>
  <c r="G13" i="4"/>
  <c r="Y12" i="4"/>
  <c r="R12" i="4"/>
  <c r="P12" i="4"/>
  <c r="O12" i="4"/>
  <c r="N12" i="4"/>
  <c r="L12" i="4"/>
  <c r="K12" i="4"/>
  <c r="J12" i="4"/>
  <c r="H12" i="4"/>
  <c r="G12" i="4"/>
  <c r="Y11" i="4"/>
  <c r="R11" i="4"/>
  <c r="P11" i="4"/>
  <c r="O11" i="4"/>
  <c r="N11" i="4"/>
  <c r="L11" i="4"/>
  <c r="K11" i="4"/>
  <c r="J11" i="4"/>
  <c r="H11" i="4"/>
  <c r="G11" i="4"/>
  <c r="Y10" i="4"/>
  <c r="R10" i="4"/>
  <c r="P10" i="4"/>
  <c r="O10" i="4"/>
  <c r="N10" i="4"/>
  <c r="L10" i="4"/>
  <c r="K10" i="4"/>
  <c r="J10" i="4"/>
  <c r="H10" i="4"/>
  <c r="G10" i="4"/>
  <c r="Y9" i="4"/>
  <c r="R9" i="4"/>
  <c r="P9" i="4"/>
  <c r="O9" i="4"/>
  <c r="N9" i="4"/>
  <c r="L9" i="4"/>
  <c r="K9" i="4"/>
  <c r="J9" i="4"/>
  <c r="H9" i="4"/>
  <c r="G9" i="4"/>
  <c r="Y8" i="4"/>
  <c r="R8" i="4"/>
  <c r="P8" i="4"/>
  <c r="O8" i="4"/>
  <c r="N8" i="4"/>
  <c r="L8" i="4"/>
  <c r="K8" i="4"/>
  <c r="J8" i="4"/>
  <c r="H8" i="4"/>
  <c r="G8" i="4"/>
  <c r="Y7" i="4"/>
  <c r="R7" i="4"/>
  <c r="P7" i="4"/>
  <c r="O7" i="4"/>
  <c r="N7" i="4"/>
  <c r="L7" i="4"/>
  <c r="K7" i="4"/>
  <c r="J7" i="4"/>
  <c r="H7" i="4"/>
  <c r="G7" i="4"/>
  <c r="Y6" i="4"/>
  <c r="R6" i="4"/>
  <c r="P6" i="4"/>
  <c r="O6" i="4"/>
  <c r="N6" i="4"/>
  <c r="L6" i="4"/>
  <c r="K6" i="4"/>
  <c r="J6" i="4"/>
  <c r="H6" i="4"/>
  <c r="G6" i="4"/>
  <c r="Y5" i="4"/>
  <c r="R5" i="4"/>
  <c r="P5" i="4"/>
  <c r="O5" i="4"/>
  <c r="N5" i="4"/>
  <c r="L5" i="4"/>
  <c r="K5" i="4"/>
  <c r="J5" i="4"/>
  <c r="H5" i="4"/>
  <c r="G5" i="4"/>
  <c r="Y4" i="4"/>
  <c r="R4" i="4"/>
  <c r="P4" i="4"/>
  <c r="O4" i="4"/>
  <c r="N4" i="4"/>
  <c r="L4" i="4"/>
  <c r="K4" i="4"/>
  <c r="J4" i="4"/>
  <c r="H4" i="4"/>
  <c r="G4" i="4"/>
  <c r="Y3" i="4"/>
  <c r="R3" i="4"/>
  <c r="P3" i="4"/>
  <c r="O3" i="4"/>
  <c r="N3" i="4"/>
  <c r="L3" i="4"/>
  <c r="K3" i="4"/>
  <c r="J3" i="4"/>
  <c r="H3" i="4"/>
  <c r="Y2" i="4"/>
  <c r="R2" i="4"/>
  <c r="P2" i="4"/>
  <c r="O2" i="4"/>
  <c r="N2" i="4"/>
  <c r="L2" i="4"/>
  <c r="K2" i="4"/>
  <c r="J2" i="4"/>
  <c r="H2" i="4"/>
  <c r="AA40" i="1"/>
  <c r="AA45" i="1"/>
  <c r="AA13" i="1"/>
  <c r="AA15" i="1"/>
  <c r="AA30" i="1"/>
  <c r="AA48" i="1"/>
  <c r="AA27" i="1"/>
  <c r="AA29" i="1"/>
  <c r="AA42" i="1"/>
  <c r="AA16" i="1"/>
  <c r="AA37" i="1"/>
  <c r="AA46" i="1"/>
  <c r="AA6" i="1"/>
  <c r="AA8" i="1"/>
  <c r="AA14" i="1"/>
  <c r="AA17" i="1"/>
  <c r="AA26" i="1"/>
  <c r="AA41" i="1"/>
  <c r="AA50" i="1"/>
  <c r="AA12" i="1"/>
  <c r="AA20" i="1"/>
  <c r="AA24" i="1"/>
  <c r="AA28" i="1"/>
  <c r="AA36" i="1"/>
  <c r="AA43" i="1"/>
  <c r="AA44" i="1"/>
  <c r="AA31" i="1"/>
  <c r="AA32" i="1"/>
  <c r="AA38" i="1"/>
  <c r="AA7" i="1"/>
  <c r="AA10" i="1"/>
  <c r="AA11" i="1"/>
  <c r="AA19" i="1"/>
  <c r="AA34" i="1"/>
  <c r="AA49" i="1"/>
  <c r="AA4" i="1"/>
  <c r="AA18" i="1"/>
  <c r="AA22" i="1"/>
  <c r="AA47" i="1"/>
  <c r="AA5" i="1"/>
  <c r="AA21" i="1"/>
  <c r="AA33" i="1"/>
  <c r="AA9" i="1"/>
  <c r="AA23" i="1"/>
  <c r="AA39" i="1"/>
  <c r="AA25" i="1"/>
  <c r="AA35" i="1"/>
  <c r="S3" i="1"/>
  <c r="Q49" i="3"/>
  <c r="O49" i="3"/>
  <c r="N49" i="3"/>
  <c r="M49" i="3"/>
  <c r="K49" i="3"/>
  <c r="J49" i="3"/>
  <c r="I49" i="3"/>
  <c r="G49" i="3"/>
  <c r="F49" i="3"/>
  <c r="Q48" i="3"/>
  <c r="O48" i="3"/>
  <c r="N48" i="3"/>
  <c r="M48" i="3"/>
  <c r="K48" i="3"/>
  <c r="J48" i="3"/>
  <c r="I48" i="3"/>
  <c r="G48" i="3"/>
  <c r="F48" i="3"/>
  <c r="Q47" i="3"/>
  <c r="O47" i="3"/>
  <c r="N47" i="3"/>
  <c r="M47" i="3"/>
  <c r="K47" i="3"/>
  <c r="J47" i="3"/>
  <c r="I47" i="3"/>
  <c r="G47" i="3"/>
  <c r="F47" i="3"/>
  <c r="Q46" i="3"/>
  <c r="O46" i="3"/>
  <c r="N46" i="3"/>
  <c r="M46" i="3"/>
  <c r="K46" i="3"/>
  <c r="J46" i="3"/>
  <c r="I46" i="3"/>
  <c r="G46" i="3"/>
  <c r="F46" i="3"/>
  <c r="Q45" i="3"/>
  <c r="O45" i="3"/>
  <c r="N45" i="3"/>
  <c r="M45" i="3"/>
  <c r="K45" i="3"/>
  <c r="J45" i="3"/>
  <c r="I45" i="3"/>
  <c r="G45" i="3"/>
  <c r="F45" i="3"/>
  <c r="Q44" i="3"/>
  <c r="O44" i="3"/>
  <c r="N44" i="3"/>
  <c r="M44" i="3"/>
  <c r="K44" i="3"/>
  <c r="J44" i="3"/>
  <c r="I44" i="3"/>
  <c r="G44" i="3"/>
  <c r="F44" i="3"/>
  <c r="Q43" i="3"/>
  <c r="O43" i="3"/>
  <c r="N43" i="3"/>
  <c r="M43" i="3"/>
  <c r="K43" i="3"/>
  <c r="J43" i="3"/>
  <c r="I43" i="3"/>
  <c r="G43" i="3"/>
  <c r="F43" i="3"/>
  <c r="Q42" i="3"/>
  <c r="O42" i="3"/>
  <c r="N42" i="3"/>
  <c r="M42" i="3"/>
  <c r="K42" i="3"/>
  <c r="J42" i="3"/>
  <c r="I42" i="3"/>
  <c r="G42" i="3"/>
  <c r="F42" i="3"/>
  <c r="Q41" i="3"/>
  <c r="O41" i="3"/>
  <c r="N41" i="3"/>
  <c r="M41" i="3"/>
  <c r="K41" i="3"/>
  <c r="J41" i="3"/>
  <c r="I41" i="3"/>
  <c r="G41" i="3"/>
  <c r="F41" i="3"/>
  <c r="Q40" i="3"/>
  <c r="O40" i="3"/>
  <c r="N40" i="3"/>
  <c r="M40" i="3"/>
  <c r="K40" i="3"/>
  <c r="J40" i="3"/>
  <c r="I40" i="3"/>
  <c r="G40" i="3"/>
  <c r="F40" i="3"/>
  <c r="Q39" i="3"/>
  <c r="O39" i="3"/>
  <c r="N39" i="3"/>
  <c r="M39" i="3"/>
  <c r="K39" i="3"/>
  <c r="J39" i="3"/>
  <c r="I39" i="3"/>
  <c r="G39" i="3"/>
  <c r="F39" i="3"/>
  <c r="Q38" i="3"/>
  <c r="O38" i="3"/>
  <c r="N38" i="3"/>
  <c r="M38" i="3"/>
  <c r="K38" i="3"/>
  <c r="J38" i="3"/>
  <c r="I38" i="3"/>
  <c r="G38" i="3"/>
  <c r="F38" i="3"/>
  <c r="Q37" i="3"/>
  <c r="O37" i="3"/>
  <c r="N37" i="3"/>
  <c r="M37" i="3"/>
  <c r="K37" i="3"/>
  <c r="J37" i="3"/>
  <c r="I37" i="3"/>
  <c r="G37" i="3"/>
  <c r="F37" i="3"/>
  <c r="Q36" i="3"/>
  <c r="O36" i="3"/>
  <c r="N36" i="3"/>
  <c r="M36" i="3"/>
  <c r="K36" i="3"/>
  <c r="J36" i="3"/>
  <c r="I36" i="3"/>
  <c r="G36" i="3"/>
  <c r="F36" i="3"/>
  <c r="Q35" i="3"/>
  <c r="O35" i="3"/>
  <c r="N35" i="3"/>
  <c r="M35" i="3"/>
  <c r="K35" i="3"/>
  <c r="J35" i="3"/>
  <c r="I35" i="3"/>
  <c r="G35" i="3"/>
  <c r="F35" i="3"/>
  <c r="Q34" i="3"/>
  <c r="O34" i="3"/>
  <c r="N34" i="3"/>
  <c r="M34" i="3"/>
  <c r="K34" i="3"/>
  <c r="J34" i="3"/>
  <c r="I34" i="3"/>
  <c r="G34" i="3"/>
  <c r="F34" i="3"/>
  <c r="Q33" i="3"/>
  <c r="O33" i="3"/>
  <c r="N33" i="3"/>
  <c r="M33" i="3"/>
  <c r="K33" i="3"/>
  <c r="J33" i="3"/>
  <c r="I33" i="3"/>
  <c r="G33" i="3"/>
  <c r="F33" i="3"/>
  <c r="Q32" i="3"/>
  <c r="O32" i="3"/>
  <c r="N32" i="3"/>
  <c r="M32" i="3"/>
  <c r="K32" i="3"/>
  <c r="J32" i="3"/>
  <c r="I32" i="3"/>
  <c r="G32" i="3"/>
  <c r="F32" i="3"/>
  <c r="Q31" i="3"/>
  <c r="O31" i="3"/>
  <c r="N31" i="3"/>
  <c r="M31" i="3"/>
  <c r="K31" i="3"/>
  <c r="J31" i="3"/>
  <c r="I31" i="3"/>
  <c r="G31" i="3"/>
  <c r="F31" i="3"/>
  <c r="Q30" i="3"/>
  <c r="O30" i="3"/>
  <c r="N30" i="3"/>
  <c r="M30" i="3"/>
  <c r="K30" i="3"/>
  <c r="J30" i="3"/>
  <c r="I30" i="3"/>
  <c r="G30" i="3"/>
  <c r="F30" i="3"/>
  <c r="Q29" i="3"/>
  <c r="O29" i="3"/>
  <c r="N29" i="3"/>
  <c r="M29" i="3"/>
  <c r="K29" i="3"/>
  <c r="J29" i="3"/>
  <c r="I29" i="3"/>
  <c r="G29" i="3"/>
  <c r="F29" i="3"/>
  <c r="Q28" i="3"/>
  <c r="O28" i="3"/>
  <c r="N28" i="3"/>
  <c r="M28" i="3"/>
  <c r="K28" i="3"/>
  <c r="J28" i="3"/>
  <c r="I28" i="3"/>
  <c r="G28" i="3"/>
  <c r="F28" i="3"/>
  <c r="Q27" i="3"/>
  <c r="O27" i="3"/>
  <c r="N27" i="3"/>
  <c r="M27" i="3"/>
  <c r="K27" i="3"/>
  <c r="J27" i="3"/>
  <c r="I27" i="3"/>
  <c r="G27" i="3"/>
  <c r="F27" i="3"/>
  <c r="Q26" i="3"/>
  <c r="O26" i="3"/>
  <c r="N26" i="3"/>
  <c r="M26" i="3"/>
  <c r="K26" i="3"/>
  <c r="J26" i="3"/>
  <c r="I26" i="3"/>
  <c r="G26" i="3"/>
  <c r="F26" i="3"/>
  <c r="Q25" i="3"/>
  <c r="O25" i="3"/>
  <c r="N25" i="3"/>
  <c r="M25" i="3"/>
  <c r="K25" i="3"/>
  <c r="J25" i="3"/>
  <c r="I25" i="3"/>
  <c r="G25" i="3"/>
  <c r="F25" i="3"/>
  <c r="Q24" i="3"/>
  <c r="O24" i="3"/>
  <c r="N24" i="3"/>
  <c r="M24" i="3"/>
  <c r="K24" i="3"/>
  <c r="J24" i="3"/>
  <c r="I24" i="3"/>
  <c r="G24" i="3"/>
  <c r="F24" i="3"/>
  <c r="Q23" i="3"/>
  <c r="O23" i="3"/>
  <c r="N23" i="3"/>
  <c r="M23" i="3"/>
  <c r="K23" i="3"/>
  <c r="J23" i="3"/>
  <c r="I23" i="3"/>
  <c r="G23" i="3"/>
  <c r="F23" i="3"/>
  <c r="Q22" i="3"/>
  <c r="O22" i="3"/>
  <c r="N22" i="3"/>
  <c r="M22" i="3"/>
  <c r="K22" i="3"/>
  <c r="J22" i="3"/>
  <c r="I22" i="3"/>
  <c r="G22" i="3"/>
  <c r="F22" i="3"/>
  <c r="Q21" i="3"/>
  <c r="O21" i="3"/>
  <c r="N21" i="3"/>
  <c r="M21" i="3"/>
  <c r="K21" i="3"/>
  <c r="J21" i="3"/>
  <c r="I21" i="3"/>
  <c r="G21" i="3"/>
  <c r="F21" i="3"/>
  <c r="Q20" i="3"/>
  <c r="O20" i="3"/>
  <c r="G20" i="3"/>
  <c r="F20" i="3"/>
  <c r="Q19" i="3"/>
  <c r="O19" i="3"/>
  <c r="N19" i="3"/>
  <c r="M19" i="3"/>
  <c r="K19" i="3"/>
  <c r="J19" i="3"/>
  <c r="I19" i="3"/>
  <c r="G19" i="3"/>
  <c r="F19" i="3"/>
  <c r="Q18" i="3"/>
  <c r="O18" i="3"/>
  <c r="N18" i="3"/>
  <c r="M18" i="3"/>
  <c r="K18" i="3"/>
  <c r="J18" i="3"/>
  <c r="I18" i="3"/>
  <c r="G18" i="3"/>
  <c r="F18" i="3"/>
  <c r="Q17" i="3"/>
  <c r="O17" i="3"/>
  <c r="N17" i="3"/>
  <c r="M17" i="3"/>
  <c r="K17" i="3"/>
  <c r="J17" i="3"/>
  <c r="I17" i="3"/>
  <c r="G17" i="3"/>
  <c r="F17" i="3"/>
  <c r="Q16" i="3"/>
  <c r="O16" i="3"/>
  <c r="N16" i="3"/>
  <c r="M16" i="3"/>
  <c r="K16" i="3"/>
  <c r="J16" i="3"/>
  <c r="I16" i="3"/>
  <c r="G16" i="3"/>
  <c r="F16" i="3"/>
  <c r="Q15" i="3"/>
  <c r="O15" i="3"/>
  <c r="N15" i="3"/>
  <c r="M15" i="3"/>
  <c r="K15" i="3"/>
  <c r="J15" i="3"/>
  <c r="I15" i="3"/>
  <c r="G15" i="3"/>
  <c r="F15" i="3"/>
  <c r="Q14" i="3"/>
  <c r="O14" i="3"/>
  <c r="N14" i="3"/>
  <c r="M14" i="3"/>
  <c r="K14" i="3"/>
  <c r="J14" i="3"/>
  <c r="I14" i="3"/>
  <c r="G14" i="3"/>
  <c r="F14" i="3"/>
  <c r="Q13" i="3"/>
  <c r="O13" i="3"/>
  <c r="N13" i="3"/>
  <c r="M13" i="3"/>
  <c r="K13" i="3"/>
  <c r="J13" i="3"/>
  <c r="I13" i="3"/>
  <c r="G13" i="3"/>
  <c r="F13" i="3"/>
  <c r="Q12" i="3"/>
  <c r="O12" i="3"/>
  <c r="N12" i="3"/>
  <c r="M12" i="3"/>
  <c r="K12" i="3"/>
  <c r="J12" i="3"/>
  <c r="I12" i="3"/>
  <c r="G12" i="3"/>
  <c r="F12" i="3"/>
  <c r="Q11" i="3"/>
  <c r="O11" i="3"/>
  <c r="N11" i="3"/>
  <c r="M11" i="3"/>
  <c r="K11" i="3"/>
  <c r="J11" i="3"/>
  <c r="I11" i="3"/>
  <c r="G11" i="3"/>
  <c r="F11" i="3"/>
  <c r="Q10" i="3"/>
  <c r="O10" i="3"/>
  <c r="N10" i="3"/>
  <c r="M10" i="3"/>
  <c r="K10" i="3"/>
  <c r="J10" i="3"/>
  <c r="I10" i="3"/>
  <c r="G10" i="3"/>
  <c r="F10" i="3"/>
  <c r="Q9" i="3"/>
  <c r="O9" i="3"/>
  <c r="N9" i="3"/>
  <c r="M9" i="3"/>
  <c r="K9" i="3"/>
  <c r="J9" i="3"/>
  <c r="I9" i="3"/>
  <c r="G9" i="3"/>
  <c r="F9" i="3"/>
  <c r="Q8" i="3"/>
  <c r="O8" i="3"/>
  <c r="N8" i="3"/>
  <c r="M8" i="3"/>
  <c r="K8" i="3"/>
  <c r="J8" i="3"/>
  <c r="I8" i="3"/>
  <c r="G8" i="3"/>
  <c r="F8" i="3"/>
  <c r="Q7" i="3"/>
  <c r="O7" i="3"/>
  <c r="G7" i="3"/>
  <c r="F7" i="3"/>
  <c r="Q6" i="3"/>
  <c r="O6" i="3"/>
  <c r="N6" i="3"/>
  <c r="M6" i="3"/>
  <c r="K6" i="3"/>
  <c r="J6" i="3"/>
  <c r="I6" i="3"/>
  <c r="G6" i="3"/>
  <c r="F6" i="3"/>
  <c r="Q5" i="3"/>
  <c r="O5" i="3"/>
  <c r="N5" i="3"/>
  <c r="M5" i="3"/>
  <c r="K5" i="3"/>
  <c r="J5" i="3"/>
  <c r="I5" i="3"/>
  <c r="G5" i="3"/>
  <c r="F5" i="3"/>
  <c r="Q4" i="3"/>
  <c r="O4" i="3"/>
  <c r="N4" i="3"/>
  <c r="M4" i="3"/>
  <c r="K4" i="3"/>
  <c r="J4" i="3"/>
  <c r="I4" i="3"/>
  <c r="G4" i="3"/>
  <c r="F4" i="3"/>
  <c r="Q3" i="3"/>
  <c r="K3" i="3"/>
  <c r="J3" i="3"/>
  <c r="I3" i="3"/>
  <c r="G3" i="3"/>
  <c r="F3" i="3"/>
  <c r="Q2" i="3"/>
  <c r="K2" i="3"/>
  <c r="J2" i="3"/>
  <c r="I2" i="3"/>
  <c r="G2" i="3"/>
  <c r="F2" i="3"/>
  <c r="S2" i="1"/>
  <c r="S49" i="1"/>
  <c r="S40" i="1"/>
  <c r="S21" i="1"/>
  <c r="S41" i="1"/>
  <c r="S36" i="1"/>
  <c r="S39" i="1"/>
  <c r="S30" i="1"/>
  <c r="S43" i="1"/>
  <c r="S42" i="1"/>
  <c r="S14" i="1"/>
  <c r="S22" i="1"/>
  <c r="S37" i="1"/>
  <c r="S34" i="1"/>
  <c r="S27" i="1"/>
  <c r="S50" i="1"/>
  <c r="S44" i="1"/>
  <c r="S28" i="1"/>
  <c r="S33" i="1"/>
  <c r="S25" i="1"/>
  <c r="S48" i="1"/>
  <c r="S12" i="1"/>
  <c r="S35" i="1"/>
  <c r="S4" i="1"/>
  <c r="S8" i="1"/>
  <c r="S23" i="1"/>
  <c r="S26" i="1"/>
  <c r="S46" i="1"/>
  <c r="S11" i="1"/>
  <c r="S29" i="1"/>
  <c r="S31" i="1"/>
  <c r="S24" i="1"/>
  <c r="S19" i="1"/>
  <c r="S38" i="1"/>
  <c r="S17" i="1"/>
  <c r="S20" i="1"/>
  <c r="S9" i="1"/>
  <c r="S15" i="1"/>
  <c r="S10" i="1"/>
  <c r="S18" i="1"/>
  <c r="S16" i="1"/>
  <c r="S13" i="1"/>
  <c r="S47" i="1"/>
  <c r="S5" i="1"/>
  <c r="S45" i="1"/>
  <c r="S32" i="1"/>
  <c r="S6" i="1"/>
  <c r="Q49" i="1"/>
  <c r="Q40" i="1"/>
  <c r="Q21" i="1"/>
  <c r="Q41" i="1"/>
  <c r="Q36" i="1"/>
  <c r="Q39" i="1"/>
  <c r="Q30" i="1"/>
  <c r="Q43" i="1"/>
  <c r="Q42" i="1"/>
  <c r="Q14" i="1"/>
  <c r="Q22" i="1"/>
  <c r="Q37" i="1"/>
  <c r="Q34" i="1"/>
  <c r="Q27" i="1"/>
  <c r="Q50" i="1"/>
  <c r="Q44" i="1"/>
  <c r="Q28" i="1"/>
  <c r="Q33" i="1"/>
  <c r="Q25" i="1"/>
  <c r="Q48" i="1"/>
  <c r="Q12" i="1"/>
  <c r="Q35" i="1"/>
  <c r="Q4" i="1"/>
  <c r="Q8" i="1"/>
  <c r="Q23" i="1"/>
  <c r="Q26" i="1"/>
  <c r="Q46" i="1"/>
  <c r="Q11" i="1"/>
  <c r="Q29" i="1"/>
  <c r="Q31" i="1"/>
  <c r="Q24" i="1"/>
  <c r="Q19" i="1"/>
  <c r="Q38" i="1"/>
  <c r="Q17" i="1"/>
  <c r="Q20" i="1"/>
  <c r="Q9" i="1"/>
  <c r="Q15" i="1"/>
  <c r="Q10" i="1"/>
  <c r="Q18" i="1"/>
  <c r="Q16" i="1"/>
  <c r="Q13" i="1"/>
  <c r="Q47" i="1"/>
  <c r="Q5" i="1"/>
  <c r="Q45" i="1"/>
  <c r="Q32" i="1"/>
  <c r="Q6" i="1"/>
  <c r="Q7" i="1"/>
  <c r="P40" i="1"/>
  <c r="P21" i="1"/>
  <c r="P41" i="1"/>
  <c r="P36" i="1"/>
  <c r="P39" i="1"/>
  <c r="P30" i="1"/>
  <c r="P43" i="1"/>
  <c r="P42" i="1"/>
  <c r="P14" i="1"/>
  <c r="P22" i="1"/>
  <c r="P37" i="1"/>
  <c r="P34" i="1"/>
  <c r="P27" i="1"/>
  <c r="P50" i="1"/>
  <c r="P44" i="1"/>
  <c r="P28" i="1"/>
  <c r="P33" i="1"/>
  <c r="P25" i="1"/>
  <c r="P48" i="1"/>
  <c r="P12" i="1"/>
  <c r="P35" i="1"/>
  <c r="P4" i="1"/>
  <c r="P8" i="1"/>
  <c r="P23" i="1"/>
  <c r="P26" i="1"/>
  <c r="P46" i="1"/>
  <c r="P11" i="1"/>
  <c r="P29" i="1"/>
  <c r="P31" i="1"/>
  <c r="P24" i="1"/>
  <c r="P19" i="1"/>
  <c r="P38" i="1"/>
  <c r="P17" i="1"/>
  <c r="P9" i="1"/>
  <c r="P15" i="1"/>
  <c r="P10" i="1"/>
  <c r="P18" i="1"/>
  <c r="P16" i="1"/>
  <c r="P13" i="1"/>
  <c r="P47" i="1"/>
  <c r="P5" i="1"/>
  <c r="P45" i="1"/>
  <c r="P32" i="1"/>
  <c r="P6" i="1"/>
  <c r="P49" i="1"/>
  <c r="O40" i="1"/>
  <c r="O21" i="1"/>
  <c r="O41" i="1"/>
  <c r="O36" i="1"/>
  <c r="O39" i="1"/>
  <c r="O30" i="1"/>
  <c r="O43" i="1"/>
  <c r="O42" i="1"/>
  <c r="O14" i="1"/>
  <c r="O22" i="1"/>
  <c r="O37" i="1"/>
  <c r="O34" i="1"/>
  <c r="O27" i="1"/>
  <c r="O50" i="1"/>
  <c r="O44" i="1"/>
  <c r="O28" i="1"/>
  <c r="O33" i="1"/>
  <c r="O25" i="1"/>
  <c r="O48" i="1"/>
  <c r="O12" i="1"/>
  <c r="O35" i="1"/>
  <c r="O4" i="1"/>
  <c r="O8" i="1"/>
  <c r="O23" i="1"/>
  <c r="O26" i="1"/>
  <c r="O46" i="1"/>
  <c r="O11" i="1"/>
  <c r="O29" i="1"/>
  <c r="O31" i="1"/>
  <c r="O24" i="1"/>
  <c r="O19" i="1"/>
  <c r="O38" i="1"/>
  <c r="O17" i="1"/>
  <c r="O9" i="1"/>
  <c r="O15" i="1"/>
  <c r="O10" i="1"/>
  <c r="O18" i="1"/>
  <c r="O16" i="1"/>
  <c r="O13" i="1"/>
  <c r="O47" i="1"/>
  <c r="O5" i="1"/>
  <c r="O45" i="1"/>
  <c r="O32" i="1"/>
  <c r="O6" i="1"/>
  <c r="O49" i="1"/>
  <c r="L40" i="1"/>
  <c r="L21" i="1"/>
  <c r="L41" i="1"/>
  <c r="L36" i="1"/>
  <c r="L39" i="1"/>
  <c r="L30" i="1"/>
  <c r="L43" i="1"/>
  <c r="L42" i="1"/>
  <c r="L14" i="1"/>
  <c r="L22" i="1"/>
  <c r="L37" i="1"/>
  <c r="L34" i="1"/>
  <c r="L27" i="1"/>
  <c r="L50" i="1"/>
  <c r="L44" i="1"/>
  <c r="L28" i="1"/>
  <c r="L33" i="1"/>
  <c r="L25" i="1"/>
  <c r="L48" i="1"/>
  <c r="L12" i="1"/>
  <c r="L35" i="1"/>
  <c r="L4" i="1"/>
  <c r="L8" i="1"/>
  <c r="L23" i="1"/>
  <c r="L26" i="1"/>
  <c r="L46" i="1"/>
  <c r="L11" i="1"/>
  <c r="L29" i="1"/>
  <c r="L31" i="1"/>
  <c r="L24" i="1"/>
  <c r="L19" i="1"/>
  <c r="L3" i="1"/>
  <c r="L38" i="1"/>
  <c r="L17" i="1"/>
  <c r="L9" i="1"/>
  <c r="L15" i="1"/>
  <c r="L10" i="1"/>
  <c r="L18" i="1"/>
  <c r="L16" i="1"/>
  <c r="L2" i="1"/>
  <c r="L13" i="1"/>
  <c r="L47" i="1"/>
  <c r="L5" i="1"/>
  <c r="L45" i="1"/>
  <c r="L32" i="1"/>
  <c r="L6" i="1"/>
  <c r="L49" i="1"/>
  <c r="K49" i="1"/>
  <c r="M40" i="1"/>
  <c r="M21" i="1"/>
  <c r="M41" i="1"/>
  <c r="M36" i="1"/>
  <c r="M39" i="1"/>
  <c r="M30" i="1"/>
  <c r="M43" i="1"/>
  <c r="M42" i="1"/>
  <c r="M14" i="1"/>
  <c r="M22" i="1"/>
  <c r="M37" i="1"/>
  <c r="M34" i="1"/>
  <c r="M27" i="1"/>
  <c r="M50" i="1"/>
  <c r="M44" i="1"/>
  <c r="M28" i="1"/>
  <c r="M33" i="1"/>
  <c r="M25" i="1"/>
  <c r="M48" i="1"/>
  <c r="M12" i="1"/>
  <c r="M35" i="1"/>
  <c r="M4" i="1"/>
  <c r="M8" i="1"/>
  <c r="M23" i="1"/>
  <c r="M26" i="1"/>
  <c r="M46" i="1"/>
  <c r="M11" i="1"/>
  <c r="M29" i="1"/>
  <c r="M31" i="1"/>
  <c r="M24" i="1"/>
  <c r="M19" i="1"/>
  <c r="M3" i="1"/>
  <c r="M38" i="1"/>
  <c r="M17" i="1"/>
  <c r="M9" i="1"/>
  <c r="M15" i="1"/>
  <c r="M10" i="1"/>
  <c r="M18" i="1"/>
  <c r="M16" i="1"/>
  <c r="M2" i="1"/>
  <c r="M13" i="1"/>
  <c r="M47" i="1"/>
  <c r="M5" i="1"/>
  <c r="M45" i="1"/>
  <c r="M32" i="1"/>
  <c r="M6" i="1"/>
  <c r="M49" i="1"/>
  <c r="K40" i="1"/>
  <c r="K21" i="1"/>
  <c r="K41" i="1"/>
  <c r="K36" i="1"/>
  <c r="K39" i="1"/>
  <c r="K30" i="1"/>
  <c r="K43" i="1"/>
  <c r="K42" i="1"/>
  <c r="K14" i="1"/>
  <c r="K22" i="1"/>
  <c r="K37" i="1"/>
  <c r="K34" i="1"/>
  <c r="K27" i="1"/>
  <c r="K50" i="1"/>
  <c r="K44" i="1"/>
  <c r="K28" i="1"/>
  <c r="K33" i="1"/>
  <c r="K25" i="1"/>
  <c r="K48" i="1"/>
  <c r="K12" i="1"/>
  <c r="K35" i="1"/>
  <c r="K4" i="1"/>
  <c r="K8" i="1"/>
  <c r="K23" i="1"/>
  <c r="K26" i="1"/>
  <c r="K46" i="1"/>
  <c r="K11" i="1"/>
  <c r="K29" i="1"/>
  <c r="K31" i="1"/>
  <c r="K24" i="1"/>
  <c r="K19" i="1"/>
  <c r="K3" i="1"/>
  <c r="K38" i="1"/>
  <c r="K17" i="1"/>
  <c r="K9" i="1"/>
  <c r="K15" i="1"/>
  <c r="K10" i="1"/>
  <c r="K18" i="1"/>
  <c r="K16" i="1"/>
  <c r="K2" i="1"/>
  <c r="K13" i="1"/>
  <c r="K47" i="1"/>
  <c r="K5" i="1"/>
  <c r="K45" i="1"/>
  <c r="K32" i="1"/>
  <c r="K6" i="1"/>
  <c r="I49" i="1"/>
  <c r="I40" i="1"/>
  <c r="I21" i="1"/>
  <c r="I41" i="1"/>
  <c r="I36" i="1"/>
  <c r="I39" i="1"/>
  <c r="I30" i="1"/>
  <c r="I43" i="1"/>
  <c r="I42" i="1"/>
  <c r="I14" i="1"/>
  <c r="I22" i="1"/>
  <c r="I37" i="1"/>
  <c r="I34" i="1"/>
  <c r="I27" i="1"/>
  <c r="I50" i="1"/>
  <c r="I44" i="1"/>
  <c r="I28" i="1"/>
  <c r="I33" i="1"/>
  <c r="I25" i="1"/>
  <c r="I48" i="1"/>
  <c r="I12" i="1"/>
  <c r="I35" i="1"/>
  <c r="I4" i="1"/>
  <c r="I8" i="1"/>
  <c r="I23" i="1"/>
  <c r="I26" i="1"/>
  <c r="I46" i="1"/>
  <c r="I11" i="1"/>
  <c r="I29" i="1"/>
  <c r="I31" i="1"/>
  <c r="I24" i="1"/>
  <c r="I19" i="1"/>
  <c r="I3" i="1"/>
  <c r="I38" i="1"/>
  <c r="I17" i="1"/>
  <c r="I20" i="1"/>
  <c r="I9" i="1"/>
  <c r="I15" i="1"/>
  <c r="I10" i="1"/>
  <c r="I18" i="1"/>
  <c r="I16" i="1"/>
  <c r="I2" i="1"/>
  <c r="I13" i="1"/>
  <c r="I47" i="1"/>
  <c r="I5" i="1"/>
  <c r="I45" i="1"/>
  <c r="I32" i="1"/>
  <c r="I6" i="1"/>
  <c r="I7" i="1"/>
  <c r="H49" i="1"/>
  <c r="H40" i="1"/>
  <c r="H21" i="1"/>
  <c r="H41" i="1"/>
  <c r="H36" i="1"/>
  <c r="H39" i="1"/>
  <c r="H30" i="1"/>
  <c r="H43" i="1"/>
  <c r="H42" i="1"/>
  <c r="H14" i="1"/>
  <c r="H22" i="1"/>
  <c r="H37" i="1"/>
  <c r="H34" i="1"/>
  <c r="H27" i="1"/>
  <c r="H50" i="1"/>
  <c r="H44" i="1"/>
  <c r="H28" i="1"/>
  <c r="H33" i="1"/>
  <c r="H25" i="1"/>
  <c r="H48" i="1"/>
  <c r="H12" i="1"/>
  <c r="H35" i="1"/>
  <c r="H4" i="1"/>
  <c r="H8" i="1"/>
  <c r="H23" i="1"/>
  <c r="H26" i="1"/>
  <c r="H46" i="1"/>
  <c r="H11" i="1"/>
  <c r="H29" i="1"/>
  <c r="H31" i="1"/>
  <c r="H24" i="1"/>
  <c r="H19" i="1"/>
  <c r="H3" i="1"/>
  <c r="H38" i="1"/>
  <c r="H17" i="1"/>
  <c r="H20" i="1"/>
  <c r="H9" i="1"/>
  <c r="H15" i="1"/>
  <c r="H10" i="1"/>
  <c r="H18" i="1"/>
  <c r="H16" i="1"/>
  <c r="H2" i="1"/>
  <c r="H13" i="1"/>
  <c r="H47" i="1"/>
  <c r="H5" i="1"/>
  <c r="H45" i="1"/>
  <c r="H32" i="1"/>
  <c r="H6" i="1"/>
  <c r="H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Auriol Purdie</author>
  </authors>
  <commentList>
    <comment ref="C44" authorId="0" shapeId="0" xr:uid="{58454AF2-F899-4CA2-91DC-51238C59BF4F}">
      <text>
        <r>
          <rPr>
            <b/>
            <sz val="9"/>
            <color indexed="81"/>
            <rFont val="Tahoma"/>
            <family val="2"/>
          </rPr>
          <t>Auriol Purdie:</t>
        </r>
        <r>
          <rPr>
            <sz val="9"/>
            <color indexed="81"/>
            <rFont val="Tahoma"/>
            <family val="2"/>
          </rPr>
          <t xml:space="preserve">
Fritz Farming of Moogerah </t>
        </r>
      </text>
    </comment>
    <comment ref="C45" authorId="0" shapeId="0" xr:uid="{2FFF4842-A8AC-46A2-8866-211030E841D7}">
      <text>
        <r>
          <rPr>
            <b/>
            <sz val="9"/>
            <color indexed="81"/>
            <rFont val="Tahoma"/>
            <family val="2"/>
          </rPr>
          <t>Auriol Purdie:</t>
        </r>
        <r>
          <rPr>
            <sz val="9"/>
            <color indexed="81"/>
            <rFont val="Tahoma"/>
            <family val="2"/>
          </rPr>
          <t xml:space="preserve">
 Mt Walker? </t>
        </r>
      </text>
    </comment>
    <comment ref="C46" authorId="0" shapeId="0" xr:uid="{17805227-5505-40DE-BD45-B76E903515D9}">
      <text>
        <r>
          <rPr>
            <b/>
            <sz val="9"/>
            <color indexed="81"/>
            <rFont val="Tahoma"/>
            <family val="2"/>
          </rPr>
          <t>Auriol Purdie:</t>
        </r>
        <r>
          <rPr>
            <sz val="9"/>
            <color indexed="81"/>
            <rFont val="Tahoma"/>
            <family val="2"/>
          </rPr>
          <t xml:space="preserve">
Aratule QLD</t>
        </r>
      </text>
    </comment>
    <comment ref="C47" authorId="0" shapeId="0" xr:uid="{B5E55364-897B-429A-A8E1-9CBA927726E8}">
      <text>
        <r>
          <rPr>
            <b/>
            <sz val="9"/>
            <color indexed="81"/>
            <rFont val="Tahoma"/>
            <family val="2"/>
          </rPr>
          <t>Auriol Purdie:</t>
        </r>
        <r>
          <rPr>
            <sz val="9"/>
            <color indexed="81"/>
            <rFont val="Tahoma"/>
            <family val="2"/>
          </rPr>
          <t xml:space="preserve">
Rathdowney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Auriol Purdie</author>
  </authors>
  <commentList>
    <comment ref="B5" authorId="0" shapeId="0" xr:uid="{2EC6A6E4-B4F1-401E-A094-A09FC8D45C19}">
      <text>
        <r>
          <rPr>
            <b/>
            <sz val="9"/>
            <color indexed="81"/>
            <rFont val="Tahoma"/>
            <family val="2"/>
          </rPr>
          <t>Auriol Purdie:</t>
        </r>
        <r>
          <rPr>
            <sz val="9"/>
            <color indexed="81"/>
            <rFont val="Tahoma"/>
            <family val="2"/>
          </rPr>
          <t xml:space="preserve">
Rathdowney</t>
        </r>
      </text>
    </comment>
    <comment ref="B6" authorId="0" shapeId="0" xr:uid="{DCE2099E-FAF4-4832-BD1C-0452B7AEE7D0}">
      <text>
        <r>
          <rPr>
            <b/>
            <sz val="9"/>
            <color indexed="81"/>
            <rFont val="Tahoma"/>
            <family val="2"/>
          </rPr>
          <t>Auriol Purdie:</t>
        </r>
        <r>
          <rPr>
            <sz val="9"/>
            <color indexed="81"/>
            <rFont val="Tahoma"/>
            <family val="2"/>
          </rPr>
          <t xml:space="preserve">
Aratule QLD</t>
        </r>
      </text>
    </comment>
    <comment ref="B7" authorId="0" shapeId="0" xr:uid="{9CEF5530-715B-4581-8ED5-ADB41AAC55BA}">
      <text>
        <r>
          <rPr>
            <b/>
            <sz val="9"/>
            <color indexed="81"/>
            <rFont val="Tahoma"/>
            <family val="2"/>
          </rPr>
          <t>Auriol Purdie:</t>
        </r>
        <r>
          <rPr>
            <sz val="9"/>
            <color indexed="81"/>
            <rFont val="Tahoma"/>
            <family val="2"/>
          </rPr>
          <t xml:space="preserve">
 Mt Walker? </t>
        </r>
      </text>
    </comment>
    <comment ref="B8" authorId="0" shapeId="0" xr:uid="{E780AAA6-5BF4-4B00-AB91-DBD258236BBF}">
      <text>
        <r>
          <rPr>
            <b/>
            <sz val="9"/>
            <color indexed="81"/>
            <rFont val="Tahoma"/>
            <family val="2"/>
          </rPr>
          <t>Auriol Purdie:</t>
        </r>
        <r>
          <rPr>
            <sz val="9"/>
            <color indexed="81"/>
            <rFont val="Tahoma"/>
            <family val="2"/>
          </rPr>
          <t xml:space="preserve">
Fritz Farming of Moogerah </t>
        </r>
      </text>
    </comment>
  </commentList>
</comments>
</file>

<file path=xl/sharedStrings.xml><?xml version="1.0" encoding="utf-8"?>
<sst xmlns="http://schemas.openxmlformats.org/spreadsheetml/2006/main" count="2871" uniqueCount="348">
  <si>
    <t>Cow ID</t>
  </si>
  <si>
    <t>KLN</t>
  </si>
  <si>
    <t xml:space="preserve">Farm </t>
  </si>
  <si>
    <t>Sex</t>
  </si>
  <si>
    <t>Breed</t>
  </si>
  <si>
    <t>weight B 22/3/18</t>
  </si>
  <si>
    <t>ADG (B to M)</t>
  </si>
  <si>
    <t>Weight gain since last period and induction (B to M)</t>
  </si>
  <si>
    <t>weight M 30/4/18</t>
  </si>
  <si>
    <t>ADG (M to E)</t>
  </si>
  <si>
    <t>Weight gain since last period</t>
  </si>
  <si>
    <t>Weight gain since induction (B to E)</t>
  </si>
  <si>
    <t>weight E 30/5/18</t>
  </si>
  <si>
    <t>ADG (E to L)</t>
  </si>
  <si>
    <t>Weight gain since last period E to L)</t>
  </si>
  <si>
    <t>Weight gain since induction (B to L)</t>
  </si>
  <si>
    <t>Weight (kg) L 5/6/18</t>
  </si>
  <si>
    <t>% change in bodyweight from induction</t>
  </si>
  <si>
    <t>Weight gain range</t>
  </si>
  <si>
    <t>MSA Index</t>
  </si>
  <si>
    <t>MSA Index TStretch</t>
  </si>
  <si>
    <t>Dent</t>
  </si>
  <si>
    <t>P8 Fat Depth</t>
  </si>
  <si>
    <t>FAT class (from MLA cattle ass)</t>
  </si>
  <si>
    <t>Hot Body Weight</t>
  </si>
  <si>
    <t>Hot body weight vs L weight %</t>
  </si>
  <si>
    <t>MSA Marbling range from 100-1100</t>
  </si>
  <si>
    <t>Aus Marbling (range 0-9</t>
  </si>
  <si>
    <t>Rib Fat (min of 3mm req)</t>
  </si>
  <si>
    <t>Meat Colour</t>
  </si>
  <si>
    <t>Fat Colour</t>
  </si>
  <si>
    <t>PH Level</t>
  </si>
  <si>
    <t>EMA</t>
  </si>
  <si>
    <t>Ossifiction Cold</t>
  </si>
  <si>
    <t>Hump Cold (mm)</t>
  </si>
  <si>
    <t>Loin Temp</t>
  </si>
  <si>
    <t>Rib</t>
  </si>
  <si>
    <t>Chiller</t>
  </si>
  <si>
    <t>Plant</t>
  </si>
  <si>
    <t>Pot reference #</t>
  </si>
  <si>
    <t>Liver score</t>
  </si>
  <si>
    <t>Pleuresy score</t>
  </si>
  <si>
    <t>Lung lobe score</t>
  </si>
  <si>
    <t>Lung pathology</t>
  </si>
  <si>
    <t>Other pathology</t>
  </si>
  <si>
    <t>Swab taken (Y/N)</t>
  </si>
  <si>
    <t>Comments</t>
  </si>
  <si>
    <t>Rumen ulcer (Y/N)</t>
  </si>
  <si>
    <t>Docility score</t>
  </si>
  <si>
    <t>Coat colour</t>
  </si>
  <si>
    <t>Coat colour code</t>
  </si>
  <si>
    <t>Coat score</t>
  </si>
  <si>
    <t>Hip Height (cm)</t>
  </si>
  <si>
    <t>Hump Height (cm)</t>
  </si>
  <si>
    <t>BCS</t>
  </si>
  <si>
    <t>Respiratory Score</t>
  </si>
  <si>
    <t>Boorarah Pastoral</t>
  </si>
  <si>
    <t>F</t>
  </si>
  <si>
    <t>?</t>
  </si>
  <si>
    <t>Unknown</t>
  </si>
  <si>
    <t>very low</t>
  </si>
  <si>
    <t>Creamy white</t>
  </si>
  <si>
    <t>Avocavale Farming Pty Ltd</t>
  </si>
  <si>
    <t>Black</t>
  </si>
  <si>
    <t>9-Charolais</t>
  </si>
  <si>
    <t>Charolais</t>
  </si>
  <si>
    <t>1B</t>
  </si>
  <si>
    <t>2</t>
  </si>
  <si>
    <t>1620</t>
  </si>
  <si>
    <t>Pleuresy on ribs</t>
  </si>
  <si>
    <t>N</t>
  </si>
  <si>
    <t>Yellowish white</t>
  </si>
  <si>
    <t>M</t>
  </si>
  <si>
    <t>15-Charbray</t>
  </si>
  <si>
    <t>Charbrey</t>
  </si>
  <si>
    <t>1C</t>
  </si>
  <si>
    <t>9</t>
  </si>
  <si>
    <t>Yellowish</t>
  </si>
  <si>
    <t>RUHHLAND, EW</t>
  </si>
  <si>
    <t>12-Brangus</t>
  </si>
  <si>
    <t>Brangus</t>
  </si>
  <si>
    <t>Low</t>
  </si>
  <si>
    <t>C liver</t>
  </si>
  <si>
    <t>Y</t>
  </si>
  <si>
    <t>Fritz</t>
  </si>
  <si>
    <t>13-Santa Gertrudis</t>
  </si>
  <si>
    <t>Santa Gertrudis</t>
  </si>
  <si>
    <t>Red</t>
  </si>
  <si>
    <t>14-Droughtmaster</t>
  </si>
  <si>
    <t>Droughtmaster</t>
  </si>
  <si>
    <t>L. node taken from lung</t>
  </si>
  <si>
    <t>White</t>
  </si>
  <si>
    <t>16-Braford</t>
  </si>
  <si>
    <t>Bredford</t>
  </si>
  <si>
    <t>Greyish white</t>
  </si>
  <si>
    <t>Dark red</t>
  </si>
  <si>
    <t>8-Hereford</t>
  </si>
  <si>
    <t>Hereford</t>
  </si>
  <si>
    <t>Light red</t>
  </si>
  <si>
    <t>Non halal</t>
  </si>
  <si>
    <t>C</t>
  </si>
  <si>
    <t>4</t>
  </si>
  <si>
    <t>Mid</t>
  </si>
  <si>
    <t>10-Brahman</t>
  </si>
  <si>
    <t>Brahman</t>
  </si>
  <si>
    <t>A</t>
  </si>
  <si>
    <t>y</t>
  </si>
  <si>
    <t>Hydatis cyst</t>
  </si>
  <si>
    <t>C in liver</t>
  </si>
  <si>
    <t>Dark yellow</t>
  </si>
  <si>
    <t>11-Angus</t>
  </si>
  <si>
    <t>Angus</t>
  </si>
  <si>
    <t>Swab liver abs</t>
  </si>
  <si>
    <t>17-Murray Gray</t>
  </si>
  <si>
    <t>Murray Grey</t>
  </si>
  <si>
    <t>Creamy yellow</t>
  </si>
  <si>
    <t>High</t>
  </si>
  <si>
    <t>2*</t>
  </si>
  <si>
    <t>7-Red Angus</t>
  </si>
  <si>
    <t>Reg Angus</t>
  </si>
  <si>
    <t>dark red</t>
  </si>
  <si>
    <t>Very High</t>
  </si>
  <si>
    <t>Hydatis cyst in lungs. C liver</t>
  </si>
  <si>
    <t>A+</t>
  </si>
  <si>
    <t>Dark brown</t>
  </si>
  <si>
    <t>Mix of red and black</t>
  </si>
  <si>
    <t>Feed period (B, M, E, L)</t>
  </si>
  <si>
    <t>Date</t>
  </si>
  <si>
    <t xml:space="preserve">Time </t>
  </si>
  <si>
    <t>Abattoir Body ID</t>
  </si>
  <si>
    <t>Spray #</t>
  </si>
  <si>
    <t>EID</t>
  </si>
  <si>
    <t>NLIS ID</t>
  </si>
  <si>
    <t>SCR ear tag</t>
  </si>
  <si>
    <t>TSU ID</t>
  </si>
  <si>
    <t xml:space="preserve">Vendor Number (SAN) </t>
  </si>
  <si>
    <t>Vendor</t>
  </si>
  <si>
    <t>Weight (kg)</t>
  </si>
  <si>
    <t>SCC Weight (kg)</t>
  </si>
  <si>
    <t>MSA Marbling</t>
  </si>
  <si>
    <t>Aus Marbling</t>
  </si>
  <si>
    <t>Rib Fat</t>
  </si>
  <si>
    <t>L</t>
  </si>
  <si>
    <t>982 125002636736</t>
  </si>
  <si>
    <t>QIMV0509XBJ00420</t>
  </si>
  <si>
    <t>V181216</t>
  </si>
  <si>
    <t>Fritz Farms &amp; Grazing</t>
  </si>
  <si>
    <t>B</t>
  </si>
  <si>
    <t>12.30 pm</t>
  </si>
  <si>
    <t>AN7042707</t>
  </si>
  <si>
    <t>982 123529991294</t>
  </si>
  <si>
    <t>QBNR0169XBM06144</t>
  </si>
  <si>
    <t>12.45 pm</t>
  </si>
  <si>
    <t>AN7042706</t>
  </si>
  <si>
    <t>E</t>
  </si>
  <si>
    <t>982 123519704316</t>
  </si>
  <si>
    <t>QGKL0701XBM00579</t>
  </si>
  <si>
    <t>12.55 pm</t>
  </si>
  <si>
    <t>AN7042704</t>
  </si>
  <si>
    <t>982 123530899024</t>
  </si>
  <si>
    <t>QIMV0509XBM00422</t>
  </si>
  <si>
    <t>1.00 pm</t>
  </si>
  <si>
    <t>AN7042714</t>
  </si>
  <si>
    <t>942 000018761140</t>
  </si>
  <si>
    <t>QBNN0239ZBM00232</t>
  </si>
  <si>
    <t>1.08 pm</t>
  </si>
  <si>
    <t>AN7042715</t>
  </si>
  <si>
    <t>951 000304666487</t>
  </si>
  <si>
    <t>QIES2324LBM00174</t>
  </si>
  <si>
    <t>1.18 pm</t>
  </si>
  <si>
    <t>AN7042701</t>
  </si>
  <si>
    <t>951 000304624549</t>
  </si>
  <si>
    <t>QDNN0427LBM05117</t>
  </si>
  <si>
    <t>1.22 pm</t>
  </si>
  <si>
    <t>AN7042717</t>
  </si>
  <si>
    <t>951 000304666893</t>
  </si>
  <si>
    <t>QIES2324LBM00173</t>
  </si>
  <si>
    <t>1.27 pm</t>
  </si>
  <si>
    <t>AN7042718</t>
  </si>
  <si>
    <t>951 000304666604</t>
  </si>
  <si>
    <t>QIES2324LBM00172</t>
  </si>
  <si>
    <t>1.36 pm</t>
  </si>
  <si>
    <t>AN7042722</t>
  </si>
  <si>
    <t>942 000022018698</t>
  </si>
  <si>
    <t>QIKA0991ZBM00638</t>
  </si>
  <si>
    <t>1.40 pm</t>
  </si>
  <si>
    <t>AN7042723</t>
  </si>
  <si>
    <t>964 001008649518</t>
  </si>
  <si>
    <t>QHES2162MBL03135</t>
  </si>
  <si>
    <t>1.46 pm</t>
  </si>
  <si>
    <t>AN7042726</t>
  </si>
  <si>
    <t>951 000303154441</t>
  </si>
  <si>
    <t>QIES2324LBL00100</t>
  </si>
  <si>
    <t>1.57 pm</t>
  </si>
  <si>
    <t>AN7042728</t>
  </si>
  <si>
    <t>964 001008359217</t>
  </si>
  <si>
    <t>QCKC0211MBM02493</t>
  </si>
  <si>
    <t>2.01 pm</t>
  </si>
  <si>
    <t>AN7042729</t>
  </si>
  <si>
    <t>982 123528263993</t>
  </si>
  <si>
    <t>QKKC0056XBM01319</t>
  </si>
  <si>
    <t>2.13 pm</t>
  </si>
  <si>
    <t>AN7042735</t>
  </si>
  <si>
    <t>951 000304666721</t>
  </si>
  <si>
    <t>QIES2324LBM00171</t>
  </si>
  <si>
    <t>2.16 pm</t>
  </si>
  <si>
    <t>AN7042734</t>
  </si>
  <si>
    <t>942 000018753771</t>
  </si>
  <si>
    <t>QBNN0239ZBM00180</t>
  </si>
  <si>
    <t>2.18 pm</t>
  </si>
  <si>
    <t>AN7042733</t>
  </si>
  <si>
    <t>982 123528263844</t>
  </si>
  <si>
    <t>QKKC0056XBM01468</t>
  </si>
  <si>
    <t>2.24 pm</t>
  </si>
  <si>
    <t>AN7042731</t>
  </si>
  <si>
    <t>951 000304666100</t>
  </si>
  <si>
    <t>QIES2324LBM00190</t>
  </si>
  <si>
    <t>2.30 pm</t>
  </si>
  <si>
    <t>AN7042755</t>
  </si>
  <si>
    <t>951 000304465250</t>
  </si>
  <si>
    <t>QDCN0179LBM00215</t>
  </si>
  <si>
    <t>2.33 pm</t>
  </si>
  <si>
    <t>AN7042756</t>
  </si>
  <si>
    <t>942 000018759131</t>
  </si>
  <si>
    <t>QGES2013XEA00537</t>
  </si>
  <si>
    <t>2.40 pm</t>
  </si>
  <si>
    <t>AN7042752</t>
  </si>
  <si>
    <t>942 000022040576</t>
  </si>
  <si>
    <t>QBNN0239ZBM00177</t>
  </si>
  <si>
    <t>2.43 pm</t>
  </si>
  <si>
    <t>AN7042758</t>
  </si>
  <si>
    <t>964 001017985903</t>
  </si>
  <si>
    <t>QHIW0808XBN00111</t>
  </si>
  <si>
    <t>V181213</t>
  </si>
  <si>
    <t>2.52 pm</t>
  </si>
  <si>
    <t>AN7042760</t>
  </si>
  <si>
    <t>982 123534071308</t>
  </si>
  <si>
    <t>QDGT1506XBL00168</t>
  </si>
  <si>
    <t>2.58 pm</t>
  </si>
  <si>
    <t>AN7042742</t>
  </si>
  <si>
    <t>964 001014921890</t>
  </si>
  <si>
    <t>QKBD0088XBN00240</t>
  </si>
  <si>
    <t>3.02 pm</t>
  </si>
  <si>
    <t>AN7042744</t>
  </si>
  <si>
    <t>982 123530470555</t>
  </si>
  <si>
    <t>QCBD0411XBL00342</t>
  </si>
  <si>
    <t>3.10 pm</t>
  </si>
  <si>
    <t>AN7042746</t>
  </si>
  <si>
    <t>982 123518373356</t>
  </si>
  <si>
    <t>QIBN1559XBM00141</t>
  </si>
  <si>
    <t>3.12 pm</t>
  </si>
  <si>
    <t>AN7042747</t>
  </si>
  <si>
    <t>982 123476796469</t>
  </si>
  <si>
    <t>QDGT1506XBL00184</t>
  </si>
  <si>
    <t>3.16 pm</t>
  </si>
  <si>
    <t>AN7042748</t>
  </si>
  <si>
    <t>982 123523669261</t>
  </si>
  <si>
    <t>QKIW0424XBL01231</t>
  </si>
  <si>
    <t>3.19 pm</t>
  </si>
  <si>
    <t>AN7042749</t>
  </si>
  <si>
    <t>131?</t>
  </si>
  <si>
    <t>964 001017985257</t>
  </si>
  <si>
    <t>QCBD2417XBM02454</t>
  </si>
  <si>
    <t>3.24 pm</t>
  </si>
  <si>
    <t>AN7042750</t>
  </si>
  <si>
    <t>964 001015286632</t>
  </si>
  <si>
    <t>QKBN0883XBL00526</t>
  </si>
  <si>
    <t>3.30 pm</t>
  </si>
  <si>
    <t>AN7042800</t>
  </si>
  <si>
    <t>982 123534071336</t>
  </si>
  <si>
    <t>QBCB0575MBN00211</t>
  </si>
  <si>
    <t>3.35 pm</t>
  </si>
  <si>
    <t>AN7042768</t>
  </si>
  <si>
    <t>982 000034908117</t>
  </si>
  <si>
    <t>QBBM0726ZBK07147</t>
  </si>
  <si>
    <t>3.38 pm</t>
  </si>
  <si>
    <t>AN7042766</t>
  </si>
  <si>
    <t>982 123534529184</t>
  </si>
  <si>
    <t>QKBD0088XBN00268</t>
  </si>
  <si>
    <t>3.42 pm</t>
  </si>
  <si>
    <t>AN7042769</t>
  </si>
  <si>
    <t>964 001017985086</t>
  </si>
  <si>
    <t>3.47 pm</t>
  </si>
  <si>
    <t>AN7042774</t>
  </si>
  <si>
    <t>NA</t>
  </si>
  <si>
    <t>982 123551352273</t>
  </si>
  <si>
    <t>QKSE0046XBL00210</t>
  </si>
  <si>
    <t>3.50 pm</t>
  </si>
  <si>
    <t>AN7042775</t>
  </si>
  <si>
    <t>982 123529363261</t>
  </si>
  <si>
    <t>QCGT0333XBN01466</t>
  </si>
  <si>
    <t>3.52 pm</t>
  </si>
  <si>
    <t>AN7042764</t>
  </si>
  <si>
    <t>900 093000206548</t>
  </si>
  <si>
    <t>QDBD0544DBK00255</t>
  </si>
  <si>
    <t>V181212</t>
  </si>
  <si>
    <t>3.58 pm</t>
  </si>
  <si>
    <t>AN7042763</t>
  </si>
  <si>
    <t>900 093000163510</t>
  </si>
  <si>
    <t>QDBD0544DBK00262</t>
  </si>
  <si>
    <t>4.01 pm</t>
  </si>
  <si>
    <t>AN7042761</t>
  </si>
  <si>
    <t>900 093000163010</t>
  </si>
  <si>
    <t>QDBD0544DBK00245</t>
  </si>
  <si>
    <t>4.06 pm</t>
  </si>
  <si>
    <t>AN7042778</t>
  </si>
  <si>
    <t>900 093000175456</t>
  </si>
  <si>
    <t>QDBD0544DBK00249</t>
  </si>
  <si>
    <t>4.08 pm</t>
  </si>
  <si>
    <t>AN7042779</t>
  </si>
  <si>
    <t>900 093000127080</t>
  </si>
  <si>
    <t>QDBD0544DBK00264</t>
  </si>
  <si>
    <t>4.10 pm</t>
  </si>
  <si>
    <t>AN7042780</t>
  </si>
  <si>
    <t>900 093000126952</t>
  </si>
  <si>
    <t>QDBD0544DBK00251</t>
  </si>
  <si>
    <t>4.14 pm</t>
  </si>
  <si>
    <t>AN7042770</t>
  </si>
  <si>
    <t>136?</t>
  </si>
  <si>
    <t>900 093000175247</t>
  </si>
  <si>
    <t>4.21 pm</t>
  </si>
  <si>
    <t>AN7042787</t>
  </si>
  <si>
    <t>900 093000163890</t>
  </si>
  <si>
    <t>QDBD0544DBK00271</t>
  </si>
  <si>
    <t xml:space="preserve">4.25 pm </t>
  </si>
  <si>
    <t>AN7042786</t>
  </si>
  <si>
    <t>900 093000138484</t>
  </si>
  <si>
    <t>QDBD0544DBK00272</t>
  </si>
  <si>
    <t>4.28 pm</t>
  </si>
  <si>
    <t>AN7042784</t>
  </si>
  <si>
    <t>900 093000175295</t>
  </si>
  <si>
    <t>QDBD0544DBK00266</t>
  </si>
  <si>
    <t>4.32 pm</t>
  </si>
  <si>
    <t>AN7042782</t>
  </si>
  <si>
    <t>982 123531358144</t>
  </si>
  <si>
    <t>QDBN0362XBN00162</t>
  </si>
  <si>
    <t>V181215</t>
  </si>
  <si>
    <t>4.38 pm</t>
  </si>
  <si>
    <t>AN7042789</t>
  </si>
  <si>
    <t>982 123531358175</t>
  </si>
  <si>
    <t>QDBN0362XBN00193</t>
  </si>
  <si>
    <t>4.43 pm</t>
  </si>
  <si>
    <t>AN7042798</t>
  </si>
  <si>
    <t>964 001007458944</t>
  </si>
  <si>
    <t>QBES2663MBM00334</t>
  </si>
  <si>
    <t>4.45 pm</t>
  </si>
  <si>
    <t>AN7042790</t>
  </si>
  <si>
    <t>Farm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</si>
</sst>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3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108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/>
    <xf numFmtId="0" fontId="7" fillId="0" borderId="1" xfId="0" applyFont="1" applyBorder="1"/>
    <xf numFmtId="14" fontId="7" fillId="0" borderId="1" xfId="0" applyNumberFormat="1" applyFont="1" applyBorder="1"/>
    <xf numFmtId="164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right"/>
    </xf>
    <xf numFmtId="1" fontId="7" fillId="0" borderId="1" xfId="0" applyNumberFormat="1" applyFont="1" applyBorder="1"/>
    <xf numFmtId="1" fontId="7" fillId="0" borderId="1" xfId="0" applyNumberFormat="1" applyFont="1" applyBorder="1" applyAlignment="1">
      <alignment horizontal="center"/>
    </xf>
    <xf numFmtId="0" fontId="7" fillId="2" borderId="1" xfId="0" applyFont="1" applyFill="1" applyBorder="1"/>
    <xf numFmtId="14" fontId="7" fillId="2" borderId="1" xfId="0" applyNumberFormat="1" applyFont="1" applyFill="1" applyBorder="1"/>
    <xf numFmtId="2" fontId="7" fillId="2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0" xfId="0" applyFont="1" applyFill="1"/>
    <xf numFmtId="1" fontId="7" fillId="2" borderId="1" xfId="0" applyNumberFormat="1" applyFont="1" applyFill="1" applyBorder="1"/>
    <xf numFmtId="1" fontId="7" fillId="2" borderId="1" xfId="0" applyNumberFormat="1" applyFont="1" applyFill="1" applyBorder="1" applyAlignment="1">
      <alignment horizontal="center"/>
    </xf>
    <xf numFmtId="0" fontId="7" fillId="3" borderId="1" xfId="0" applyFont="1" applyFill="1" applyBorder="1"/>
    <xf numFmtId="1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7" fillId="3" borderId="0" xfId="0" applyFont="1" applyFill="1"/>
    <xf numFmtId="1" fontId="7" fillId="3" borderId="1" xfId="0" applyNumberFormat="1" applyFont="1" applyFill="1" applyBorder="1"/>
    <xf numFmtId="0" fontId="9" fillId="3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/>
    <xf numFmtId="1" fontId="3" fillId="0" borderId="1" xfId="0" applyNumberFormat="1" applyFont="1" applyBorder="1"/>
    <xf numFmtId="2" fontId="2" fillId="0" borderId="2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1" fillId="0" borderId="0" xfId="0" applyFont="1"/>
    <xf numFmtId="2" fontId="2" fillId="0" borderId="1" xfId="0" applyNumberFormat="1" applyFont="1" applyBorder="1" applyAlignment="1">
      <alignment horizontal="center" vertical="center" wrapText="1"/>
    </xf>
    <xf numFmtId="0" fontId="1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0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right"/>
    </xf>
    <xf numFmtId="2" fontId="0" fillId="0" borderId="1" xfId="0" applyNumberFormat="1" applyBorder="1"/>
    <xf numFmtId="2" fontId="10" fillId="0" borderId="0" xfId="0" applyNumberFormat="1" applyFont="1"/>
    <xf numFmtId="2" fontId="5" fillId="0" borderId="0" xfId="0" applyNumberFormat="1" applyFont="1" applyAlignment="1">
      <alignment horizontal="center" vertical="center" wrapText="1"/>
    </xf>
    <xf numFmtId="2" fontId="7" fillId="0" borderId="0" xfId="0" applyNumberFormat="1" applyFont="1"/>
    <xf numFmtId="0" fontId="10" fillId="0" borderId="1" xfId="0" applyFont="1" applyBorder="1"/>
    <xf numFmtId="0" fontId="13" fillId="0" borderId="1" xfId="0" applyFont="1" applyBorder="1" applyAlignment="1">
      <alignment horizontal="center" vertical="center" wrapText="1"/>
    </xf>
    <xf numFmtId="2" fontId="13" fillId="0" borderId="2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3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1" xfId="0" applyFont="1" applyBorder="1"/>
    <xf numFmtId="0" fontId="15" fillId="0" borderId="1" xfId="0" applyFont="1" applyBorder="1"/>
    <xf numFmtId="2" fontId="15" fillId="0" borderId="0" xfId="0" applyNumberFormat="1" applyFont="1"/>
    <xf numFmtId="2" fontId="15" fillId="0" borderId="1" xfId="0" applyNumberFormat="1" applyFont="1" applyBorder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1" fontId="16" fillId="0" borderId="1" xfId="0" applyNumberFormat="1" applyFont="1" applyBorder="1"/>
    <xf numFmtId="0" fontId="17" fillId="0" borderId="0" xfId="0" applyFont="1"/>
    <xf numFmtId="0" fontId="17" fillId="0" borderId="1" xfId="0" applyFont="1" applyBorder="1"/>
    <xf numFmtId="2" fontId="17" fillId="0" borderId="0" xfId="0" applyNumberFormat="1" applyFont="1"/>
    <xf numFmtId="0" fontId="18" fillId="0" borderId="1" xfId="1" applyFont="1" applyBorder="1" applyAlignment="1">
      <alignment horizontal="right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5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8" borderId="1" xfId="0" applyFont="1" applyFill="1" applyBorder="1"/>
    <xf numFmtId="0" fontId="15" fillId="9" borderId="1" xfId="0" applyFont="1" applyFill="1" applyBorder="1"/>
    <xf numFmtId="0" fontId="15" fillId="10" borderId="1" xfId="0" applyFont="1" applyFill="1" applyBorder="1"/>
    <xf numFmtId="0" fontId="15" fillId="11" borderId="1" xfId="0" applyFont="1" applyFill="1" applyBorder="1"/>
    <xf numFmtId="0" fontId="19" fillId="0" borderId="1" xfId="0" applyFont="1" applyBorder="1"/>
    <xf numFmtId="2" fontId="19" fillId="0" borderId="0" xfId="0" applyNumberFormat="1" applyFont="1"/>
    <xf numFmtId="0" fontId="19" fillId="0" borderId="0" xfId="0" applyFont="1"/>
    <xf numFmtId="2" fontId="19" fillId="0" borderId="1" xfId="0" applyNumberFormat="1" applyFont="1" applyBorder="1"/>
    <xf numFmtId="2" fontId="2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21" fillId="0" borderId="1" xfId="1" applyFont="1" applyBorder="1" applyAlignment="1">
      <alignment horizontal="right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3" fillId="0" borderId="0" xfId="0" applyFont="1"/>
    <xf numFmtId="1" fontId="3" fillId="0" borderId="0" xfId="0" applyNumberFormat="1" applyFont="1"/>
    <xf numFmtId="2" fontId="2" fillId="2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Normal_Weigh" xfId="1" xr:uid="{3DFB63DF-7AEA-45D6-B55B-2E71AE8E1131}"/>
  </cellStyles>
  <dxfs count="0"/>
  <tableStyles count="0" defaultTableStyle="TableStyleMedium2" defaultPivotStyle="PivotStyleLight16"/>
  <colors>
    <mruColors>
      <color rgb="FFCCFF33"/>
      <color rgb="FF00CC66"/>
      <color rgb="FF009999"/>
      <color rgb="FFFF66FF"/>
      <color rgb="FF33CCFF"/>
      <color rgb="FF66FFCC"/>
      <color rgb="FF66FF99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ADG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ADG</a:t>
          </a:r>
        </a:p>
      </cx:txPr>
    </cx:title>
    <cx:plotArea>
      <cx:plotAreaRegion>
        <cx:series layoutId="clusteredColumn" uniqueId="{6EDF6574-A38F-491F-8B5C-A01168AB26C8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13</xdr:col>
      <xdr:colOff>329788</xdr:colOff>
      <xdr:row>15</xdr:row>
      <xdr:rowOff>126547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A25A7CE-57AB-4E53-8F1A-565F68D956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7625"/>
              <a:ext cx="8254588" cy="28411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3BC0-82C4-4815-9A9F-6F20EE56D356}">
  <dimension ref="A1:BZ50"/>
  <sheetViews>
    <sheetView zoomScale="77" zoomScaleNormal="77" workbookViewId="0">
      <selection activeCell="U1" sqref="U1:AM1048576"/>
    </sheetView>
  </sheetViews>
  <sheetFormatPr defaultColWidth="9.1796875" defaultRowHeight="14.5" x14ac:dyDescent="0.35"/>
  <cols>
    <col min="3" max="3" width="21.81640625" customWidth="1"/>
    <col min="4" max="4" width="9.1796875" customWidth="1"/>
    <col min="5" max="6" width="17.453125" customWidth="1"/>
    <col min="7" max="7" width="9.1796875" customWidth="1"/>
    <col min="8" max="8" width="9.1796875" style="40" customWidth="1"/>
    <col min="9" max="10" width="9.1796875" customWidth="1"/>
    <col min="11" max="11" width="9.1796875" style="40" customWidth="1"/>
    <col min="12" max="15" width="9.1796875" customWidth="1"/>
    <col min="16" max="17" width="9.1796875" style="40" customWidth="1"/>
    <col min="18" max="18" width="9.1796875" customWidth="1"/>
    <col min="19" max="20" width="10.7265625" style="40" customWidth="1"/>
    <col min="21" max="39" width="9.1796875" customWidth="1"/>
    <col min="40" max="61" width="9.1796875" hidden="1" customWidth="1"/>
    <col min="62" max="83" width="9.1796875" customWidth="1"/>
  </cols>
  <sheetData>
    <row r="1" spans="1:78" ht="101.5" x14ac:dyDescent="0.35">
      <c r="A1" s="92" t="s">
        <v>0</v>
      </c>
      <c r="B1" s="92" t="s">
        <v>1</v>
      </c>
      <c r="C1" s="44" t="s">
        <v>2</v>
      </c>
      <c r="D1" s="44" t="s">
        <v>3</v>
      </c>
      <c r="E1" s="35" t="s">
        <v>4</v>
      </c>
      <c r="F1" s="44" t="s">
        <v>4</v>
      </c>
      <c r="G1" s="35" t="s">
        <v>5</v>
      </c>
      <c r="H1" s="39" t="s">
        <v>6</v>
      </c>
      <c r="I1" s="35" t="s">
        <v>7</v>
      </c>
      <c r="J1" s="35" t="s">
        <v>8</v>
      </c>
      <c r="K1" s="42" t="s">
        <v>9</v>
      </c>
      <c r="L1" s="35" t="s">
        <v>10</v>
      </c>
      <c r="M1" s="35" t="s">
        <v>11</v>
      </c>
      <c r="N1" s="35" t="s">
        <v>12</v>
      </c>
      <c r="O1" s="35" t="s">
        <v>13</v>
      </c>
      <c r="P1" s="42" t="s">
        <v>14</v>
      </c>
      <c r="Q1" s="35" t="s">
        <v>15</v>
      </c>
      <c r="R1" s="35" t="s">
        <v>16</v>
      </c>
      <c r="S1" s="90" t="s">
        <v>17</v>
      </c>
      <c r="T1" s="107" t="s">
        <v>18</v>
      </c>
      <c r="U1" s="91" t="s">
        <v>19</v>
      </c>
      <c r="V1" s="91" t="s">
        <v>20</v>
      </c>
      <c r="W1" s="91" t="s">
        <v>21</v>
      </c>
      <c r="X1" s="91" t="s">
        <v>22</v>
      </c>
      <c r="Y1" s="91" t="s">
        <v>23</v>
      </c>
      <c r="Z1" s="91" t="s">
        <v>24</v>
      </c>
      <c r="AA1" s="91" t="s">
        <v>25</v>
      </c>
      <c r="AB1" s="91" t="s">
        <v>26</v>
      </c>
      <c r="AC1" s="91" t="s">
        <v>27</v>
      </c>
      <c r="AD1" s="91" t="s">
        <v>28</v>
      </c>
      <c r="AE1" s="91" t="s">
        <v>29</v>
      </c>
      <c r="AF1" s="91" t="s">
        <v>30</v>
      </c>
      <c r="AG1" s="91" t="s">
        <v>31</v>
      </c>
      <c r="AH1" s="91" t="s">
        <v>32</v>
      </c>
      <c r="AI1" s="91" t="s">
        <v>33</v>
      </c>
      <c r="AJ1" s="91" t="s">
        <v>34</v>
      </c>
      <c r="AK1" s="91" t="s">
        <v>35</v>
      </c>
      <c r="AL1" s="91" t="s">
        <v>36</v>
      </c>
      <c r="AM1" s="91" t="s">
        <v>37</v>
      </c>
      <c r="AN1" s="91" t="s">
        <v>38</v>
      </c>
      <c r="AO1" s="92" t="s">
        <v>39</v>
      </c>
      <c r="AP1" s="92" t="s">
        <v>40</v>
      </c>
      <c r="AQ1" s="92" t="s">
        <v>41</v>
      </c>
      <c r="AR1" s="92" t="s">
        <v>42</v>
      </c>
      <c r="AS1" s="92" t="s">
        <v>43</v>
      </c>
      <c r="AT1" s="93" t="s">
        <v>44</v>
      </c>
      <c r="AU1" s="93" t="s">
        <v>45</v>
      </c>
      <c r="AV1" s="93" t="s">
        <v>46</v>
      </c>
      <c r="AW1" s="94" t="s">
        <v>39</v>
      </c>
      <c r="AX1" s="95" t="s">
        <v>47</v>
      </c>
      <c r="AY1" s="95" t="s">
        <v>46</v>
      </c>
      <c r="AZ1" s="35" t="s">
        <v>48</v>
      </c>
      <c r="BA1" s="35" t="s">
        <v>49</v>
      </c>
      <c r="BB1" s="35" t="s">
        <v>50</v>
      </c>
      <c r="BC1" s="35" t="s">
        <v>4</v>
      </c>
      <c r="BD1" s="35" t="s">
        <v>51</v>
      </c>
      <c r="BE1" s="35" t="s">
        <v>52</v>
      </c>
      <c r="BF1" s="35" t="s">
        <v>53</v>
      </c>
      <c r="BG1" s="35" t="s">
        <v>54</v>
      </c>
      <c r="BH1" s="35" t="s">
        <v>55</v>
      </c>
    </row>
    <row r="2" spans="1:78" x14ac:dyDescent="0.35">
      <c r="A2" s="105">
        <v>13906</v>
      </c>
      <c r="B2" s="105">
        <v>44</v>
      </c>
      <c r="C2" s="96" t="s">
        <v>56</v>
      </c>
      <c r="D2" s="96" t="s">
        <v>57</v>
      </c>
      <c r="E2" s="96" t="s">
        <v>58</v>
      </c>
      <c r="F2" s="96" t="s">
        <v>59</v>
      </c>
      <c r="G2" s="96">
        <v>333</v>
      </c>
      <c r="H2" s="40">
        <f t="shared" ref="H2:H33" si="0">(J2-G2)/39</f>
        <v>0.23076923076923078</v>
      </c>
      <c r="I2">
        <f t="shared" ref="I2:I33" si="1">J2-G2</f>
        <v>9</v>
      </c>
      <c r="J2" s="96">
        <v>342</v>
      </c>
      <c r="K2" s="40">
        <f>(N2-J2)/30</f>
        <v>0.6333333333333333</v>
      </c>
      <c r="L2">
        <f>N2-J2</f>
        <v>19</v>
      </c>
      <c r="M2">
        <f>N2-G2</f>
        <v>28</v>
      </c>
      <c r="N2" s="96">
        <v>361</v>
      </c>
      <c r="O2" s="49"/>
      <c r="P2" s="49"/>
      <c r="Q2" s="49"/>
      <c r="R2" s="101"/>
      <c r="S2" s="40">
        <f>((N2-G2)/G2)*100</f>
        <v>8.408408408408409</v>
      </c>
      <c r="T2" s="40" t="s">
        <v>60</v>
      </c>
      <c r="AA2" s="40"/>
      <c r="AZ2" s="96">
        <v>3</v>
      </c>
      <c r="BA2" s="96" t="s">
        <v>61</v>
      </c>
      <c r="BB2" s="96">
        <v>3</v>
      </c>
      <c r="BC2" s="96"/>
      <c r="BD2" s="96">
        <v>3</v>
      </c>
      <c r="BE2" s="96">
        <v>124</v>
      </c>
      <c r="BF2" s="96"/>
      <c r="BG2" s="96">
        <v>3.25</v>
      </c>
      <c r="BH2" s="96">
        <v>1</v>
      </c>
    </row>
    <row r="3" spans="1:78" x14ac:dyDescent="0.35">
      <c r="A3" s="105">
        <v>13894</v>
      </c>
      <c r="B3" s="105">
        <v>35</v>
      </c>
      <c r="C3" s="96" t="s">
        <v>62</v>
      </c>
      <c r="D3" s="96" t="s">
        <v>57</v>
      </c>
      <c r="E3" s="96" t="s">
        <v>58</v>
      </c>
      <c r="F3" s="96" t="s">
        <v>59</v>
      </c>
      <c r="G3" s="96">
        <v>352</v>
      </c>
      <c r="H3" s="40">
        <f t="shared" si="0"/>
        <v>0.51282051282051277</v>
      </c>
      <c r="I3">
        <f t="shared" si="1"/>
        <v>20</v>
      </c>
      <c r="J3" s="96">
        <v>372</v>
      </c>
      <c r="K3" s="40">
        <f>(N3-J3)/30</f>
        <v>0.36666666666666664</v>
      </c>
      <c r="L3">
        <f>N3-J3</f>
        <v>11</v>
      </c>
      <c r="M3">
        <f>N3-G3</f>
        <v>31</v>
      </c>
      <c r="N3" s="96">
        <v>383</v>
      </c>
      <c r="O3" s="40"/>
      <c r="Q3" s="49"/>
      <c r="R3" s="101"/>
      <c r="S3" s="40">
        <f>((N3-G3)/G3)*100</f>
        <v>8.8068181818181817</v>
      </c>
      <c r="T3" s="40" t="s">
        <v>60</v>
      </c>
      <c r="AA3" s="40"/>
      <c r="AZ3" s="96">
        <v>2</v>
      </c>
      <c r="BA3" s="96" t="s">
        <v>63</v>
      </c>
      <c r="BB3" s="96">
        <v>14</v>
      </c>
      <c r="BC3" s="96"/>
      <c r="BD3" s="96">
        <v>3</v>
      </c>
      <c r="BE3" s="96">
        <v>122</v>
      </c>
      <c r="BF3" s="96"/>
      <c r="BG3" s="96">
        <v>3.75</v>
      </c>
      <c r="BH3" s="96">
        <v>1</v>
      </c>
    </row>
    <row r="4" spans="1:78" x14ac:dyDescent="0.35">
      <c r="A4" s="105">
        <v>13880</v>
      </c>
      <c r="B4" s="105">
        <v>25</v>
      </c>
      <c r="C4" s="96" t="s">
        <v>62</v>
      </c>
      <c r="D4" s="96" t="s">
        <v>57</v>
      </c>
      <c r="E4" s="96" t="s">
        <v>64</v>
      </c>
      <c r="F4" s="96" t="s">
        <v>65</v>
      </c>
      <c r="G4" s="96">
        <v>417</v>
      </c>
      <c r="H4" s="40">
        <f t="shared" si="0"/>
        <v>0.12820512820512819</v>
      </c>
      <c r="I4">
        <f t="shared" si="1"/>
        <v>5</v>
      </c>
      <c r="J4" s="96">
        <v>422</v>
      </c>
      <c r="K4" s="40">
        <f>(N4-J4)/30</f>
        <v>1.4666666666666666</v>
      </c>
      <c r="L4">
        <f>N4-J4</f>
        <v>44</v>
      </c>
      <c r="M4">
        <f>N4-G4</f>
        <v>49</v>
      </c>
      <c r="N4" s="96">
        <v>466</v>
      </c>
      <c r="O4" s="40">
        <f>(R4-N4)/6</f>
        <v>2</v>
      </c>
      <c r="P4" s="40">
        <f>R4-N4</f>
        <v>12</v>
      </c>
      <c r="Q4" s="49">
        <f t="shared" ref="Q4:Q50" si="2">R4-G4</f>
        <v>61</v>
      </c>
      <c r="R4" s="96">
        <v>478</v>
      </c>
      <c r="S4" s="40">
        <f t="shared" ref="S4:S50" si="3">((R4-G4)/G4)*100</f>
        <v>14.628297362110313</v>
      </c>
      <c r="T4" s="40" t="s">
        <v>60</v>
      </c>
      <c r="U4" s="97">
        <v>54.81</v>
      </c>
      <c r="V4" s="97">
        <v>57.42</v>
      </c>
      <c r="W4" s="97">
        <v>0</v>
      </c>
      <c r="X4" s="97">
        <v>7</v>
      </c>
      <c r="Y4" s="97">
        <v>3</v>
      </c>
      <c r="Z4" s="97">
        <v>255.6</v>
      </c>
      <c r="AA4" s="40">
        <f t="shared" ref="AA4:AA50" si="4">((Z4-R4)/R4)*100</f>
        <v>-46.527196652719667</v>
      </c>
      <c r="AB4" s="97">
        <v>200</v>
      </c>
      <c r="AC4" s="97">
        <v>0</v>
      </c>
      <c r="AD4" s="97">
        <v>5</v>
      </c>
      <c r="AE4" s="97" t="s">
        <v>66</v>
      </c>
      <c r="AF4" s="97">
        <v>2</v>
      </c>
      <c r="AG4" s="97">
        <v>5.44</v>
      </c>
      <c r="AH4" s="97">
        <v>74</v>
      </c>
      <c r="AI4" s="97">
        <v>190</v>
      </c>
      <c r="AJ4" s="97">
        <v>70</v>
      </c>
      <c r="AK4" s="97">
        <v>8.3000000000000007</v>
      </c>
      <c r="AL4" s="97">
        <v>13</v>
      </c>
      <c r="AM4" s="97" t="s">
        <v>67</v>
      </c>
      <c r="AN4" s="97" t="s">
        <v>68</v>
      </c>
      <c r="AO4" s="98">
        <v>50</v>
      </c>
      <c r="AP4" s="98">
        <v>0</v>
      </c>
      <c r="AQ4" s="98">
        <v>0</v>
      </c>
      <c r="AR4" s="98">
        <v>0</v>
      </c>
      <c r="AS4" s="98"/>
      <c r="AT4" s="99" t="s">
        <v>69</v>
      </c>
      <c r="AU4" s="99" t="s">
        <v>70</v>
      </c>
      <c r="AV4" s="99"/>
      <c r="AW4">
        <v>51</v>
      </c>
      <c r="AX4" t="s">
        <v>70</v>
      </c>
      <c r="AZ4" s="96">
        <v>2</v>
      </c>
      <c r="BA4" s="96" t="s">
        <v>71</v>
      </c>
      <c r="BB4" s="96">
        <v>4</v>
      </c>
      <c r="BC4" s="96"/>
      <c r="BD4" s="96">
        <v>3</v>
      </c>
      <c r="BE4" s="96">
        <v>118</v>
      </c>
      <c r="BF4" s="96"/>
      <c r="BG4" s="96">
        <v>3.5</v>
      </c>
      <c r="BH4" s="96">
        <v>1</v>
      </c>
    </row>
    <row r="5" spans="1:78" x14ac:dyDescent="0.35">
      <c r="A5" s="105">
        <v>13910</v>
      </c>
      <c r="B5" s="105">
        <v>47</v>
      </c>
      <c r="C5" s="96" t="s">
        <v>56</v>
      </c>
      <c r="D5" s="96" t="s">
        <v>72</v>
      </c>
      <c r="E5" s="96" t="s">
        <v>73</v>
      </c>
      <c r="F5" s="96" t="s">
        <v>74</v>
      </c>
      <c r="G5" s="96">
        <v>381</v>
      </c>
      <c r="H5" s="40">
        <f t="shared" si="0"/>
        <v>0.23076923076923078</v>
      </c>
      <c r="I5">
        <f t="shared" si="1"/>
        <v>9</v>
      </c>
      <c r="J5" s="96">
        <v>390</v>
      </c>
      <c r="K5" s="40">
        <f>(N5-J5)/30</f>
        <v>1.2333333333333334</v>
      </c>
      <c r="L5">
        <f>N5-J5</f>
        <v>37</v>
      </c>
      <c r="M5">
        <f>N5-G5</f>
        <v>46</v>
      </c>
      <c r="N5" s="96">
        <v>427</v>
      </c>
      <c r="O5" s="40">
        <f>(R5-N5)/6</f>
        <v>2.1666666666666665</v>
      </c>
      <c r="P5" s="40">
        <f>R5-N5</f>
        <v>13</v>
      </c>
      <c r="Q5" s="49">
        <f t="shared" si="2"/>
        <v>59</v>
      </c>
      <c r="R5" s="96">
        <v>440</v>
      </c>
      <c r="S5" s="40">
        <f t="shared" si="3"/>
        <v>15.485564304461944</v>
      </c>
      <c r="T5" s="40" t="s">
        <v>60</v>
      </c>
      <c r="U5" s="97">
        <v>60.95</v>
      </c>
      <c r="V5" s="97">
        <v>63.56</v>
      </c>
      <c r="W5" s="97">
        <v>0</v>
      </c>
      <c r="X5" s="97">
        <v>5</v>
      </c>
      <c r="Y5" s="97">
        <v>2</v>
      </c>
      <c r="Z5" s="97">
        <v>249.8</v>
      </c>
      <c r="AA5" s="40">
        <f t="shared" si="4"/>
        <v>-43.227272727272727</v>
      </c>
      <c r="AB5" s="97">
        <v>330</v>
      </c>
      <c r="AC5" s="97">
        <v>1</v>
      </c>
      <c r="AD5" s="97">
        <v>5</v>
      </c>
      <c r="AE5" s="97" t="s">
        <v>75</v>
      </c>
      <c r="AF5" s="97">
        <v>0</v>
      </c>
      <c r="AG5" s="97">
        <v>5.47</v>
      </c>
      <c r="AH5" s="97">
        <v>73</v>
      </c>
      <c r="AI5" s="97">
        <v>120</v>
      </c>
      <c r="AJ5" s="97">
        <v>75</v>
      </c>
      <c r="AK5" s="97">
        <v>7.1</v>
      </c>
      <c r="AL5" s="97">
        <v>13</v>
      </c>
      <c r="AM5" s="97" t="s">
        <v>76</v>
      </c>
      <c r="AN5" s="97" t="s">
        <v>68</v>
      </c>
      <c r="AO5" s="98">
        <v>23</v>
      </c>
      <c r="AP5" s="98">
        <v>0</v>
      </c>
      <c r="AQ5" s="98">
        <v>0</v>
      </c>
      <c r="AR5" s="100">
        <v>1</v>
      </c>
      <c r="AS5" s="98"/>
      <c r="AT5" s="99"/>
      <c r="AU5" s="99" t="s">
        <v>70</v>
      </c>
      <c r="AV5" s="99"/>
      <c r="AW5">
        <v>60</v>
      </c>
      <c r="AX5" t="s">
        <v>70</v>
      </c>
      <c r="AZ5" s="96">
        <v>1</v>
      </c>
      <c r="BA5" s="96" t="s">
        <v>77</v>
      </c>
      <c r="BB5" s="96">
        <v>6</v>
      </c>
      <c r="BC5" s="96"/>
      <c r="BD5" s="96">
        <v>2</v>
      </c>
      <c r="BE5" s="96">
        <v>121</v>
      </c>
      <c r="BF5" s="96"/>
      <c r="BG5" s="96">
        <v>3</v>
      </c>
      <c r="BH5" s="96">
        <v>1</v>
      </c>
    </row>
    <row r="6" spans="1:78" x14ac:dyDescent="0.35">
      <c r="A6" s="88">
        <v>13916</v>
      </c>
      <c r="B6" s="88">
        <v>50</v>
      </c>
      <c r="C6" s="86" t="s">
        <v>78</v>
      </c>
      <c r="D6" s="86" t="s">
        <v>57</v>
      </c>
      <c r="E6" s="86" t="s">
        <v>79</v>
      </c>
      <c r="F6" s="86" t="s">
        <v>80</v>
      </c>
      <c r="G6" s="86">
        <v>352</v>
      </c>
      <c r="H6" s="87">
        <f t="shared" si="0"/>
        <v>0.20512820512820512</v>
      </c>
      <c r="I6" s="88">
        <f t="shared" si="1"/>
        <v>8</v>
      </c>
      <c r="J6" s="86">
        <v>360</v>
      </c>
      <c r="K6" s="87">
        <f>(N6-J6)/30</f>
        <v>1.3333333333333333</v>
      </c>
      <c r="L6" s="88">
        <f>N6-J6</f>
        <v>40</v>
      </c>
      <c r="M6" s="88">
        <f>N6-G6</f>
        <v>48</v>
      </c>
      <c r="N6" s="86">
        <v>400</v>
      </c>
      <c r="O6" s="87">
        <f>(R6-N6)/6</f>
        <v>1.8333333333333333</v>
      </c>
      <c r="P6" s="87">
        <f>R6-N6</f>
        <v>11</v>
      </c>
      <c r="Q6" s="89">
        <f t="shared" si="2"/>
        <v>59</v>
      </c>
      <c r="R6" s="86">
        <v>411</v>
      </c>
      <c r="S6" s="87">
        <f t="shared" si="3"/>
        <v>16.761363636363637</v>
      </c>
      <c r="T6" s="87" t="s">
        <v>81</v>
      </c>
      <c r="U6" s="102">
        <v>58.71</v>
      </c>
      <c r="V6" s="102">
        <v>61.32</v>
      </c>
      <c r="W6" s="102">
        <v>0</v>
      </c>
      <c r="X6" s="102">
        <v>7</v>
      </c>
      <c r="Y6" s="102">
        <v>3</v>
      </c>
      <c r="Z6" s="102">
        <v>244.9</v>
      </c>
      <c r="AA6" s="87">
        <f t="shared" si="4"/>
        <v>-40.413625304136254</v>
      </c>
      <c r="AB6" s="102">
        <v>390</v>
      </c>
      <c r="AC6" s="102">
        <v>1</v>
      </c>
      <c r="AD6" s="102">
        <v>7</v>
      </c>
      <c r="AE6" s="102" t="s">
        <v>75</v>
      </c>
      <c r="AF6" s="102">
        <v>1</v>
      </c>
      <c r="AG6" s="102">
        <v>5.39</v>
      </c>
      <c r="AH6" s="102">
        <v>73</v>
      </c>
      <c r="AI6" s="102">
        <v>170</v>
      </c>
      <c r="AJ6" s="102">
        <v>75</v>
      </c>
      <c r="AK6" s="102">
        <v>7</v>
      </c>
      <c r="AL6" s="102">
        <v>13</v>
      </c>
      <c r="AM6" s="102" t="s">
        <v>76</v>
      </c>
      <c r="AN6" s="102" t="s">
        <v>68</v>
      </c>
      <c r="AO6" s="103">
        <v>32</v>
      </c>
      <c r="AP6" s="103">
        <v>0</v>
      </c>
      <c r="AQ6" s="103">
        <v>0</v>
      </c>
      <c r="AR6" s="103">
        <v>0</v>
      </c>
      <c r="AS6" s="103"/>
      <c r="AT6" s="104" t="s">
        <v>82</v>
      </c>
      <c r="AU6" s="104" t="s">
        <v>83</v>
      </c>
      <c r="AV6" s="104"/>
      <c r="AW6" s="88">
        <v>54</v>
      </c>
      <c r="AX6" s="88" t="s">
        <v>70</v>
      </c>
      <c r="AY6" s="88"/>
      <c r="AZ6" s="86">
        <v>2.5</v>
      </c>
      <c r="BA6" s="86" t="s">
        <v>61</v>
      </c>
      <c r="BB6" s="86">
        <v>3</v>
      </c>
      <c r="BC6" s="86"/>
      <c r="BD6" s="86">
        <v>2</v>
      </c>
      <c r="BE6" s="86">
        <v>131</v>
      </c>
      <c r="BF6" s="86"/>
      <c r="BG6" s="86">
        <v>3</v>
      </c>
      <c r="BH6" s="86">
        <v>3</v>
      </c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</row>
    <row r="7" spans="1:78" x14ac:dyDescent="0.35">
      <c r="A7" s="105">
        <v>13833</v>
      </c>
      <c r="B7" s="105">
        <v>1</v>
      </c>
      <c r="C7" s="36" t="s">
        <v>84</v>
      </c>
      <c r="D7" s="96" t="s">
        <v>72</v>
      </c>
      <c r="E7" s="96" t="s">
        <v>85</v>
      </c>
      <c r="F7" s="96" t="s">
        <v>86</v>
      </c>
      <c r="G7" s="96">
        <v>379</v>
      </c>
      <c r="H7" s="40">
        <f t="shared" si="0"/>
        <v>0.79487179487179482</v>
      </c>
      <c r="I7">
        <f t="shared" si="1"/>
        <v>31</v>
      </c>
      <c r="J7" s="96">
        <v>410</v>
      </c>
      <c r="L7" s="43"/>
      <c r="M7" s="43"/>
      <c r="N7" s="53"/>
      <c r="O7" s="43"/>
      <c r="P7" s="50"/>
      <c r="Q7" s="49">
        <f t="shared" si="2"/>
        <v>66</v>
      </c>
      <c r="R7" s="96">
        <v>445</v>
      </c>
      <c r="S7" s="40">
        <f t="shared" si="3"/>
        <v>17.414248021108179</v>
      </c>
      <c r="T7" s="87" t="s">
        <v>81</v>
      </c>
      <c r="U7" s="97">
        <v>56.48</v>
      </c>
      <c r="V7" s="97">
        <v>59.09</v>
      </c>
      <c r="W7" s="97">
        <v>0</v>
      </c>
      <c r="X7" s="97">
        <v>6</v>
      </c>
      <c r="Y7" s="97">
        <v>2</v>
      </c>
      <c r="Z7" s="97">
        <v>270.5</v>
      </c>
      <c r="AA7" s="40">
        <f t="shared" si="4"/>
        <v>-39.213483146067418</v>
      </c>
      <c r="AB7" s="97">
        <v>300</v>
      </c>
      <c r="AC7" s="97">
        <v>1</v>
      </c>
      <c r="AD7" s="97">
        <v>6</v>
      </c>
      <c r="AE7" s="97" t="s">
        <v>75</v>
      </c>
      <c r="AF7" s="97">
        <v>1</v>
      </c>
      <c r="AG7" s="97">
        <v>5.43</v>
      </c>
      <c r="AH7" s="97">
        <v>63</v>
      </c>
      <c r="AI7" s="97">
        <v>120</v>
      </c>
      <c r="AJ7" s="97">
        <v>110</v>
      </c>
      <c r="AK7" s="97">
        <v>7.2</v>
      </c>
      <c r="AL7" s="97">
        <v>13</v>
      </c>
      <c r="AM7" s="97" t="s">
        <v>76</v>
      </c>
      <c r="AN7" s="97" t="s">
        <v>68</v>
      </c>
      <c r="AO7" s="98">
        <v>46</v>
      </c>
      <c r="AP7" s="98">
        <v>0</v>
      </c>
      <c r="AQ7" s="98">
        <v>0</v>
      </c>
      <c r="AR7" s="98">
        <v>0</v>
      </c>
      <c r="AS7" s="98"/>
      <c r="AT7" s="99"/>
      <c r="AU7" s="99" t="s">
        <v>70</v>
      </c>
      <c r="AV7" s="99"/>
      <c r="AW7">
        <v>34</v>
      </c>
      <c r="AX7" t="s">
        <v>70</v>
      </c>
      <c r="AZ7" s="96">
        <v>1</v>
      </c>
      <c r="BA7" s="96" t="s">
        <v>87</v>
      </c>
      <c r="BB7" s="96">
        <v>10</v>
      </c>
      <c r="BC7" s="96"/>
      <c r="BD7" s="96">
        <v>3</v>
      </c>
      <c r="BE7" s="96">
        <v>112</v>
      </c>
      <c r="BF7" s="96"/>
      <c r="BG7" s="96">
        <v>4.25</v>
      </c>
      <c r="BH7" s="96">
        <v>1</v>
      </c>
    </row>
    <row r="8" spans="1:78" x14ac:dyDescent="0.35">
      <c r="A8" s="105">
        <v>13882</v>
      </c>
      <c r="B8" s="105">
        <v>26</v>
      </c>
      <c r="C8" s="96" t="s">
        <v>62</v>
      </c>
      <c r="D8" s="96" t="s">
        <v>57</v>
      </c>
      <c r="E8" s="96" t="s">
        <v>88</v>
      </c>
      <c r="F8" s="96" t="s">
        <v>89</v>
      </c>
      <c r="G8" s="96">
        <v>345</v>
      </c>
      <c r="H8" s="40">
        <f t="shared" si="0"/>
        <v>0.79487179487179482</v>
      </c>
      <c r="I8">
        <f t="shared" si="1"/>
        <v>31</v>
      </c>
      <c r="J8" s="96">
        <v>376</v>
      </c>
      <c r="K8" s="40">
        <f t="shared" ref="K8:K19" si="5">(N8-J8)/30</f>
        <v>0.66666666666666663</v>
      </c>
      <c r="L8">
        <f t="shared" ref="L8:L19" si="6">N8-J8</f>
        <v>20</v>
      </c>
      <c r="M8">
        <f t="shared" ref="M8:M19" si="7">N8-G8</f>
        <v>51</v>
      </c>
      <c r="N8" s="96">
        <v>396</v>
      </c>
      <c r="O8" s="40">
        <f t="shared" ref="O8:O19" si="8">(R8-N8)/6</f>
        <v>1.8333333333333333</v>
      </c>
      <c r="P8" s="40">
        <f t="shared" ref="P8:P19" si="9">R8-N8</f>
        <v>11</v>
      </c>
      <c r="Q8" s="49">
        <f t="shared" si="2"/>
        <v>62</v>
      </c>
      <c r="R8" s="96">
        <v>407</v>
      </c>
      <c r="S8" s="40">
        <f t="shared" si="3"/>
        <v>17.971014492753625</v>
      </c>
      <c r="T8" s="87" t="s">
        <v>81</v>
      </c>
      <c r="U8" s="97">
        <v>60.33</v>
      </c>
      <c r="V8" s="97">
        <v>62.94</v>
      </c>
      <c r="W8" s="97">
        <v>0</v>
      </c>
      <c r="X8" s="97">
        <v>5</v>
      </c>
      <c r="Y8" s="97">
        <v>2</v>
      </c>
      <c r="Z8" s="97">
        <v>251.1</v>
      </c>
      <c r="AA8" s="40">
        <f t="shared" si="4"/>
        <v>-38.304668304668304</v>
      </c>
      <c r="AB8" s="97">
        <v>350</v>
      </c>
      <c r="AC8" s="97">
        <v>1</v>
      </c>
      <c r="AD8" s="97">
        <v>5</v>
      </c>
      <c r="AE8" s="97" t="s">
        <v>75</v>
      </c>
      <c r="AF8" s="97">
        <v>0</v>
      </c>
      <c r="AG8" s="97">
        <v>5.39</v>
      </c>
      <c r="AH8" s="97">
        <v>70</v>
      </c>
      <c r="AI8" s="97">
        <v>130</v>
      </c>
      <c r="AJ8" s="97">
        <v>75</v>
      </c>
      <c r="AK8" s="97">
        <v>6.9</v>
      </c>
      <c r="AL8" s="97">
        <v>13</v>
      </c>
      <c r="AM8" s="97" t="s">
        <v>76</v>
      </c>
      <c r="AN8" s="97" t="s">
        <v>68</v>
      </c>
      <c r="AO8" s="98">
        <v>63</v>
      </c>
      <c r="AP8" s="98">
        <v>0</v>
      </c>
      <c r="AQ8" s="98">
        <v>0</v>
      </c>
      <c r="AR8" s="98">
        <v>0</v>
      </c>
      <c r="AS8" s="98"/>
      <c r="AT8" s="99" t="s">
        <v>90</v>
      </c>
      <c r="AU8" s="99" t="s">
        <v>70</v>
      </c>
      <c r="AV8" s="99"/>
      <c r="AW8">
        <v>97</v>
      </c>
      <c r="AX8" t="s">
        <v>70</v>
      </c>
      <c r="AZ8" s="96">
        <v>2</v>
      </c>
      <c r="BA8" s="96" t="s">
        <v>91</v>
      </c>
      <c r="BB8" s="96">
        <v>1</v>
      </c>
      <c r="BC8" s="96"/>
      <c r="BD8" s="96">
        <v>4</v>
      </c>
      <c r="BE8" s="96">
        <v>120</v>
      </c>
      <c r="BF8" s="96"/>
      <c r="BG8" s="96">
        <v>2.25</v>
      </c>
      <c r="BH8" s="96">
        <v>1</v>
      </c>
    </row>
    <row r="9" spans="1:78" x14ac:dyDescent="0.35">
      <c r="A9" s="105">
        <v>13899</v>
      </c>
      <c r="B9" s="105">
        <v>39</v>
      </c>
      <c r="C9" s="96" t="s">
        <v>56</v>
      </c>
      <c r="D9" s="96" t="s">
        <v>57</v>
      </c>
      <c r="E9" s="96" t="s">
        <v>92</v>
      </c>
      <c r="F9" s="96" t="s">
        <v>93</v>
      </c>
      <c r="G9" s="96">
        <v>349</v>
      </c>
      <c r="H9" s="40">
        <f t="shared" si="0"/>
        <v>0.38461538461538464</v>
      </c>
      <c r="I9">
        <f t="shared" si="1"/>
        <v>15</v>
      </c>
      <c r="J9" s="96">
        <v>364</v>
      </c>
      <c r="K9" s="40">
        <f t="shared" si="5"/>
        <v>1.3333333333333333</v>
      </c>
      <c r="L9">
        <f t="shared" si="6"/>
        <v>40</v>
      </c>
      <c r="M9">
        <f t="shared" si="7"/>
        <v>55</v>
      </c>
      <c r="N9" s="96">
        <v>404</v>
      </c>
      <c r="O9" s="40">
        <f t="shared" si="8"/>
        <v>1.8333333333333333</v>
      </c>
      <c r="P9" s="40">
        <f t="shared" si="9"/>
        <v>11</v>
      </c>
      <c r="Q9" s="49">
        <f t="shared" si="2"/>
        <v>66</v>
      </c>
      <c r="R9" s="96">
        <v>415</v>
      </c>
      <c r="S9" s="40">
        <f t="shared" si="3"/>
        <v>18.911174785100286</v>
      </c>
      <c r="T9" s="87" t="s">
        <v>81</v>
      </c>
      <c r="U9" s="97">
        <v>58.73</v>
      </c>
      <c r="V9" s="97">
        <v>61.34</v>
      </c>
      <c r="W9" s="97">
        <v>0</v>
      </c>
      <c r="X9" s="97">
        <v>5</v>
      </c>
      <c r="Y9" s="97">
        <v>2</v>
      </c>
      <c r="Z9" s="97">
        <v>275.10000000000002</v>
      </c>
      <c r="AA9" s="40">
        <f t="shared" si="4"/>
        <v>-33.710843373493972</v>
      </c>
      <c r="AB9" s="97">
        <v>300</v>
      </c>
      <c r="AC9" s="97">
        <v>1</v>
      </c>
      <c r="AD9" s="97">
        <v>5</v>
      </c>
      <c r="AE9" s="97" t="s">
        <v>75</v>
      </c>
      <c r="AF9" s="97">
        <v>1</v>
      </c>
      <c r="AG9" s="97">
        <v>5.51</v>
      </c>
      <c r="AH9" s="97">
        <v>70</v>
      </c>
      <c r="AI9" s="97">
        <v>110</v>
      </c>
      <c r="AJ9" s="97">
        <v>100</v>
      </c>
      <c r="AK9" s="97">
        <v>7.2</v>
      </c>
      <c r="AL9" s="97">
        <v>13</v>
      </c>
      <c r="AM9" s="97" t="s">
        <v>76</v>
      </c>
      <c r="AN9" s="97" t="s">
        <v>68</v>
      </c>
      <c r="AO9" s="98">
        <v>92</v>
      </c>
      <c r="AP9" s="98">
        <v>0</v>
      </c>
      <c r="AQ9" s="98">
        <v>0</v>
      </c>
      <c r="AR9" s="98">
        <v>0</v>
      </c>
      <c r="AS9" s="98"/>
      <c r="AT9" s="99"/>
      <c r="AU9" s="99" t="s">
        <v>70</v>
      </c>
      <c r="AV9" s="99"/>
      <c r="AW9">
        <v>112</v>
      </c>
      <c r="AX9" t="s">
        <v>70</v>
      </c>
      <c r="AZ9" s="96">
        <v>3</v>
      </c>
      <c r="BA9" s="96" t="s">
        <v>94</v>
      </c>
      <c r="BB9" s="96">
        <v>2</v>
      </c>
      <c r="BC9" s="96"/>
      <c r="BD9" s="96">
        <v>3</v>
      </c>
      <c r="BE9" s="96">
        <v>122</v>
      </c>
      <c r="BF9" s="96"/>
      <c r="BG9" s="96">
        <v>3.25</v>
      </c>
      <c r="BH9" s="96">
        <v>1</v>
      </c>
    </row>
    <row r="10" spans="1:78" x14ac:dyDescent="0.35">
      <c r="A10" s="105">
        <v>13902</v>
      </c>
      <c r="B10" s="105">
        <v>41</v>
      </c>
      <c r="C10" s="96" t="s">
        <v>56</v>
      </c>
      <c r="D10" s="96" t="s">
        <v>72</v>
      </c>
      <c r="E10" s="96" t="s">
        <v>88</v>
      </c>
      <c r="F10" s="96" t="s">
        <v>89</v>
      </c>
      <c r="G10" s="96">
        <v>385</v>
      </c>
      <c r="H10" s="40">
        <f t="shared" si="0"/>
        <v>0.64102564102564108</v>
      </c>
      <c r="I10">
        <f t="shared" si="1"/>
        <v>25</v>
      </c>
      <c r="J10" s="96">
        <v>410</v>
      </c>
      <c r="K10" s="40">
        <f t="shared" si="5"/>
        <v>1.3</v>
      </c>
      <c r="L10">
        <f t="shared" si="6"/>
        <v>39</v>
      </c>
      <c r="M10">
        <f t="shared" si="7"/>
        <v>64</v>
      </c>
      <c r="N10" s="96">
        <v>449</v>
      </c>
      <c r="O10" s="40">
        <f t="shared" si="8"/>
        <v>2</v>
      </c>
      <c r="P10" s="40">
        <f t="shared" si="9"/>
        <v>12</v>
      </c>
      <c r="Q10" s="49">
        <f t="shared" si="2"/>
        <v>76</v>
      </c>
      <c r="R10" s="96">
        <v>461</v>
      </c>
      <c r="S10" s="40">
        <f t="shared" si="3"/>
        <v>19.740259740259742</v>
      </c>
      <c r="T10" s="87" t="s">
        <v>81</v>
      </c>
      <c r="U10" s="97">
        <v>60.31</v>
      </c>
      <c r="V10" s="97">
        <v>62.92</v>
      </c>
      <c r="W10" s="97">
        <v>0</v>
      </c>
      <c r="X10" s="97">
        <v>8</v>
      </c>
      <c r="Y10" s="97">
        <v>3</v>
      </c>
      <c r="Z10" s="97">
        <v>271</v>
      </c>
      <c r="AA10" s="40">
        <f t="shared" si="4"/>
        <v>-41.214750542299349</v>
      </c>
      <c r="AB10" s="97">
        <v>350</v>
      </c>
      <c r="AC10" s="97">
        <v>1</v>
      </c>
      <c r="AD10" s="97">
        <v>5</v>
      </c>
      <c r="AE10" s="97" t="s">
        <v>75</v>
      </c>
      <c r="AF10" s="97">
        <v>0</v>
      </c>
      <c r="AG10" s="97">
        <v>5.43</v>
      </c>
      <c r="AH10" s="97">
        <v>72</v>
      </c>
      <c r="AI10" s="97">
        <v>120</v>
      </c>
      <c r="AJ10" s="97">
        <v>85</v>
      </c>
      <c r="AK10" s="97">
        <v>6.9</v>
      </c>
      <c r="AL10" s="97">
        <v>13</v>
      </c>
      <c r="AM10" s="97" t="s">
        <v>76</v>
      </c>
      <c r="AN10" s="97" t="s">
        <v>68</v>
      </c>
      <c r="AO10" s="98">
        <v>111</v>
      </c>
      <c r="AP10" s="98">
        <v>0</v>
      </c>
      <c r="AQ10" s="98">
        <v>0</v>
      </c>
      <c r="AR10" s="98">
        <v>0</v>
      </c>
      <c r="AS10" s="98"/>
      <c r="AT10" s="99"/>
      <c r="AU10" s="99" t="s">
        <v>70</v>
      </c>
      <c r="AV10" s="99"/>
      <c r="AW10">
        <v>21</v>
      </c>
      <c r="AX10" t="s">
        <v>70</v>
      </c>
      <c r="AZ10" s="96">
        <v>2</v>
      </c>
      <c r="BA10" s="96" t="s">
        <v>63</v>
      </c>
      <c r="BB10" s="96">
        <v>14</v>
      </c>
      <c r="BC10" s="96"/>
      <c r="BD10" s="96">
        <v>2</v>
      </c>
      <c r="BE10" s="96">
        <v>130</v>
      </c>
      <c r="BF10" s="96"/>
      <c r="BG10" s="96">
        <v>3.25</v>
      </c>
      <c r="BH10" s="96">
        <v>1</v>
      </c>
    </row>
    <row r="11" spans="1:78" x14ac:dyDescent="0.35">
      <c r="A11" s="105">
        <v>13887</v>
      </c>
      <c r="B11" s="105">
        <v>30</v>
      </c>
      <c r="C11" s="96" t="s">
        <v>62</v>
      </c>
      <c r="D11" s="96" t="s">
        <v>57</v>
      </c>
      <c r="E11" s="96" t="s">
        <v>73</v>
      </c>
      <c r="F11" s="96" t="s">
        <v>74</v>
      </c>
      <c r="G11" s="96">
        <v>365</v>
      </c>
      <c r="H11" s="40">
        <f t="shared" si="0"/>
        <v>0.58974358974358976</v>
      </c>
      <c r="I11">
        <f t="shared" si="1"/>
        <v>23</v>
      </c>
      <c r="J11" s="96">
        <v>388</v>
      </c>
      <c r="K11" s="40">
        <f t="shared" si="5"/>
        <v>1.3333333333333333</v>
      </c>
      <c r="L11">
        <f t="shared" si="6"/>
        <v>40</v>
      </c>
      <c r="M11">
        <f t="shared" si="7"/>
        <v>63</v>
      </c>
      <c r="N11" s="96">
        <v>428</v>
      </c>
      <c r="O11" s="40">
        <f t="shared" si="8"/>
        <v>1.6666666666666667</v>
      </c>
      <c r="P11" s="40">
        <f t="shared" si="9"/>
        <v>10</v>
      </c>
      <c r="Q11" s="49">
        <f t="shared" si="2"/>
        <v>73</v>
      </c>
      <c r="R11" s="96">
        <v>438</v>
      </c>
      <c r="S11" s="40">
        <f t="shared" si="3"/>
        <v>20</v>
      </c>
      <c r="T11" s="87" t="s">
        <v>81</v>
      </c>
      <c r="U11" s="97">
        <v>57.45</v>
      </c>
      <c r="V11" s="97">
        <v>60.06</v>
      </c>
      <c r="W11" s="97">
        <v>0</v>
      </c>
      <c r="X11" s="97">
        <v>14</v>
      </c>
      <c r="Y11" s="97">
        <v>4</v>
      </c>
      <c r="Z11" s="97">
        <v>253.8</v>
      </c>
      <c r="AA11" s="40">
        <f t="shared" si="4"/>
        <v>-42.054794520547944</v>
      </c>
      <c r="AB11" s="97">
        <v>300</v>
      </c>
      <c r="AC11" s="97">
        <v>1</v>
      </c>
      <c r="AD11" s="97">
        <v>10</v>
      </c>
      <c r="AE11" s="97" t="s">
        <v>75</v>
      </c>
      <c r="AF11" s="97">
        <v>1</v>
      </c>
      <c r="AG11" s="97">
        <v>5.43</v>
      </c>
      <c r="AH11" s="97">
        <v>68</v>
      </c>
      <c r="AI11" s="97">
        <v>150</v>
      </c>
      <c r="AJ11" s="97">
        <v>85</v>
      </c>
      <c r="AK11" s="97">
        <v>6.5</v>
      </c>
      <c r="AL11" s="97">
        <v>13</v>
      </c>
      <c r="AM11" s="97" t="s">
        <v>76</v>
      </c>
      <c r="AN11" s="97" t="s">
        <v>68</v>
      </c>
      <c r="AO11" s="98">
        <v>45</v>
      </c>
      <c r="AP11" s="98">
        <v>0</v>
      </c>
      <c r="AQ11" s="98">
        <v>0</v>
      </c>
      <c r="AR11" s="100">
        <v>1</v>
      </c>
      <c r="AS11" s="98"/>
      <c r="AT11" s="99"/>
      <c r="AU11" s="99" t="s">
        <v>70</v>
      </c>
      <c r="AV11" s="99"/>
      <c r="AW11">
        <v>7</v>
      </c>
      <c r="AX11" t="s">
        <v>70</v>
      </c>
      <c r="AZ11" s="96">
        <v>2</v>
      </c>
      <c r="BA11" s="96" t="s">
        <v>95</v>
      </c>
      <c r="BB11" s="96">
        <v>12</v>
      </c>
      <c r="BC11" s="96"/>
      <c r="BD11" s="96">
        <v>2</v>
      </c>
      <c r="BE11" s="96">
        <v>120</v>
      </c>
      <c r="BF11" s="96"/>
      <c r="BG11" s="96">
        <v>3.5</v>
      </c>
      <c r="BH11" s="96">
        <v>2</v>
      </c>
    </row>
    <row r="12" spans="1:78" x14ac:dyDescent="0.35">
      <c r="A12" s="105">
        <v>13877</v>
      </c>
      <c r="B12" s="105">
        <v>23</v>
      </c>
      <c r="C12" s="96" t="s">
        <v>62</v>
      </c>
      <c r="D12" s="96" t="s">
        <v>57</v>
      </c>
      <c r="E12" s="96" t="s">
        <v>88</v>
      </c>
      <c r="F12" s="96" t="s">
        <v>89</v>
      </c>
      <c r="G12" s="96">
        <v>358</v>
      </c>
      <c r="H12" s="40">
        <f t="shared" si="0"/>
        <v>0.84615384615384615</v>
      </c>
      <c r="I12">
        <f t="shared" si="1"/>
        <v>33</v>
      </c>
      <c r="J12" s="96">
        <v>391</v>
      </c>
      <c r="K12" s="40">
        <f t="shared" si="5"/>
        <v>1.0333333333333334</v>
      </c>
      <c r="L12">
        <f t="shared" si="6"/>
        <v>31</v>
      </c>
      <c r="M12">
        <f t="shared" si="7"/>
        <v>64</v>
      </c>
      <c r="N12" s="96">
        <v>422</v>
      </c>
      <c r="O12" s="40">
        <f t="shared" si="8"/>
        <v>1.5</v>
      </c>
      <c r="P12" s="40">
        <f t="shared" si="9"/>
        <v>9</v>
      </c>
      <c r="Q12" s="49">
        <f t="shared" si="2"/>
        <v>73</v>
      </c>
      <c r="R12" s="96">
        <v>431</v>
      </c>
      <c r="S12" s="40">
        <f t="shared" si="3"/>
        <v>20.391061452513966</v>
      </c>
      <c r="T12" s="87" t="s">
        <v>81</v>
      </c>
      <c r="U12" s="97">
        <v>55.96</v>
      </c>
      <c r="V12" s="97">
        <v>58.57</v>
      </c>
      <c r="W12" s="97">
        <v>0</v>
      </c>
      <c r="X12" s="97">
        <v>6</v>
      </c>
      <c r="Y12" s="97">
        <v>2</v>
      </c>
      <c r="Z12" s="97">
        <v>270</v>
      </c>
      <c r="AA12" s="40">
        <f t="shared" si="4"/>
        <v>-37.354988399071928</v>
      </c>
      <c r="AB12" s="97">
        <v>190</v>
      </c>
      <c r="AC12" s="97">
        <v>0</v>
      </c>
      <c r="AD12" s="97">
        <v>6</v>
      </c>
      <c r="AE12" s="97" t="s">
        <v>75</v>
      </c>
      <c r="AF12" s="97">
        <v>1</v>
      </c>
      <c r="AG12" s="97">
        <v>5.4</v>
      </c>
      <c r="AH12" s="97">
        <v>69</v>
      </c>
      <c r="AI12" s="97">
        <v>120</v>
      </c>
      <c r="AJ12" s="97">
        <v>100</v>
      </c>
      <c r="AK12" s="97">
        <v>7</v>
      </c>
      <c r="AL12" s="97">
        <v>13</v>
      </c>
      <c r="AM12" s="97" t="s">
        <v>76</v>
      </c>
      <c r="AN12" s="97" t="s">
        <v>68</v>
      </c>
      <c r="AO12" s="98">
        <v>19</v>
      </c>
      <c r="AP12" s="98">
        <v>0</v>
      </c>
      <c r="AQ12" s="98">
        <v>0</v>
      </c>
      <c r="AR12" s="100">
        <v>1</v>
      </c>
      <c r="AS12" s="98"/>
      <c r="AT12" s="99"/>
      <c r="AU12" s="99" t="s">
        <v>70</v>
      </c>
      <c r="AV12" s="99"/>
      <c r="AW12">
        <v>13</v>
      </c>
      <c r="AX12" t="s">
        <v>70</v>
      </c>
      <c r="AZ12" s="96">
        <v>1</v>
      </c>
      <c r="BA12" s="96" t="s">
        <v>95</v>
      </c>
      <c r="BB12" s="96">
        <v>12</v>
      </c>
      <c r="BC12" s="96"/>
      <c r="BD12" s="96">
        <v>2</v>
      </c>
      <c r="BE12" s="96">
        <v>119</v>
      </c>
      <c r="BF12" s="96"/>
      <c r="BG12" s="96">
        <v>3.5</v>
      </c>
      <c r="BH12" s="96">
        <v>1</v>
      </c>
    </row>
    <row r="13" spans="1:78" x14ac:dyDescent="0.35">
      <c r="A13" s="105">
        <v>13907</v>
      </c>
      <c r="B13" s="105">
        <v>45</v>
      </c>
      <c r="C13" s="96" t="s">
        <v>56</v>
      </c>
      <c r="D13" s="96" t="s">
        <v>57</v>
      </c>
      <c r="E13" s="96" t="s">
        <v>73</v>
      </c>
      <c r="F13" s="96" t="s">
        <v>74</v>
      </c>
      <c r="G13" s="96">
        <v>352</v>
      </c>
      <c r="H13" s="40">
        <f t="shared" si="0"/>
        <v>0.5641025641025641</v>
      </c>
      <c r="I13">
        <f t="shared" si="1"/>
        <v>22</v>
      </c>
      <c r="J13" s="96">
        <v>374</v>
      </c>
      <c r="K13" s="40">
        <f t="shared" si="5"/>
        <v>1.2</v>
      </c>
      <c r="L13">
        <f t="shared" si="6"/>
        <v>36</v>
      </c>
      <c r="M13">
        <f t="shared" si="7"/>
        <v>58</v>
      </c>
      <c r="N13" s="96">
        <v>410</v>
      </c>
      <c r="O13" s="40">
        <f t="shared" si="8"/>
        <v>2.3333333333333335</v>
      </c>
      <c r="P13" s="40">
        <f t="shared" si="9"/>
        <v>14</v>
      </c>
      <c r="Q13" s="49">
        <f t="shared" si="2"/>
        <v>72</v>
      </c>
      <c r="R13" s="96">
        <v>424</v>
      </c>
      <c r="S13" s="40">
        <f t="shared" si="3"/>
        <v>20.454545454545457</v>
      </c>
      <c r="T13" s="87" t="s">
        <v>81</v>
      </c>
      <c r="U13" s="97">
        <v>51.85</v>
      </c>
      <c r="V13" s="97">
        <v>54.46</v>
      </c>
      <c r="W13" s="97">
        <v>0</v>
      </c>
      <c r="X13" s="97">
        <v>6</v>
      </c>
      <c r="Y13" s="97">
        <v>2</v>
      </c>
      <c r="Z13" s="97">
        <v>248.4</v>
      </c>
      <c r="AA13" s="40">
        <f t="shared" si="4"/>
        <v>-41.415094339622641</v>
      </c>
      <c r="AB13" s="97">
        <v>240</v>
      </c>
      <c r="AC13" s="97">
        <v>0</v>
      </c>
      <c r="AD13" s="97">
        <v>5</v>
      </c>
      <c r="AE13" s="97" t="s">
        <v>75</v>
      </c>
      <c r="AF13" s="97">
        <v>1</v>
      </c>
      <c r="AG13" s="97">
        <v>5.36</v>
      </c>
      <c r="AH13" s="97">
        <v>66</v>
      </c>
      <c r="AI13" s="97">
        <v>150</v>
      </c>
      <c r="AJ13" s="97">
        <v>135</v>
      </c>
      <c r="AK13" s="97">
        <v>8.1999999999999993</v>
      </c>
      <c r="AL13" s="97">
        <v>13</v>
      </c>
      <c r="AM13" s="97" t="s">
        <v>67</v>
      </c>
      <c r="AN13" s="97" t="s">
        <v>68</v>
      </c>
      <c r="AO13" s="98">
        <v>1</v>
      </c>
      <c r="AP13" s="98">
        <v>0</v>
      </c>
      <c r="AQ13" s="98">
        <v>0</v>
      </c>
      <c r="AR13" s="100">
        <v>1</v>
      </c>
      <c r="AS13" s="98"/>
      <c r="AT13" s="99"/>
      <c r="AU13" s="99" t="s">
        <v>70</v>
      </c>
      <c r="AV13" s="99"/>
      <c r="AW13">
        <v>71</v>
      </c>
      <c r="AX13" t="s">
        <v>70</v>
      </c>
      <c r="AZ13" s="96">
        <v>1</v>
      </c>
      <c r="BA13" s="96" t="s">
        <v>61</v>
      </c>
      <c r="BB13" s="96">
        <v>3</v>
      </c>
      <c r="BC13" s="96"/>
      <c r="BD13" s="96">
        <v>4</v>
      </c>
      <c r="BE13" s="96">
        <v>119</v>
      </c>
      <c r="BF13" s="96"/>
      <c r="BG13" s="96">
        <v>3.25</v>
      </c>
      <c r="BH13" s="96">
        <v>1</v>
      </c>
    </row>
    <row r="14" spans="1:78" x14ac:dyDescent="0.35">
      <c r="A14" s="105">
        <v>13852</v>
      </c>
      <c r="B14" s="105">
        <v>11</v>
      </c>
      <c r="C14" s="36" t="s">
        <v>84</v>
      </c>
      <c r="D14" s="96" t="s">
        <v>72</v>
      </c>
      <c r="E14" s="96" t="s">
        <v>88</v>
      </c>
      <c r="F14" s="96" t="s">
        <v>89</v>
      </c>
      <c r="G14" s="96">
        <v>380</v>
      </c>
      <c r="H14" s="40">
        <f t="shared" si="0"/>
        <v>0.74358974358974361</v>
      </c>
      <c r="I14">
        <f t="shared" si="1"/>
        <v>29</v>
      </c>
      <c r="J14" s="96">
        <v>409</v>
      </c>
      <c r="K14" s="40">
        <f t="shared" si="5"/>
        <v>1.2333333333333334</v>
      </c>
      <c r="L14">
        <f t="shared" si="6"/>
        <v>37</v>
      </c>
      <c r="M14">
        <f t="shared" si="7"/>
        <v>66</v>
      </c>
      <c r="N14" s="96">
        <v>446</v>
      </c>
      <c r="O14" s="40">
        <f t="shared" si="8"/>
        <v>2</v>
      </c>
      <c r="P14" s="40">
        <f t="shared" si="9"/>
        <v>12</v>
      </c>
      <c r="Q14" s="49">
        <f t="shared" si="2"/>
        <v>78</v>
      </c>
      <c r="R14" s="96">
        <v>458</v>
      </c>
      <c r="S14" s="40">
        <f t="shared" si="3"/>
        <v>20.526315789473685</v>
      </c>
      <c r="T14" s="87" t="s">
        <v>81</v>
      </c>
      <c r="U14" s="97">
        <v>61.25</v>
      </c>
      <c r="V14" s="97">
        <v>63.86</v>
      </c>
      <c r="W14" s="97">
        <v>0</v>
      </c>
      <c r="X14" s="97">
        <v>12</v>
      </c>
      <c r="Y14" s="97">
        <v>3</v>
      </c>
      <c r="Z14" s="97">
        <v>251</v>
      </c>
      <c r="AA14" s="40">
        <f t="shared" si="4"/>
        <v>-45.196506550218338</v>
      </c>
      <c r="AB14" s="97">
        <v>350</v>
      </c>
      <c r="AC14" s="97">
        <v>1</v>
      </c>
      <c r="AD14" s="97">
        <v>8</v>
      </c>
      <c r="AE14" s="97" t="s">
        <v>75</v>
      </c>
      <c r="AF14" s="97">
        <v>0</v>
      </c>
      <c r="AG14" s="97">
        <v>5.39</v>
      </c>
      <c r="AH14" s="97">
        <v>70</v>
      </c>
      <c r="AI14" s="97">
        <v>120</v>
      </c>
      <c r="AJ14" s="97">
        <v>85</v>
      </c>
      <c r="AK14" s="97">
        <v>6.9</v>
      </c>
      <c r="AL14" s="97">
        <v>13</v>
      </c>
      <c r="AM14" s="97" t="s">
        <v>76</v>
      </c>
      <c r="AN14" s="97" t="s">
        <v>68</v>
      </c>
      <c r="AO14" s="98">
        <v>115</v>
      </c>
      <c r="AP14" s="98">
        <v>0</v>
      </c>
      <c r="AQ14" s="98">
        <v>0</v>
      </c>
      <c r="AR14" s="98">
        <v>0</v>
      </c>
      <c r="AS14" s="98"/>
      <c r="AT14" s="99"/>
      <c r="AU14" s="99" t="s">
        <v>70</v>
      </c>
      <c r="AV14" s="99"/>
      <c r="AW14">
        <v>89</v>
      </c>
      <c r="AX14" t="s">
        <v>70</v>
      </c>
      <c r="AZ14" s="96">
        <v>4</v>
      </c>
      <c r="BA14" s="96" t="s">
        <v>91</v>
      </c>
      <c r="BB14" s="96">
        <v>1</v>
      </c>
      <c r="BC14" s="96"/>
      <c r="BD14" s="96">
        <v>2</v>
      </c>
      <c r="BE14" s="96">
        <v>128</v>
      </c>
      <c r="BF14" s="96"/>
      <c r="BG14" s="96">
        <v>3.25</v>
      </c>
      <c r="BH14" s="96">
        <v>1</v>
      </c>
    </row>
    <row r="15" spans="1:78" x14ac:dyDescent="0.35">
      <c r="A15" s="105">
        <v>13901</v>
      </c>
      <c r="B15" s="105">
        <v>40</v>
      </c>
      <c r="C15" s="96" t="s">
        <v>56</v>
      </c>
      <c r="D15" s="96" t="s">
        <v>72</v>
      </c>
      <c r="E15" s="96" t="s">
        <v>96</v>
      </c>
      <c r="F15" s="96" t="s">
        <v>97</v>
      </c>
      <c r="G15" s="96">
        <v>396</v>
      </c>
      <c r="H15" s="40">
        <f t="shared" si="0"/>
        <v>0.30769230769230771</v>
      </c>
      <c r="I15">
        <f t="shared" si="1"/>
        <v>12</v>
      </c>
      <c r="J15" s="96">
        <v>408</v>
      </c>
      <c r="K15" s="40">
        <f t="shared" si="5"/>
        <v>1.9</v>
      </c>
      <c r="L15">
        <f t="shared" si="6"/>
        <v>57</v>
      </c>
      <c r="M15">
        <f t="shared" si="7"/>
        <v>69</v>
      </c>
      <c r="N15" s="96">
        <v>465</v>
      </c>
      <c r="O15" s="40">
        <f t="shared" si="8"/>
        <v>2.1666666666666665</v>
      </c>
      <c r="P15" s="40">
        <f t="shared" si="9"/>
        <v>13</v>
      </c>
      <c r="Q15" s="49">
        <f t="shared" si="2"/>
        <v>82</v>
      </c>
      <c r="R15" s="96">
        <v>478</v>
      </c>
      <c r="S15" s="40">
        <f t="shared" si="3"/>
        <v>20.707070707070706</v>
      </c>
      <c r="T15" s="87" t="s">
        <v>81</v>
      </c>
      <c r="U15" s="97">
        <v>61.2</v>
      </c>
      <c r="V15" s="97">
        <v>63.81</v>
      </c>
      <c r="W15" s="97">
        <v>0</v>
      </c>
      <c r="X15" s="97">
        <v>14</v>
      </c>
      <c r="Y15" s="97">
        <v>4</v>
      </c>
      <c r="Z15" s="97">
        <v>266</v>
      </c>
      <c r="AA15" s="40">
        <f t="shared" si="4"/>
        <v>-44.35146443514644</v>
      </c>
      <c r="AB15" s="97">
        <v>380</v>
      </c>
      <c r="AC15" s="97">
        <v>1</v>
      </c>
      <c r="AD15" s="97">
        <v>8</v>
      </c>
      <c r="AE15" s="97" t="s">
        <v>75</v>
      </c>
      <c r="AF15" s="97">
        <v>1</v>
      </c>
      <c r="AG15" s="97">
        <v>5.36</v>
      </c>
      <c r="AH15" s="97">
        <v>65</v>
      </c>
      <c r="AI15" s="97">
        <v>120</v>
      </c>
      <c r="AJ15" s="97">
        <v>85</v>
      </c>
      <c r="AK15" s="97">
        <v>7</v>
      </c>
      <c r="AL15" s="97">
        <v>13</v>
      </c>
      <c r="AM15" s="97" t="s">
        <v>76</v>
      </c>
      <c r="AN15" s="97" t="s">
        <v>68</v>
      </c>
      <c r="AO15" s="98">
        <v>88</v>
      </c>
      <c r="AP15" s="98">
        <v>0</v>
      </c>
      <c r="AQ15" s="98">
        <v>0</v>
      </c>
      <c r="AR15" s="100">
        <v>1</v>
      </c>
      <c r="AS15" s="98"/>
      <c r="AT15" s="99"/>
      <c r="AU15" s="99" t="s">
        <v>70</v>
      </c>
      <c r="AV15" s="99"/>
      <c r="AW15">
        <v>9</v>
      </c>
      <c r="AX15" t="s">
        <v>70</v>
      </c>
      <c r="AZ15" s="96">
        <v>1</v>
      </c>
      <c r="BA15" s="96" t="s">
        <v>98</v>
      </c>
      <c r="BB15" s="96">
        <v>8</v>
      </c>
      <c r="BC15" s="96"/>
      <c r="BD15" s="96">
        <v>3</v>
      </c>
      <c r="BE15" s="96">
        <v>125</v>
      </c>
      <c r="BF15" s="96"/>
      <c r="BG15" s="96">
        <v>3.25</v>
      </c>
      <c r="BH15" s="96">
        <v>1</v>
      </c>
    </row>
    <row r="16" spans="1:78" x14ac:dyDescent="0.35">
      <c r="A16" s="105">
        <v>13904</v>
      </c>
      <c r="B16" s="105">
        <v>43</v>
      </c>
      <c r="C16" s="96" t="s">
        <v>56</v>
      </c>
      <c r="D16" s="96" t="s">
        <v>72</v>
      </c>
      <c r="E16" s="96" t="s">
        <v>73</v>
      </c>
      <c r="F16" s="96" t="s">
        <v>74</v>
      </c>
      <c r="G16" s="96">
        <v>356</v>
      </c>
      <c r="H16" s="40">
        <f t="shared" si="0"/>
        <v>0.33333333333333331</v>
      </c>
      <c r="I16">
        <f t="shared" si="1"/>
        <v>13</v>
      </c>
      <c r="J16" s="96">
        <v>369</v>
      </c>
      <c r="K16" s="40">
        <f t="shared" si="5"/>
        <v>1.6666666666666667</v>
      </c>
      <c r="L16">
        <f t="shared" si="6"/>
        <v>50</v>
      </c>
      <c r="M16">
        <f t="shared" si="7"/>
        <v>63</v>
      </c>
      <c r="N16" s="96">
        <v>419</v>
      </c>
      <c r="O16" s="40">
        <f t="shared" si="8"/>
        <v>1.8333333333333333</v>
      </c>
      <c r="P16" s="40">
        <f t="shared" si="9"/>
        <v>11</v>
      </c>
      <c r="Q16" s="49">
        <f t="shared" si="2"/>
        <v>74</v>
      </c>
      <c r="R16" s="96">
        <v>430</v>
      </c>
      <c r="S16" s="40">
        <f t="shared" si="3"/>
        <v>20.786516853932586</v>
      </c>
      <c r="T16" s="87" t="s">
        <v>81</v>
      </c>
      <c r="U16" s="97">
        <v>56.93</v>
      </c>
      <c r="V16" s="97">
        <v>59.54</v>
      </c>
      <c r="W16" s="97">
        <v>0</v>
      </c>
      <c r="X16" s="97">
        <v>5</v>
      </c>
      <c r="Y16" s="97">
        <v>2</v>
      </c>
      <c r="Z16" s="97">
        <v>256.10000000000002</v>
      </c>
      <c r="AA16" s="40">
        <f t="shared" si="4"/>
        <v>-40.441860465116278</v>
      </c>
      <c r="AB16" s="97">
        <v>240</v>
      </c>
      <c r="AC16" s="97">
        <v>0</v>
      </c>
      <c r="AD16" s="97">
        <v>4</v>
      </c>
      <c r="AE16" s="97" t="s">
        <v>75</v>
      </c>
      <c r="AF16" s="97">
        <v>1</v>
      </c>
      <c r="AG16" s="97">
        <v>5.38</v>
      </c>
      <c r="AH16" s="97">
        <v>74</v>
      </c>
      <c r="AI16" s="97">
        <v>140</v>
      </c>
      <c r="AJ16" s="97">
        <v>80</v>
      </c>
      <c r="AK16" s="97">
        <v>8.1</v>
      </c>
      <c r="AL16" s="97">
        <v>13</v>
      </c>
      <c r="AM16" s="97" t="s">
        <v>67</v>
      </c>
      <c r="AN16" s="97" t="s">
        <v>68</v>
      </c>
      <c r="AO16" s="98">
        <v>108</v>
      </c>
      <c r="AP16" s="98">
        <v>0</v>
      </c>
      <c r="AQ16" s="98">
        <v>0</v>
      </c>
      <c r="AR16" s="98">
        <v>0</v>
      </c>
      <c r="AS16" s="98"/>
      <c r="AT16" s="99"/>
      <c r="AU16" s="99" t="s">
        <v>70</v>
      </c>
      <c r="AV16" s="99" t="s">
        <v>99</v>
      </c>
      <c r="AW16">
        <v>77</v>
      </c>
      <c r="AX16" t="s">
        <v>70</v>
      </c>
      <c r="AZ16" s="96">
        <v>2</v>
      </c>
      <c r="BA16" s="96" t="s">
        <v>63</v>
      </c>
      <c r="BB16" s="96">
        <v>14</v>
      </c>
      <c r="BC16" s="96"/>
      <c r="BD16" s="96">
        <v>3</v>
      </c>
      <c r="BE16" s="96">
        <v>121</v>
      </c>
      <c r="BF16" s="96"/>
      <c r="BG16" s="96">
        <v>3.5</v>
      </c>
      <c r="BH16" s="96">
        <v>1</v>
      </c>
    </row>
    <row r="17" spans="1:60" x14ac:dyDescent="0.35">
      <c r="A17" s="105">
        <v>13896</v>
      </c>
      <c r="B17" s="105">
        <v>37</v>
      </c>
      <c r="C17" s="96" t="s">
        <v>62</v>
      </c>
      <c r="D17" s="96" t="s">
        <v>57</v>
      </c>
      <c r="E17" s="96" t="s">
        <v>73</v>
      </c>
      <c r="F17" s="96" t="s">
        <v>74</v>
      </c>
      <c r="G17" s="96">
        <v>350</v>
      </c>
      <c r="H17" s="40">
        <f t="shared" si="0"/>
        <v>0.82051282051282048</v>
      </c>
      <c r="I17">
        <f t="shared" si="1"/>
        <v>32</v>
      </c>
      <c r="J17" s="96">
        <v>382</v>
      </c>
      <c r="K17" s="40">
        <f t="shared" si="5"/>
        <v>1</v>
      </c>
      <c r="L17">
        <f t="shared" si="6"/>
        <v>30</v>
      </c>
      <c r="M17">
        <f t="shared" si="7"/>
        <v>62</v>
      </c>
      <c r="N17" s="96">
        <v>412</v>
      </c>
      <c r="O17" s="40">
        <f t="shared" si="8"/>
        <v>1.8333333333333333</v>
      </c>
      <c r="P17" s="40">
        <f t="shared" si="9"/>
        <v>11</v>
      </c>
      <c r="Q17" s="49">
        <f t="shared" si="2"/>
        <v>73</v>
      </c>
      <c r="R17" s="96">
        <v>423</v>
      </c>
      <c r="S17" s="40">
        <f t="shared" si="3"/>
        <v>20.857142857142858</v>
      </c>
      <c r="T17" s="87" t="s">
        <v>81</v>
      </c>
      <c r="U17" s="97">
        <v>60.49</v>
      </c>
      <c r="V17" s="97">
        <v>63.1</v>
      </c>
      <c r="W17" s="97">
        <v>0</v>
      </c>
      <c r="X17" s="97">
        <v>5</v>
      </c>
      <c r="Y17" s="97">
        <v>2</v>
      </c>
      <c r="Z17" s="97">
        <v>285.89999999999998</v>
      </c>
      <c r="AA17" s="40">
        <f t="shared" si="4"/>
        <v>-32.411347517730505</v>
      </c>
      <c r="AB17" s="97">
        <v>380</v>
      </c>
      <c r="AC17" s="97">
        <v>1</v>
      </c>
      <c r="AD17" s="97">
        <v>5</v>
      </c>
      <c r="AE17" s="97" t="s">
        <v>66</v>
      </c>
      <c r="AF17" s="97">
        <v>1</v>
      </c>
      <c r="AG17" s="97">
        <v>5.39</v>
      </c>
      <c r="AH17" s="97">
        <v>68</v>
      </c>
      <c r="AI17" s="97">
        <v>120</v>
      </c>
      <c r="AJ17" s="97">
        <v>95</v>
      </c>
      <c r="AK17" s="97">
        <v>6.8</v>
      </c>
      <c r="AL17" s="97">
        <v>13</v>
      </c>
      <c r="AM17" s="97" t="s">
        <v>76</v>
      </c>
      <c r="AN17" s="97" t="s">
        <v>68</v>
      </c>
      <c r="AO17" s="98">
        <v>16</v>
      </c>
      <c r="AP17" s="98">
        <v>0</v>
      </c>
      <c r="AQ17" s="98">
        <v>0</v>
      </c>
      <c r="AR17" s="100">
        <v>2</v>
      </c>
      <c r="AS17" s="100" t="s">
        <v>100</v>
      </c>
      <c r="AT17" s="99"/>
      <c r="AU17" s="99" t="s">
        <v>83</v>
      </c>
      <c r="AV17" s="99"/>
      <c r="AW17">
        <v>32</v>
      </c>
      <c r="AX17" t="s">
        <v>70</v>
      </c>
      <c r="AZ17" s="96">
        <v>3.5</v>
      </c>
      <c r="BA17" s="96" t="s">
        <v>94</v>
      </c>
      <c r="BB17" s="96">
        <v>2</v>
      </c>
      <c r="BC17" s="96"/>
      <c r="BD17" s="96">
        <v>3</v>
      </c>
      <c r="BE17" s="96">
        <v>120</v>
      </c>
      <c r="BF17" s="96"/>
      <c r="BG17" s="96">
        <v>3.75</v>
      </c>
      <c r="BH17" s="96">
        <v>1</v>
      </c>
    </row>
    <row r="18" spans="1:60" x14ac:dyDescent="0.35">
      <c r="A18" s="105">
        <v>13903</v>
      </c>
      <c r="B18" s="105">
        <v>42</v>
      </c>
      <c r="C18" s="96" t="s">
        <v>56</v>
      </c>
      <c r="D18" s="96" t="s">
        <v>72</v>
      </c>
      <c r="E18" s="96" t="s">
        <v>73</v>
      </c>
      <c r="F18" s="96" t="s">
        <v>74</v>
      </c>
      <c r="G18" s="96">
        <v>358</v>
      </c>
      <c r="H18" s="40">
        <f t="shared" si="0"/>
        <v>0.87179487179487181</v>
      </c>
      <c r="I18">
        <f t="shared" si="1"/>
        <v>34</v>
      </c>
      <c r="J18" s="96">
        <v>392</v>
      </c>
      <c r="K18" s="40">
        <f t="shared" si="5"/>
        <v>1.2</v>
      </c>
      <c r="L18">
        <f t="shared" si="6"/>
        <v>36</v>
      </c>
      <c r="M18">
        <f t="shared" si="7"/>
        <v>70</v>
      </c>
      <c r="N18" s="96">
        <v>428</v>
      </c>
      <c r="O18" s="40">
        <f t="shared" si="8"/>
        <v>1.8333333333333333</v>
      </c>
      <c r="P18" s="40">
        <f t="shared" si="9"/>
        <v>11</v>
      </c>
      <c r="Q18" s="49">
        <f t="shared" si="2"/>
        <v>81</v>
      </c>
      <c r="R18" s="96">
        <v>439</v>
      </c>
      <c r="S18" s="40">
        <f t="shared" si="3"/>
        <v>22.625698324022348</v>
      </c>
      <c r="T18" s="87" t="s">
        <v>81</v>
      </c>
      <c r="U18" s="97">
        <v>55.13</v>
      </c>
      <c r="V18" s="97">
        <v>57.74</v>
      </c>
      <c r="W18" s="97">
        <v>2</v>
      </c>
      <c r="X18" s="97">
        <v>4</v>
      </c>
      <c r="Y18" s="97">
        <v>2</v>
      </c>
      <c r="Z18" s="97">
        <v>279.89999999999998</v>
      </c>
      <c r="AA18" s="40">
        <f t="shared" si="4"/>
        <v>-36.241457858769941</v>
      </c>
      <c r="AB18" s="97">
        <v>330</v>
      </c>
      <c r="AC18" s="97">
        <v>1</v>
      </c>
      <c r="AD18" s="97">
        <v>4</v>
      </c>
      <c r="AE18" s="97" t="s">
        <v>75</v>
      </c>
      <c r="AF18" s="97">
        <v>1</v>
      </c>
      <c r="AG18" s="97">
        <v>5.45</v>
      </c>
      <c r="AH18" s="97">
        <v>80</v>
      </c>
      <c r="AI18" s="97">
        <v>170</v>
      </c>
      <c r="AJ18" s="97">
        <v>95</v>
      </c>
      <c r="AK18" s="97">
        <v>8.6</v>
      </c>
      <c r="AL18" s="97">
        <v>13</v>
      </c>
      <c r="AM18" s="97" t="s">
        <v>101</v>
      </c>
      <c r="AN18" s="97" t="s">
        <v>68</v>
      </c>
      <c r="AO18" s="98">
        <v>101</v>
      </c>
      <c r="AP18" s="98">
        <v>0</v>
      </c>
      <c r="AQ18" s="98">
        <v>0</v>
      </c>
      <c r="AR18" s="100">
        <v>1</v>
      </c>
      <c r="AS18" s="100" t="s">
        <v>100</v>
      </c>
      <c r="AT18" s="99"/>
      <c r="AU18" s="99" t="s">
        <v>70</v>
      </c>
      <c r="AV18" s="99"/>
      <c r="AW18">
        <v>40</v>
      </c>
      <c r="AX18" t="s">
        <v>83</v>
      </c>
      <c r="AZ18" s="96"/>
      <c r="BA18" s="96" t="s">
        <v>71</v>
      </c>
      <c r="BB18" s="96">
        <v>4</v>
      </c>
      <c r="BC18" s="96"/>
      <c r="BD18" s="96">
        <v>4</v>
      </c>
      <c r="BE18" s="96">
        <v>119</v>
      </c>
      <c r="BF18" s="96"/>
      <c r="BG18" s="96">
        <v>3.5</v>
      </c>
      <c r="BH18" s="96">
        <v>2</v>
      </c>
    </row>
    <row r="19" spans="1:60" x14ac:dyDescent="0.35">
      <c r="A19" s="105">
        <v>13892</v>
      </c>
      <c r="B19" s="105">
        <v>34</v>
      </c>
      <c r="C19" s="96" t="s">
        <v>62</v>
      </c>
      <c r="D19" s="96" t="s">
        <v>57</v>
      </c>
      <c r="E19" s="96" t="s">
        <v>73</v>
      </c>
      <c r="F19" s="96" t="s">
        <v>74</v>
      </c>
      <c r="G19" s="96">
        <v>387</v>
      </c>
      <c r="H19" s="40">
        <f t="shared" si="0"/>
        <v>1.0769230769230769</v>
      </c>
      <c r="I19">
        <f t="shared" si="1"/>
        <v>42</v>
      </c>
      <c r="J19" s="96">
        <v>429</v>
      </c>
      <c r="K19" s="40">
        <f t="shared" si="5"/>
        <v>1.5333333333333334</v>
      </c>
      <c r="L19">
        <f t="shared" si="6"/>
        <v>46</v>
      </c>
      <c r="M19">
        <f t="shared" si="7"/>
        <v>88</v>
      </c>
      <c r="N19" s="96">
        <v>475</v>
      </c>
      <c r="O19" s="40">
        <f t="shared" si="8"/>
        <v>0.5</v>
      </c>
      <c r="P19" s="40">
        <f t="shared" si="9"/>
        <v>3</v>
      </c>
      <c r="Q19" s="49">
        <f t="shared" si="2"/>
        <v>91</v>
      </c>
      <c r="R19" s="96">
        <v>478</v>
      </c>
      <c r="S19" s="40">
        <f t="shared" si="3"/>
        <v>23.51421188630491</v>
      </c>
      <c r="T19" s="40" t="s">
        <v>102</v>
      </c>
      <c r="U19" s="97">
        <v>53.37</v>
      </c>
      <c r="V19" s="97">
        <v>55.98</v>
      </c>
      <c r="W19" s="97">
        <v>0</v>
      </c>
      <c r="X19" s="97">
        <v>12</v>
      </c>
      <c r="Y19" s="97">
        <v>3</v>
      </c>
      <c r="Z19" s="97">
        <v>253.9</v>
      </c>
      <c r="AA19" s="40">
        <f t="shared" si="4"/>
        <v>-46.88284518828452</v>
      </c>
      <c r="AB19" s="97">
        <v>190</v>
      </c>
      <c r="AC19" s="97">
        <v>0</v>
      </c>
      <c r="AD19" s="97">
        <v>10</v>
      </c>
      <c r="AE19" s="97" t="s">
        <v>75</v>
      </c>
      <c r="AF19" s="97">
        <v>1</v>
      </c>
      <c r="AG19" s="97">
        <v>5.43</v>
      </c>
      <c r="AH19" s="97">
        <v>69</v>
      </c>
      <c r="AI19" s="97">
        <v>130</v>
      </c>
      <c r="AJ19" s="97">
        <v>115</v>
      </c>
      <c r="AK19" s="97">
        <v>7.4</v>
      </c>
      <c r="AL19" s="97">
        <v>13</v>
      </c>
      <c r="AM19" s="97" t="s">
        <v>76</v>
      </c>
      <c r="AN19" s="97" t="s">
        <v>68</v>
      </c>
      <c r="AO19" s="98">
        <v>12</v>
      </c>
      <c r="AP19" s="98">
        <v>0</v>
      </c>
      <c r="AQ19" s="98">
        <v>0</v>
      </c>
      <c r="AR19" s="100">
        <v>1</v>
      </c>
      <c r="AS19" s="100" t="s">
        <v>100</v>
      </c>
      <c r="AT19" s="99"/>
      <c r="AU19" s="99" t="s">
        <v>70</v>
      </c>
      <c r="AV19" s="99"/>
      <c r="AW19">
        <v>69</v>
      </c>
      <c r="AX19" t="s">
        <v>70</v>
      </c>
      <c r="AZ19" s="96">
        <v>2</v>
      </c>
      <c r="BA19" s="96" t="s">
        <v>87</v>
      </c>
      <c r="BB19" s="96">
        <v>10</v>
      </c>
      <c r="BC19" s="96"/>
      <c r="BD19" s="96">
        <v>1</v>
      </c>
      <c r="BE19" s="96">
        <v>121</v>
      </c>
      <c r="BF19" s="96"/>
      <c r="BG19" s="96">
        <v>3.75</v>
      </c>
      <c r="BH19" s="96">
        <v>1</v>
      </c>
    </row>
    <row r="20" spans="1:60" x14ac:dyDescent="0.35">
      <c r="A20" s="105">
        <v>13898</v>
      </c>
      <c r="B20" s="105">
        <v>38</v>
      </c>
      <c r="C20" s="96" t="s">
        <v>56</v>
      </c>
      <c r="D20" s="96" t="s">
        <v>57</v>
      </c>
      <c r="E20" s="96" t="s">
        <v>64</v>
      </c>
      <c r="F20" s="96" t="s">
        <v>65</v>
      </c>
      <c r="G20" s="96">
        <v>379</v>
      </c>
      <c r="H20" s="40">
        <f t="shared" si="0"/>
        <v>0.71794871794871795</v>
      </c>
      <c r="I20">
        <f t="shared" si="1"/>
        <v>28</v>
      </c>
      <c r="J20" s="96">
        <v>407</v>
      </c>
      <c r="N20" s="96"/>
      <c r="O20" s="40"/>
      <c r="Q20" s="49">
        <f t="shared" si="2"/>
        <v>91</v>
      </c>
      <c r="R20" s="96">
        <v>470</v>
      </c>
      <c r="S20" s="40">
        <f t="shared" si="3"/>
        <v>24.010554089709764</v>
      </c>
      <c r="T20" s="40" t="s">
        <v>102</v>
      </c>
      <c r="U20" s="97">
        <v>54.1</v>
      </c>
      <c r="V20" s="97">
        <v>56.71</v>
      </c>
      <c r="W20" s="97">
        <v>0</v>
      </c>
      <c r="X20" s="97">
        <v>12</v>
      </c>
      <c r="Y20" s="97">
        <v>3</v>
      </c>
      <c r="Z20" s="97">
        <v>297</v>
      </c>
      <c r="AA20" s="40">
        <f t="shared" si="4"/>
        <v>-36.808510638297868</v>
      </c>
      <c r="AB20" s="97">
        <v>380</v>
      </c>
      <c r="AC20" s="97">
        <v>1</v>
      </c>
      <c r="AD20" s="97">
        <v>10</v>
      </c>
      <c r="AE20" s="97" t="s">
        <v>75</v>
      </c>
      <c r="AF20" s="97">
        <v>1</v>
      </c>
      <c r="AG20" s="97">
        <v>5.4</v>
      </c>
      <c r="AH20" s="97">
        <v>79</v>
      </c>
      <c r="AI20" s="97">
        <v>170</v>
      </c>
      <c r="AJ20" s="97">
        <v>125</v>
      </c>
      <c r="AK20" s="97">
        <v>8.6999999999999993</v>
      </c>
      <c r="AL20" s="97">
        <v>13</v>
      </c>
      <c r="AM20" s="97" t="s">
        <v>101</v>
      </c>
      <c r="AN20" s="97" t="s">
        <v>68</v>
      </c>
      <c r="AO20" s="98">
        <v>59</v>
      </c>
      <c r="AP20" s="98">
        <v>0</v>
      </c>
      <c r="AQ20" s="98">
        <v>0</v>
      </c>
      <c r="AR20" s="98">
        <v>0</v>
      </c>
      <c r="AS20" s="98"/>
      <c r="AT20" s="99"/>
      <c r="AU20" s="99" t="s">
        <v>70</v>
      </c>
      <c r="AV20" s="99"/>
      <c r="AW20">
        <v>48</v>
      </c>
      <c r="AX20" t="s">
        <v>70</v>
      </c>
      <c r="AZ20" s="96">
        <v>4</v>
      </c>
      <c r="BA20" s="96" t="s">
        <v>63</v>
      </c>
      <c r="BB20" s="96">
        <v>14</v>
      </c>
      <c r="BC20" s="96"/>
      <c r="BD20" s="96">
        <v>3</v>
      </c>
      <c r="BE20" s="96">
        <v>126</v>
      </c>
      <c r="BF20" s="96"/>
      <c r="BG20" s="96">
        <v>3.5</v>
      </c>
      <c r="BH20" s="96">
        <v>1</v>
      </c>
    </row>
    <row r="21" spans="1:60" x14ac:dyDescent="0.35">
      <c r="A21" s="105">
        <v>13839</v>
      </c>
      <c r="B21" s="105">
        <v>4</v>
      </c>
      <c r="C21" s="36" t="s">
        <v>84</v>
      </c>
      <c r="D21" s="96" t="s">
        <v>72</v>
      </c>
      <c r="E21" s="96" t="s">
        <v>103</v>
      </c>
      <c r="F21" s="96" t="s">
        <v>104</v>
      </c>
      <c r="G21" s="96">
        <v>381</v>
      </c>
      <c r="H21" s="40">
        <f t="shared" si="0"/>
        <v>1.4102564102564104</v>
      </c>
      <c r="I21">
        <f t="shared" si="1"/>
        <v>55</v>
      </c>
      <c r="J21" s="96">
        <v>436</v>
      </c>
      <c r="K21" s="40">
        <f t="shared" ref="K21:K50" si="10">(N21-J21)/30</f>
        <v>0.8666666666666667</v>
      </c>
      <c r="L21">
        <f t="shared" ref="L21:L50" si="11">N21-J21</f>
        <v>26</v>
      </c>
      <c r="M21">
        <f t="shared" ref="M21:M50" si="12">N21-G21</f>
        <v>81</v>
      </c>
      <c r="N21" s="96">
        <v>462</v>
      </c>
      <c r="O21" s="40">
        <f t="shared" ref="O21:O50" si="13">(R21-N21)/6</f>
        <v>2</v>
      </c>
      <c r="P21" s="40">
        <f t="shared" ref="P21:P50" si="14">R21-N21</f>
        <v>12</v>
      </c>
      <c r="Q21" s="49">
        <f t="shared" si="2"/>
        <v>93</v>
      </c>
      <c r="R21" s="96">
        <v>474</v>
      </c>
      <c r="S21" s="40">
        <f t="shared" si="3"/>
        <v>24.409448818897637</v>
      </c>
      <c r="T21" s="40" t="s">
        <v>102</v>
      </c>
      <c r="U21" s="97">
        <v>59.69</v>
      </c>
      <c r="V21" s="97">
        <v>62.3</v>
      </c>
      <c r="W21" s="97">
        <v>0</v>
      </c>
      <c r="X21" s="97">
        <v>7</v>
      </c>
      <c r="Y21" s="97">
        <v>3</v>
      </c>
      <c r="Z21" s="97">
        <v>263.3</v>
      </c>
      <c r="AA21" s="40">
        <f t="shared" si="4"/>
        <v>-44.451476793248943</v>
      </c>
      <c r="AB21" s="97">
        <v>190</v>
      </c>
      <c r="AC21" s="97">
        <v>0</v>
      </c>
      <c r="AD21" s="97">
        <v>7</v>
      </c>
      <c r="AE21" s="97" t="s">
        <v>67</v>
      </c>
      <c r="AF21" s="97">
        <v>1</v>
      </c>
      <c r="AG21" s="97">
        <v>5.47</v>
      </c>
      <c r="AH21" s="97">
        <v>79</v>
      </c>
      <c r="AI21" s="97">
        <v>110</v>
      </c>
      <c r="AJ21" s="97">
        <v>80</v>
      </c>
      <c r="AK21" s="97">
        <v>8.6999999999999993</v>
      </c>
      <c r="AL21" s="97">
        <v>13</v>
      </c>
      <c r="AM21" s="97" t="s">
        <v>101</v>
      </c>
      <c r="AN21" s="97" t="s">
        <v>68</v>
      </c>
      <c r="AO21" s="98">
        <v>8</v>
      </c>
      <c r="AP21" s="98">
        <v>0</v>
      </c>
      <c r="AQ21" s="98">
        <v>0</v>
      </c>
      <c r="AR21" s="100">
        <v>1</v>
      </c>
      <c r="AS21" s="98"/>
      <c r="AT21" s="99"/>
      <c r="AU21" s="99" t="s">
        <v>70</v>
      </c>
      <c r="AV21" s="99"/>
      <c r="AW21">
        <v>87</v>
      </c>
      <c r="AX21" t="s">
        <v>83</v>
      </c>
      <c r="AZ21" s="96">
        <v>4</v>
      </c>
      <c r="BA21" s="96" t="s">
        <v>87</v>
      </c>
      <c r="BB21" s="96">
        <v>10</v>
      </c>
      <c r="BC21" s="96"/>
      <c r="BD21" s="96">
        <v>3</v>
      </c>
      <c r="BE21" s="96">
        <v>124</v>
      </c>
      <c r="BF21" s="96"/>
      <c r="BG21" s="96">
        <v>3.25</v>
      </c>
      <c r="BH21" s="96">
        <v>2</v>
      </c>
    </row>
    <row r="22" spans="1:60" x14ac:dyDescent="0.35">
      <c r="A22" s="105">
        <v>13854</v>
      </c>
      <c r="B22" s="105">
        <v>12</v>
      </c>
      <c r="C22" s="36" t="s">
        <v>84</v>
      </c>
      <c r="D22" s="96" t="s">
        <v>72</v>
      </c>
      <c r="E22" s="96" t="s">
        <v>88</v>
      </c>
      <c r="F22" s="96" t="s">
        <v>89</v>
      </c>
      <c r="G22" s="96">
        <v>373</v>
      </c>
      <c r="H22" s="40">
        <f t="shared" si="0"/>
        <v>1.2051282051282051</v>
      </c>
      <c r="I22">
        <f t="shared" si="1"/>
        <v>47</v>
      </c>
      <c r="J22" s="96">
        <v>420</v>
      </c>
      <c r="K22" s="40">
        <f t="shared" si="10"/>
        <v>1.1666666666666667</v>
      </c>
      <c r="L22">
        <f t="shared" si="11"/>
        <v>35</v>
      </c>
      <c r="M22">
        <f t="shared" si="12"/>
        <v>82</v>
      </c>
      <c r="N22" s="96">
        <v>455</v>
      </c>
      <c r="O22" s="40">
        <f t="shared" si="13"/>
        <v>2</v>
      </c>
      <c r="P22" s="40">
        <f t="shared" si="14"/>
        <v>12</v>
      </c>
      <c r="Q22" s="49">
        <f t="shared" si="2"/>
        <v>94</v>
      </c>
      <c r="R22" s="96">
        <v>467</v>
      </c>
      <c r="S22" s="40">
        <f t="shared" si="3"/>
        <v>25.201072386058982</v>
      </c>
      <c r="T22" s="40" t="s">
        <v>102</v>
      </c>
      <c r="U22" s="97">
        <v>61.09</v>
      </c>
      <c r="V22" s="97">
        <v>63.7</v>
      </c>
      <c r="W22" s="97">
        <v>0</v>
      </c>
      <c r="X22" s="97">
        <v>9</v>
      </c>
      <c r="Y22" s="97">
        <v>3</v>
      </c>
      <c r="Z22" s="97">
        <v>273</v>
      </c>
      <c r="AA22" s="40">
        <f t="shared" si="4"/>
        <v>-41.541755888650968</v>
      </c>
      <c r="AB22" s="97">
        <v>320</v>
      </c>
      <c r="AC22" s="97">
        <v>1</v>
      </c>
      <c r="AD22" s="97">
        <v>9</v>
      </c>
      <c r="AE22" s="97" t="s">
        <v>75</v>
      </c>
      <c r="AF22" s="97">
        <v>0</v>
      </c>
      <c r="AG22" s="97">
        <v>5.45</v>
      </c>
      <c r="AH22" s="97">
        <v>71</v>
      </c>
      <c r="AI22" s="97">
        <v>120</v>
      </c>
      <c r="AJ22" s="97">
        <v>80</v>
      </c>
      <c r="AK22" s="97">
        <v>6.5</v>
      </c>
      <c r="AL22" s="97">
        <v>13</v>
      </c>
      <c r="AM22" s="97" t="s">
        <v>76</v>
      </c>
      <c r="AN22" s="97" t="s">
        <v>68</v>
      </c>
      <c r="AO22" s="98">
        <v>20</v>
      </c>
      <c r="AP22" s="98">
        <v>0</v>
      </c>
      <c r="AQ22" s="98">
        <v>0</v>
      </c>
      <c r="AR22" s="100">
        <v>1</v>
      </c>
      <c r="AS22" s="100" t="s">
        <v>100</v>
      </c>
      <c r="AT22" s="99"/>
      <c r="AU22" s="99" t="s">
        <v>83</v>
      </c>
      <c r="AV22" s="99"/>
      <c r="AW22">
        <v>38</v>
      </c>
      <c r="AX22" t="s">
        <v>70</v>
      </c>
      <c r="AZ22" s="96">
        <v>3</v>
      </c>
      <c r="BA22" s="96" t="s">
        <v>61</v>
      </c>
      <c r="BB22" s="96">
        <v>3</v>
      </c>
      <c r="BC22" s="96"/>
      <c r="BD22" s="96">
        <v>2</v>
      </c>
      <c r="BE22" s="96">
        <v>125</v>
      </c>
      <c r="BF22" s="96"/>
      <c r="BG22" s="96">
        <v>3.5</v>
      </c>
      <c r="BH22" s="96">
        <v>1</v>
      </c>
    </row>
    <row r="23" spans="1:60" x14ac:dyDescent="0.35">
      <c r="A23" s="105">
        <v>13883</v>
      </c>
      <c r="B23" s="105">
        <v>27</v>
      </c>
      <c r="C23" s="96" t="s">
        <v>62</v>
      </c>
      <c r="D23" s="96" t="s">
        <v>57</v>
      </c>
      <c r="E23" s="96" t="s">
        <v>88</v>
      </c>
      <c r="F23" s="96" t="s">
        <v>89</v>
      </c>
      <c r="G23" s="96">
        <v>345</v>
      </c>
      <c r="H23" s="40">
        <f t="shared" si="0"/>
        <v>0.92307692307692313</v>
      </c>
      <c r="I23">
        <f t="shared" si="1"/>
        <v>36</v>
      </c>
      <c r="J23" s="96">
        <v>381</v>
      </c>
      <c r="K23" s="40">
        <f t="shared" si="10"/>
        <v>1.4</v>
      </c>
      <c r="L23">
        <f t="shared" si="11"/>
        <v>42</v>
      </c>
      <c r="M23">
        <f t="shared" si="12"/>
        <v>78</v>
      </c>
      <c r="N23" s="96">
        <v>423</v>
      </c>
      <c r="O23" s="40">
        <f t="shared" si="13"/>
        <v>1.8333333333333333</v>
      </c>
      <c r="P23" s="40">
        <f t="shared" si="14"/>
        <v>11</v>
      </c>
      <c r="Q23" s="49">
        <f t="shared" si="2"/>
        <v>89</v>
      </c>
      <c r="R23" s="96">
        <v>434</v>
      </c>
      <c r="S23" s="40">
        <f t="shared" si="3"/>
        <v>25.79710144927536</v>
      </c>
      <c r="T23" s="40" t="s">
        <v>102</v>
      </c>
      <c r="U23" s="97">
        <v>54.41</v>
      </c>
      <c r="V23" s="97">
        <v>57.02</v>
      </c>
      <c r="W23" s="97">
        <v>0</v>
      </c>
      <c r="X23" s="97">
        <v>7</v>
      </c>
      <c r="Y23" s="97">
        <v>3</v>
      </c>
      <c r="Z23" s="97">
        <v>295.10000000000002</v>
      </c>
      <c r="AA23" s="40">
        <f t="shared" si="4"/>
        <v>-32.004608294930868</v>
      </c>
      <c r="AB23" s="97">
        <v>290</v>
      </c>
      <c r="AC23" s="97">
        <v>0</v>
      </c>
      <c r="AD23" s="97">
        <v>7</v>
      </c>
      <c r="AE23" s="97" t="s">
        <v>67</v>
      </c>
      <c r="AF23" s="97">
        <v>1</v>
      </c>
      <c r="AG23" s="97">
        <v>5.51</v>
      </c>
      <c r="AH23" s="97">
        <v>79</v>
      </c>
      <c r="AI23" s="97">
        <v>190</v>
      </c>
      <c r="AJ23" s="97">
        <v>95</v>
      </c>
      <c r="AK23" s="97">
        <v>7</v>
      </c>
      <c r="AL23" s="97">
        <v>13</v>
      </c>
      <c r="AM23" s="97" t="s">
        <v>76</v>
      </c>
      <c r="AN23" s="97" t="s">
        <v>68</v>
      </c>
      <c r="AO23" s="98">
        <v>17</v>
      </c>
      <c r="AP23" s="100" t="s">
        <v>105</v>
      </c>
      <c r="AQ23" s="98">
        <v>0</v>
      </c>
      <c r="AR23" s="100">
        <v>1</v>
      </c>
      <c r="AS23" s="98"/>
      <c r="AT23" s="99"/>
      <c r="AU23" s="99" t="s">
        <v>106</v>
      </c>
      <c r="AV23" s="99"/>
      <c r="AW23">
        <v>66</v>
      </c>
      <c r="AX23" t="s">
        <v>70</v>
      </c>
      <c r="AZ23" s="96">
        <v>2</v>
      </c>
      <c r="BA23" s="96" t="s">
        <v>95</v>
      </c>
      <c r="BB23" s="96">
        <v>12</v>
      </c>
      <c r="BC23" s="96"/>
      <c r="BD23" s="96">
        <v>2</v>
      </c>
      <c r="BE23" s="96">
        <v>114</v>
      </c>
      <c r="BF23" s="96"/>
      <c r="BG23" s="96">
        <v>2.75</v>
      </c>
      <c r="BH23" s="96">
        <v>1</v>
      </c>
    </row>
    <row r="24" spans="1:60" x14ac:dyDescent="0.35">
      <c r="A24" s="105">
        <v>13891</v>
      </c>
      <c r="B24" s="105">
        <v>33</v>
      </c>
      <c r="C24" s="96" t="s">
        <v>62</v>
      </c>
      <c r="D24" s="96" t="s">
        <v>57</v>
      </c>
      <c r="E24" s="96" t="s">
        <v>73</v>
      </c>
      <c r="F24" s="96" t="s">
        <v>74</v>
      </c>
      <c r="G24" s="96">
        <v>343</v>
      </c>
      <c r="H24" s="40">
        <f t="shared" si="0"/>
        <v>1.1282051282051282</v>
      </c>
      <c r="I24">
        <f t="shared" si="1"/>
        <v>44</v>
      </c>
      <c r="J24" s="96">
        <v>387</v>
      </c>
      <c r="K24" s="40">
        <f t="shared" si="10"/>
        <v>1.1000000000000001</v>
      </c>
      <c r="L24">
        <f t="shared" si="11"/>
        <v>33</v>
      </c>
      <c r="M24">
        <f t="shared" si="12"/>
        <v>77</v>
      </c>
      <c r="N24" s="96">
        <v>420</v>
      </c>
      <c r="O24" s="40">
        <f t="shared" si="13"/>
        <v>2</v>
      </c>
      <c r="P24" s="40">
        <f t="shared" si="14"/>
        <v>12</v>
      </c>
      <c r="Q24" s="49">
        <f t="shared" si="2"/>
        <v>89</v>
      </c>
      <c r="R24" s="96">
        <v>432</v>
      </c>
      <c r="S24" s="40">
        <f t="shared" si="3"/>
        <v>25.947521865889211</v>
      </c>
      <c r="T24" s="40" t="s">
        <v>102</v>
      </c>
      <c r="U24" s="97">
        <v>60.4</v>
      </c>
      <c r="V24" s="97">
        <v>63.01</v>
      </c>
      <c r="W24" s="97">
        <v>2</v>
      </c>
      <c r="X24" s="97">
        <v>8</v>
      </c>
      <c r="Y24" s="97">
        <v>3</v>
      </c>
      <c r="Z24" s="97">
        <v>255.7</v>
      </c>
      <c r="AA24" s="40">
        <f t="shared" si="4"/>
        <v>-40.81018518518519</v>
      </c>
      <c r="AB24" s="97">
        <v>340</v>
      </c>
      <c r="AC24" s="97">
        <v>1</v>
      </c>
      <c r="AD24" s="97">
        <v>8</v>
      </c>
      <c r="AE24" s="97" t="s">
        <v>67</v>
      </c>
      <c r="AF24" s="97">
        <v>0</v>
      </c>
      <c r="AG24" s="97">
        <v>5.4</v>
      </c>
      <c r="AH24" s="97">
        <v>79</v>
      </c>
      <c r="AI24" s="97">
        <v>120</v>
      </c>
      <c r="AJ24" s="97">
        <v>85</v>
      </c>
      <c r="AK24" s="97">
        <v>6.8</v>
      </c>
      <c r="AL24" s="97">
        <v>13</v>
      </c>
      <c r="AM24" s="97" t="s">
        <v>76</v>
      </c>
      <c r="AN24" s="97" t="s">
        <v>68</v>
      </c>
      <c r="AO24" s="98">
        <v>110</v>
      </c>
      <c r="AP24" s="98">
        <v>0</v>
      </c>
      <c r="AQ24" s="98">
        <v>0</v>
      </c>
      <c r="AR24" s="98">
        <v>0</v>
      </c>
      <c r="AS24" s="98"/>
      <c r="AT24" s="99"/>
      <c r="AU24" s="99" t="s">
        <v>70</v>
      </c>
      <c r="AV24" s="99"/>
      <c r="AW24">
        <v>37</v>
      </c>
      <c r="AX24" t="s">
        <v>70</v>
      </c>
      <c r="AZ24" s="96">
        <v>2</v>
      </c>
      <c r="BA24" s="96" t="s">
        <v>95</v>
      </c>
      <c r="BB24" s="96">
        <v>12</v>
      </c>
      <c r="BC24" s="96"/>
      <c r="BD24" s="96">
        <v>3</v>
      </c>
      <c r="BE24" s="96">
        <v>123</v>
      </c>
      <c r="BF24" s="96"/>
      <c r="BG24" s="96">
        <v>3.75</v>
      </c>
      <c r="BH24" s="96">
        <v>1</v>
      </c>
    </row>
    <row r="25" spans="1:60" x14ac:dyDescent="0.35">
      <c r="A25" s="105">
        <v>13872</v>
      </c>
      <c r="B25" s="105">
        <v>21</v>
      </c>
      <c r="C25" s="36" t="s">
        <v>84</v>
      </c>
      <c r="D25" s="96" t="s">
        <v>72</v>
      </c>
      <c r="E25" s="96" t="s">
        <v>88</v>
      </c>
      <c r="F25" s="96" t="s">
        <v>89</v>
      </c>
      <c r="G25" s="96">
        <v>358</v>
      </c>
      <c r="H25" s="40">
        <f t="shared" si="0"/>
        <v>1.1025641025641026</v>
      </c>
      <c r="I25">
        <f t="shared" si="1"/>
        <v>43</v>
      </c>
      <c r="J25" s="96">
        <v>401</v>
      </c>
      <c r="K25" s="40">
        <f t="shared" si="10"/>
        <v>1.3</v>
      </c>
      <c r="L25">
        <f t="shared" si="11"/>
        <v>39</v>
      </c>
      <c r="M25">
        <f t="shared" si="12"/>
        <v>82</v>
      </c>
      <c r="N25" s="96">
        <v>440</v>
      </c>
      <c r="O25" s="40">
        <f t="shared" si="13"/>
        <v>1.8333333333333333</v>
      </c>
      <c r="P25" s="40">
        <f t="shared" si="14"/>
        <v>11</v>
      </c>
      <c r="Q25" s="49">
        <f t="shared" si="2"/>
        <v>93</v>
      </c>
      <c r="R25" s="96">
        <v>451</v>
      </c>
      <c r="S25" s="40">
        <f t="shared" si="3"/>
        <v>25.977653631284912</v>
      </c>
      <c r="T25" s="40" t="s">
        <v>102</v>
      </c>
      <c r="U25" s="97">
        <v>0</v>
      </c>
      <c r="V25" s="97">
        <v>0</v>
      </c>
      <c r="W25" s="97">
        <v>0</v>
      </c>
      <c r="X25" s="97">
        <v>12</v>
      </c>
      <c r="Y25" s="97">
        <v>3</v>
      </c>
      <c r="Z25" s="97">
        <v>304.2</v>
      </c>
      <c r="AA25" s="40">
        <f t="shared" si="4"/>
        <v>-32.549889135254986</v>
      </c>
      <c r="AB25" s="97">
        <v>240</v>
      </c>
      <c r="AC25" s="97">
        <v>0</v>
      </c>
      <c r="AD25" s="97">
        <v>10</v>
      </c>
      <c r="AE25" s="97" t="s">
        <v>101</v>
      </c>
      <c r="AF25" s="97">
        <v>1</v>
      </c>
      <c r="AG25" s="97">
        <v>5.8</v>
      </c>
      <c r="AH25" s="97">
        <v>87</v>
      </c>
      <c r="AI25" s="97">
        <v>120</v>
      </c>
      <c r="AJ25" s="97">
        <v>85</v>
      </c>
      <c r="AK25" s="97">
        <v>7</v>
      </c>
      <c r="AL25" s="97">
        <v>13</v>
      </c>
      <c r="AM25" s="97" t="s">
        <v>76</v>
      </c>
      <c r="AN25" s="97" t="s">
        <v>68</v>
      </c>
      <c r="AO25" s="98">
        <v>58</v>
      </c>
      <c r="AP25" s="100" t="s">
        <v>105</v>
      </c>
      <c r="AQ25" s="98">
        <v>0</v>
      </c>
      <c r="AR25" s="98">
        <v>0</v>
      </c>
      <c r="AS25" s="98"/>
      <c r="AT25" s="99" t="s">
        <v>107</v>
      </c>
      <c r="AU25" s="99" t="s">
        <v>106</v>
      </c>
      <c r="AV25" s="99"/>
      <c r="AW25">
        <v>82</v>
      </c>
      <c r="AX25" t="s">
        <v>70</v>
      </c>
      <c r="AZ25" s="96">
        <v>3</v>
      </c>
      <c r="BA25" s="96" t="s">
        <v>61</v>
      </c>
      <c r="BB25" s="96">
        <v>3</v>
      </c>
      <c r="BC25" s="96"/>
      <c r="BD25" s="96">
        <v>4</v>
      </c>
      <c r="BE25" s="96">
        <v>108</v>
      </c>
      <c r="BF25" s="96"/>
      <c r="BG25" s="96">
        <v>3.5</v>
      </c>
      <c r="BH25" s="96">
        <v>1</v>
      </c>
    </row>
    <row r="26" spans="1:60" x14ac:dyDescent="0.35">
      <c r="A26" s="105">
        <v>13884</v>
      </c>
      <c r="B26" s="105">
        <v>28</v>
      </c>
      <c r="C26" s="96" t="s">
        <v>62</v>
      </c>
      <c r="D26" s="96" t="s">
        <v>57</v>
      </c>
      <c r="E26" s="96" t="s">
        <v>64</v>
      </c>
      <c r="F26" s="96" t="s">
        <v>65</v>
      </c>
      <c r="G26" s="96">
        <v>399</v>
      </c>
      <c r="H26" s="40">
        <f t="shared" si="0"/>
        <v>1.5384615384615385</v>
      </c>
      <c r="I26">
        <f t="shared" si="1"/>
        <v>60</v>
      </c>
      <c r="J26" s="96">
        <v>459</v>
      </c>
      <c r="K26" s="40">
        <f t="shared" si="10"/>
        <v>1.0333333333333334</v>
      </c>
      <c r="L26">
        <f t="shared" si="11"/>
        <v>31</v>
      </c>
      <c r="M26">
        <f t="shared" si="12"/>
        <v>91</v>
      </c>
      <c r="N26" s="96">
        <v>490</v>
      </c>
      <c r="O26" s="40">
        <f t="shared" si="13"/>
        <v>2.1666666666666665</v>
      </c>
      <c r="P26" s="40">
        <f t="shared" si="14"/>
        <v>13</v>
      </c>
      <c r="Q26" s="49">
        <f t="shared" si="2"/>
        <v>104</v>
      </c>
      <c r="R26" s="96">
        <v>503</v>
      </c>
      <c r="S26" s="40">
        <f t="shared" si="3"/>
        <v>26.065162907268167</v>
      </c>
      <c r="T26" s="40" t="s">
        <v>102</v>
      </c>
      <c r="U26" s="97">
        <v>60.46</v>
      </c>
      <c r="V26" s="97">
        <v>63.07</v>
      </c>
      <c r="W26" s="97">
        <v>0</v>
      </c>
      <c r="X26" s="97">
        <v>8</v>
      </c>
      <c r="Y26" s="97">
        <v>3</v>
      </c>
      <c r="Z26" s="97">
        <v>239.9</v>
      </c>
      <c r="AA26" s="40">
        <f t="shared" si="4"/>
        <v>-52.306163021868791</v>
      </c>
      <c r="AB26" s="97">
        <v>300</v>
      </c>
      <c r="AC26" s="97">
        <v>1</v>
      </c>
      <c r="AD26" s="97">
        <v>8</v>
      </c>
      <c r="AE26" s="97" t="s">
        <v>67</v>
      </c>
      <c r="AF26" s="97">
        <v>1</v>
      </c>
      <c r="AG26" s="97">
        <v>5.39</v>
      </c>
      <c r="AH26" s="97">
        <v>70</v>
      </c>
      <c r="AI26" s="97">
        <v>130</v>
      </c>
      <c r="AJ26" s="97">
        <v>70</v>
      </c>
      <c r="AK26" s="97">
        <v>6.8</v>
      </c>
      <c r="AL26" s="97">
        <v>13</v>
      </c>
      <c r="AM26" s="97" t="s">
        <v>76</v>
      </c>
      <c r="AN26" s="97" t="s">
        <v>68</v>
      </c>
      <c r="AO26" s="98">
        <v>68</v>
      </c>
      <c r="AP26" s="98">
        <v>0</v>
      </c>
      <c r="AQ26" s="98">
        <v>0</v>
      </c>
      <c r="AR26" s="100">
        <v>1</v>
      </c>
      <c r="AS26" s="100" t="s">
        <v>100</v>
      </c>
      <c r="AT26" s="99"/>
      <c r="AU26" s="99" t="s">
        <v>70</v>
      </c>
      <c r="AV26" s="99"/>
      <c r="AW26">
        <v>59</v>
      </c>
      <c r="AX26" t="s">
        <v>83</v>
      </c>
      <c r="AZ26" s="96">
        <v>1</v>
      </c>
      <c r="BA26" s="96" t="s">
        <v>61</v>
      </c>
      <c r="BB26" s="96">
        <v>3</v>
      </c>
      <c r="BC26" s="96"/>
      <c r="BD26" s="96">
        <v>3</v>
      </c>
      <c r="BE26" s="96">
        <v>120</v>
      </c>
      <c r="BF26" s="96"/>
      <c r="BG26" s="96">
        <v>3.5</v>
      </c>
      <c r="BH26" s="96">
        <v>1</v>
      </c>
    </row>
    <row r="27" spans="1:60" x14ac:dyDescent="0.35">
      <c r="A27" s="105">
        <v>13861</v>
      </c>
      <c r="B27" s="105">
        <v>16</v>
      </c>
      <c r="C27" s="36" t="s">
        <v>84</v>
      </c>
      <c r="D27" s="96" t="s">
        <v>72</v>
      </c>
      <c r="E27" s="96" t="s">
        <v>64</v>
      </c>
      <c r="F27" s="96" t="s">
        <v>65</v>
      </c>
      <c r="G27" s="96">
        <v>394</v>
      </c>
      <c r="H27" s="40">
        <f t="shared" si="0"/>
        <v>1.358974358974359</v>
      </c>
      <c r="I27">
        <f t="shared" si="1"/>
        <v>53</v>
      </c>
      <c r="J27" s="96">
        <v>447</v>
      </c>
      <c r="K27" s="40">
        <f t="shared" si="10"/>
        <v>1.2333333333333334</v>
      </c>
      <c r="L27">
        <f t="shared" si="11"/>
        <v>37</v>
      </c>
      <c r="M27">
        <f t="shared" si="12"/>
        <v>90</v>
      </c>
      <c r="N27" s="96">
        <v>484</v>
      </c>
      <c r="O27" s="40">
        <f t="shared" si="13"/>
        <v>2.3333333333333335</v>
      </c>
      <c r="P27" s="40">
        <f t="shared" si="14"/>
        <v>14</v>
      </c>
      <c r="Q27" s="49">
        <f t="shared" si="2"/>
        <v>104</v>
      </c>
      <c r="R27" s="96">
        <v>498</v>
      </c>
      <c r="S27" s="40">
        <f t="shared" si="3"/>
        <v>26.395939086294419</v>
      </c>
      <c r="T27" s="40" t="s">
        <v>102</v>
      </c>
      <c r="U27" s="97">
        <v>61.21</v>
      </c>
      <c r="V27" s="97">
        <v>63.82</v>
      </c>
      <c r="W27" s="97">
        <v>0</v>
      </c>
      <c r="X27" s="97">
        <v>5</v>
      </c>
      <c r="Y27" s="97">
        <v>2</v>
      </c>
      <c r="Z27" s="97">
        <v>281.3</v>
      </c>
      <c r="AA27" s="40">
        <f t="shared" si="4"/>
        <v>-43.514056224899598</v>
      </c>
      <c r="AB27" s="97">
        <v>350</v>
      </c>
      <c r="AC27" s="97">
        <v>1</v>
      </c>
      <c r="AD27" s="97">
        <v>5</v>
      </c>
      <c r="AE27" s="97" t="s">
        <v>75</v>
      </c>
      <c r="AF27" s="97">
        <v>0</v>
      </c>
      <c r="AG27" s="97">
        <v>5.37</v>
      </c>
      <c r="AH27" s="97">
        <v>84</v>
      </c>
      <c r="AI27" s="97">
        <v>120</v>
      </c>
      <c r="AJ27" s="97">
        <v>85</v>
      </c>
      <c r="AK27" s="97">
        <v>7.2</v>
      </c>
      <c r="AL27" s="97">
        <v>13</v>
      </c>
      <c r="AM27" s="97" t="s">
        <v>76</v>
      </c>
      <c r="AN27" s="97" t="s">
        <v>68</v>
      </c>
      <c r="AO27" s="98">
        <v>35</v>
      </c>
      <c r="AP27" s="98">
        <v>0</v>
      </c>
      <c r="AQ27" s="98">
        <v>0</v>
      </c>
      <c r="AR27" s="98">
        <v>0</v>
      </c>
      <c r="AS27" s="98"/>
      <c r="AT27" s="99" t="s">
        <v>108</v>
      </c>
      <c r="AU27" s="99" t="s">
        <v>83</v>
      </c>
      <c r="AV27" s="99"/>
      <c r="AW27">
        <v>76</v>
      </c>
      <c r="AX27" t="s">
        <v>70</v>
      </c>
      <c r="AZ27" s="96">
        <v>1</v>
      </c>
      <c r="BA27" s="96" t="s">
        <v>87</v>
      </c>
      <c r="BB27" s="96">
        <v>10</v>
      </c>
      <c r="BC27" s="96"/>
      <c r="BD27" s="96">
        <v>3</v>
      </c>
      <c r="BE27" s="96">
        <v>130</v>
      </c>
      <c r="BF27" s="96"/>
      <c r="BG27" s="96">
        <v>2.75</v>
      </c>
      <c r="BH27" s="96">
        <v>1</v>
      </c>
    </row>
    <row r="28" spans="1:60" x14ac:dyDescent="0.35">
      <c r="A28" s="105">
        <v>13866</v>
      </c>
      <c r="B28" s="105">
        <v>19</v>
      </c>
      <c r="C28" s="36" t="s">
        <v>84</v>
      </c>
      <c r="D28" s="96" t="s">
        <v>72</v>
      </c>
      <c r="E28" s="96" t="s">
        <v>88</v>
      </c>
      <c r="F28" s="96" t="s">
        <v>89</v>
      </c>
      <c r="G28" s="96">
        <v>414</v>
      </c>
      <c r="H28" s="40">
        <f t="shared" si="0"/>
        <v>1.0769230769230769</v>
      </c>
      <c r="I28">
        <f t="shared" si="1"/>
        <v>42</v>
      </c>
      <c r="J28" s="96">
        <v>456</v>
      </c>
      <c r="K28" s="40">
        <f t="shared" si="10"/>
        <v>1.8</v>
      </c>
      <c r="L28">
        <f t="shared" si="11"/>
        <v>54</v>
      </c>
      <c r="M28">
        <f t="shared" si="12"/>
        <v>96</v>
      </c>
      <c r="N28" s="96">
        <v>510</v>
      </c>
      <c r="O28" s="40">
        <f t="shared" si="13"/>
        <v>2.3333333333333335</v>
      </c>
      <c r="P28" s="40">
        <f t="shared" si="14"/>
        <v>14</v>
      </c>
      <c r="Q28" s="49">
        <f t="shared" si="2"/>
        <v>110</v>
      </c>
      <c r="R28" s="96">
        <v>524</v>
      </c>
      <c r="S28" s="40">
        <f t="shared" si="3"/>
        <v>26.570048309178745</v>
      </c>
      <c r="T28" s="40" t="s">
        <v>102</v>
      </c>
      <c r="U28" s="97">
        <v>60.18</v>
      </c>
      <c r="V28" s="97">
        <v>62.79</v>
      </c>
      <c r="W28" s="97">
        <v>0</v>
      </c>
      <c r="X28" s="97">
        <v>9</v>
      </c>
      <c r="Y28" s="97">
        <v>3</v>
      </c>
      <c r="Z28" s="97">
        <v>246</v>
      </c>
      <c r="AA28" s="40">
        <f t="shared" si="4"/>
        <v>-53.05343511450382</v>
      </c>
      <c r="AB28" s="97">
        <v>360</v>
      </c>
      <c r="AC28" s="97">
        <v>1</v>
      </c>
      <c r="AD28" s="97">
        <v>9</v>
      </c>
      <c r="AE28" s="97" t="s">
        <v>75</v>
      </c>
      <c r="AF28" s="97">
        <v>0</v>
      </c>
      <c r="AG28" s="97">
        <v>5.4</v>
      </c>
      <c r="AH28" s="97">
        <v>73</v>
      </c>
      <c r="AI28" s="97">
        <v>120</v>
      </c>
      <c r="AJ28" s="97">
        <v>95</v>
      </c>
      <c r="AK28" s="97">
        <v>6.8</v>
      </c>
      <c r="AL28" s="97">
        <v>13</v>
      </c>
      <c r="AM28" s="97" t="s">
        <v>76</v>
      </c>
      <c r="AN28" s="97" t="s">
        <v>68</v>
      </c>
      <c r="AO28" s="98">
        <v>87</v>
      </c>
      <c r="AP28" s="98">
        <v>0</v>
      </c>
      <c r="AQ28" s="98">
        <v>0</v>
      </c>
      <c r="AR28" s="98">
        <v>0</v>
      </c>
      <c r="AS28" s="98"/>
      <c r="AT28" s="99"/>
      <c r="AU28" s="99" t="s">
        <v>70</v>
      </c>
      <c r="AV28" s="99"/>
      <c r="AW28">
        <v>30</v>
      </c>
      <c r="AX28" t="s">
        <v>70</v>
      </c>
      <c r="AZ28" s="96">
        <v>1</v>
      </c>
      <c r="BA28" s="96" t="s">
        <v>109</v>
      </c>
      <c r="BB28" s="96">
        <v>7</v>
      </c>
      <c r="BC28" s="96"/>
      <c r="BD28" s="96">
        <v>2</v>
      </c>
      <c r="BE28" s="96">
        <v>119</v>
      </c>
      <c r="BF28" s="96"/>
      <c r="BG28" s="96">
        <v>3.5</v>
      </c>
      <c r="BH28" s="96">
        <v>1</v>
      </c>
    </row>
    <row r="29" spans="1:60" x14ac:dyDescent="0.35">
      <c r="A29" s="105">
        <v>13888</v>
      </c>
      <c r="B29" s="105">
        <v>31</v>
      </c>
      <c r="C29" s="96" t="s">
        <v>62</v>
      </c>
      <c r="D29" s="96" t="s">
        <v>57</v>
      </c>
      <c r="E29" s="96" t="s">
        <v>64</v>
      </c>
      <c r="F29" s="96" t="s">
        <v>65</v>
      </c>
      <c r="G29" s="96">
        <v>351</v>
      </c>
      <c r="H29" s="40">
        <f t="shared" si="0"/>
        <v>1.4615384615384615</v>
      </c>
      <c r="I29">
        <f t="shared" si="1"/>
        <v>57</v>
      </c>
      <c r="J29" s="96">
        <v>408</v>
      </c>
      <c r="K29" s="40">
        <f t="shared" si="10"/>
        <v>0.8666666666666667</v>
      </c>
      <c r="L29">
        <f t="shared" si="11"/>
        <v>26</v>
      </c>
      <c r="M29">
        <f t="shared" si="12"/>
        <v>83</v>
      </c>
      <c r="N29" s="96">
        <v>434</v>
      </c>
      <c r="O29" s="40">
        <f t="shared" si="13"/>
        <v>2</v>
      </c>
      <c r="P29" s="40">
        <f t="shared" si="14"/>
        <v>12</v>
      </c>
      <c r="Q29" s="49">
        <f t="shared" si="2"/>
        <v>95</v>
      </c>
      <c r="R29" s="96">
        <v>446</v>
      </c>
      <c r="S29" s="40">
        <f t="shared" si="3"/>
        <v>27.065527065527068</v>
      </c>
      <c r="T29" s="40" t="s">
        <v>102</v>
      </c>
      <c r="U29" s="97">
        <v>58.97</v>
      </c>
      <c r="V29" s="97">
        <v>61.58</v>
      </c>
      <c r="W29" s="97">
        <v>0</v>
      </c>
      <c r="X29" s="97">
        <v>5</v>
      </c>
      <c r="Y29" s="97">
        <v>2</v>
      </c>
      <c r="Z29" s="97">
        <v>226.4</v>
      </c>
      <c r="AA29" s="40">
        <f t="shared" si="4"/>
        <v>-49.237668161434975</v>
      </c>
      <c r="AB29" s="97">
        <v>330</v>
      </c>
      <c r="AC29" s="97">
        <v>1</v>
      </c>
      <c r="AD29" s="97">
        <v>5</v>
      </c>
      <c r="AE29" s="97" t="s">
        <v>75</v>
      </c>
      <c r="AF29" s="97">
        <v>0</v>
      </c>
      <c r="AG29" s="97">
        <v>5.37</v>
      </c>
      <c r="AH29" s="97">
        <v>69</v>
      </c>
      <c r="AI29" s="97">
        <v>130</v>
      </c>
      <c r="AJ29" s="97">
        <v>80</v>
      </c>
      <c r="AK29" s="97">
        <v>7.1</v>
      </c>
      <c r="AL29" s="97">
        <v>13</v>
      </c>
      <c r="AM29" s="97" t="s">
        <v>76</v>
      </c>
      <c r="AN29" s="97" t="s">
        <v>68</v>
      </c>
      <c r="AO29" s="98">
        <v>107</v>
      </c>
      <c r="AP29" s="98">
        <v>0</v>
      </c>
      <c r="AQ29" s="98">
        <v>0</v>
      </c>
      <c r="AR29" s="98">
        <v>0</v>
      </c>
      <c r="AS29" s="98"/>
      <c r="AT29" s="99"/>
      <c r="AU29" s="99" t="s">
        <v>70</v>
      </c>
      <c r="AV29" s="99"/>
      <c r="AW29">
        <v>61</v>
      </c>
      <c r="AX29" t="s">
        <v>70</v>
      </c>
      <c r="AZ29" s="96">
        <v>4</v>
      </c>
      <c r="BA29" s="96" t="s">
        <v>95</v>
      </c>
      <c r="BB29" s="96">
        <v>12</v>
      </c>
      <c r="BC29" s="96"/>
      <c r="BD29" s="96">
        <v>2</v>
      </c>
      <c r="BE29" s="96">
        <v>117</v>
      </c>
      <c r="BF29" s="96"/>
      <c r="BG29" s="96">
        <v>3.5</v>
      </c>
      <c r="BH29" s="96">
        <v>1</v>
      </c>
    </row>
    <row r="30" spans="1:60" x14ac:dyDescent="0.35">
      <c r="A30" s="105">
        <v>13846</v>
      </c>
      <c r="B30" s="105">
        <v>7</v>
      </c>
      <c r="C30" s="36" t="s">
        <v>84</v>
      </c>
      <c r="D30" s="96" t="s">
        <v>72</v>
      </c>
      <c r="E30" s="96" t="s">
        <v>110</v>
      </c>
      <c r="F30" s="96" t="s">
        <v>111</v>
      </c>
      <c r="G30" s="96">
        <v>394</v>
      </c>
      <c r="H30" s="40">
        <f t="shared" si="0"/>
        <v>1.6153846153846154</v>
      </c>
      <c r="I30">
        <f t="shared" si="1"/>
        <v>63</v>
      </c>
      <c r="J30" s="96">
        <v>457</v>
      </c>
      <c r="K30" s="40">
        <f t="shared" si="10"/>
        <v>1.0666666666666667</v>
      </c>
      <c r="L30">
        <f t="shared" si="11"/>
        <v>32</v>
      </c>
      <c r="M30">
        <f t="shared" si="12"/>
        <v>95</v>
      </c>
      <c r="N30" s="96">
        <v>489</v>
      </c>
      <c r="O30" s="40">
        <f t="shared" si="13"/>
        <v>2.3333333333333335</v>
      </c>
      <c r="P30" s="40">
        <f t="shared" si="14"/>
        <v>14</v>
      </c>
      <c r="Q30" s="49">
        <f t="shared" si="2"/>
        <v>109</v>
      </c>
      <c r="R30" s="96">
        <v>503</v>
      </c>
      <c r="S30" s="40">
        <f t="shared" si="3"/>
        <v>27.664974619289339</v>
      </c>
      <c r="T30" s="40" t="s">
        <v>102</v>
      </c>
      <c r="U30" s="97">
        <v>60.64</v>
      </c>
      <c r="V30" s="97">
        <v>63.25</v>
      </c>
      <c r="W30" s="97">
        <v>0</v>
      </c>
      <c r="X30" s="97">
        <v>8</v>
      </c>
      <c r="Y30" s="97">
        <v>3</v>
      </c>
      <c r="Z30" s="97">
        <v>227.2</v>
      </c>
      <c r="AA30" s="40">
        <f t="shared" si="4"/>
        <v>-54.831013916500993</v>
      </c>
      <c r="AB30" s="97">
        <v>300</v>
      </c>
      <c r="AC30" s="97">
        <v>1</v>
      </c>
      <c r="AD30" s="97">
        <v>8</v>
      </c>
      <c r="AE30" s="97" t="s">
        <v>66</v>
      </c>
      <c r="AF30" s="97">
        <v>0</v>
      </c>
      <c r="AG30" s="97">
        <v>5.36</v>
      </c>
      <c r="AH30" s="97">
        <v>71</v>
      </c>
      <c r="AI30" s="97">
        <v>140</v>
      </c>
      <c r="AJ30" s="97">
        <v>65</v>
      </c>
      <c r="AK30" s="97">
        <v>6.5</v>
      </c>
      <c r="AL30" s="97">
        <v>13</v>
      </c>
      <c r="AM30" s="97" t="s">
        <v>76</v>
      </c>
      <c r="AN30" s="97" t="s">
        <v>68</v>
      </c>
      <c r="AO30" s="98">
        <v>99</v>
      </c>
      <c r="AP30" s="98">
        <v>0</v>
      </c>
      <c r="AQ30" s="98">
        <v>0</v>
      </c>
      <c r="AR30" s="98">
        <v>0</v>
      </c>
      <c r="AS30" s="98"/>
      <c r="AT30" s="99"/>
      <c r="AU30" s="99" t="s">
        <v>70</v>
      </c>
      <c r="AV30" s="99"/>
      <c r="AW30">
        <v>107</v>
      </c>
      <c r="AX30" t="s">
        <v>70</v>
      </c>
      <c r="AZ30" s="96">
        <v>3</v>
      </c>
      <c r="BA30" s="96" t="s">
        <v>87</v>
      </c>
      <c r="BB30" s="96">
        <v>10</v>
      </c>
      <c r="BC30" s="96"/>
      <c r="BD30" s="96">
        <v>3</v>
      </c>
      <c r="BE30" s="96">
        <v>124</v>
      </c>
      <c r="BF30" s="96"/>
      <c r="BG30" s="96">
        <v>3</v>
      </c>
      <c r="BH30" s="96">
        <v>1</v>
      </c>
    </row>
    <row r="31" spans="1:60" x14ac:dyDescent="0.35">
      <c r="A31" s="105">
        <v>13890</v>
      </c>
      <c r="B31" s="105">
        <v>32</v>
      </c>
      <c r="C31" s="96" t="s">
        <v>62</v>
      </c>
      <c r="D31" s="96" t="s">
        <v>57</v>
      </c>
      <c r="E31" s="96" t="s">
        <v>73</v>
      </c>
      <c r="F31" s="96" t="s">
        <v>74</v>
      </c>
      <c r="G31" s="96">
        <v>365</v>
      </c>
      <c r="H31" s="40">
        <f t="shared" si="0"/>
        <v>1.3333333333333333</v>
      </c>
      <c r="I31">
        <f t="shared" si="1"/>
        <v>52</v>
      </c>
      <c r="J31" s="96">
        <v>417</v>
      </c>
      <c r="K31" s="40">
        <f t="shared" si="10"/>
        <v>1.2666666666666666</v>
      </c>
      <c r="L31">
        <f t="shared" si="11"/>
        <v>38</v>
      </c>
      <c r="M31">
        <f t="shared" si="12"/>
        <v>90</v>
      </c>
      <c r="N31" s="96">
        <v>455</v>
      </c>
      <c r="O31" s="40">
        <f t="shared" si="13"/>
        <v>2</v>
      </c>
      <c r="P31" s="40">
        <f t="shared" si="14"/>
        <v>12</v>
      </c>
      <c r="Q31" s="49">
        <f t="shared" si="2"/>
        <v>102</v>
      </c>
      <c r="R31" s="96">
        <v>467</v>
      </c>
      <c r="S31" s="40">
        <f t="shared" si="3"/>
        <v>27.945205479452056</v>
      </c>
      <c r="T31" s="40" t="s">
        <v>102</v>
      </c>
      <c r="U31" s="97">
        <v>58.03</v>
      </c>
      <c r="V31" s="97">
        <v>60.64</v>
      </c>
      <c r="W31" s="97">
        <v>0</v>
      </c>
      <c r="X31" s="97">
        <v>12</v>
      </c>
      <c r="Y31" s="97">
        <v>3</v>
      </c>
      <c r="Z31" s="97">
        <v>273.5</v>
      </c>
      <c r="AA31" s="40">
        <f t="shared" si="4"/>
        <v>-41.434689507494646</v>
      </c>
      <c r="AB31" s="97">
        <v>300</v>
      </c>
      <c r="AC31" s="97">
        <v>1</v>
      </c>
      <c r="AD31" s="97">
        <v>10</v>
      </c>
      <c r="AE31" s="97" t="s">
        <v>75</v>
      </c>
      <c r="AF31" s="97">
        <v>1</v>
      </c>
      <c r="AG31" s="97">
        <v>5.41</v>
      </c>
      <c r="AH31" s="97">
        <v>79</v>
      </c>
      <c r="AI31" s="97">
        <v>130</v>
      </c>
      <c r="AJ31" s="97">
        <v>95</v>
      </c>
      <c r="AK31" s="97">
        <v>6.8</v>
      </c>
      <c r="AL31" s="97">
        <v>13</v>
      </c>
      <c r="AM31" s="97" t="s">
        <v>76</v>
      </c>
      <c r="AN31" s="97" t="s">
        <v>68</v>
      </c>
      <c r="AO31" s="98">
        <v>100</v>
      </c>
      <c r="AP31" s="98">
        <v>0</v>
      </c>
      <c r="AQ31" s="98">
        <v>0</v>
      </c>
      <c r="AR31" s="98">
        <v>0</v>
      </c>
      <c r="AS31" s="98"/>
      <c r="AT31" s="99"/>
      <c r="AU31" s="99" t="s">
        <v>83</v>
      </c>
      <c r="AV31" s="99"/>
      <c r="AW31">
        <v>103</v>
      </c>
      <c r="AX31" t="s">
        <v>70</v>
      </c>
      <c r="AZ31" s="96">
        <v>2</v>
      </c>
      <c r="BA31" s="96" t="s">
        <v>95</v>
      </c>
      <c r="BB31" s="96">
        <v>12</v>
      </c>
      <c r="BC31" s="96"/>
      <c r="BD31" s="96">
        <v>2</v>
      </c>
      <c r="BE31" s="96">
        <v>122</v>
      </c>
      <c r="BF31" s="96"/>
      <c r="BG31" s="96">
        <v>3.75</v>
      </c>
      <c r="BH31" s="96">
        <v>2</v>
      </c>
    </row>
    <row r="32" spans="1:60" x14ac:dyDescent="0.35">
      <c r="A32" s="105">
        <v>13915</v>
      </c>
      <c r="B32" s="105">
        <v>49</v>
      </c>
      <c r="C32" s="96" t="s">
        <v>78</v>
      </c>
      <c r="D32" s="96" t="s">
        <v>57</v>
      </c>
      <c r="E32" s="96" t="s">
        <v>79</v>
      </c>
      <c r="F32" s="86" t="s">
        <v>80</v>
      </c>
      <c r="G32" s="96">
        <v>413</v>
      </c>
      <c r="H32" s="40">
        <f t="shared" si="0"/>
        <v>1.3846153846153846</v>
      </c>
      <c r="I32">
        <f t="shared" si="1"/>
        <v>54</v>
      </c>
      <c r="J32" s="96">
        <v>467</v>
      </c>
      <c r="K32" s="40">
        <f t="shared" si="10"/>
        <v>1.6333333333333333</v>
      </c>
      <c r="L32">
        <f t="shared" si="11"/>
        <v>49</v>
      </c>
      <c r="M32">
        <f t="shared" si="12"/>
        <v>103</v>
      </c>
      <c r="N32" s="96">
        <v>516</v>
      </c>
      <c r="O32" s="40">
        <f t="shared" si="13"/>
        <v>2.1666666666666665</v>
      </c>
      <c r="P32" s="40">
        <f t="shared" si="14"/>
        <v>13</v>
      </c>
      <c r="Q32" s="49">
        <f t="shared" si="2"/>
        <v>116</v>
      </c>
      <c r="R32" s="96">
        <v>529</v>
      </c>
      <c r="S32" s="40">
        <f t="shared" si="3"/>
        <v>28.087167070217916</v>
      </c>
      <c r="T32" s="40" t="s">
        <v>102</v>
      </c>
      <c r="U32" s="97">
        <v>57.35</v>
      </c>
      <c r="V32" s="97">
        <v>59.96</v>
      </c>
      <c r="W32" s="97">
        <v>0</v>
      </c>
      <c r="X32" s="97">
        <v>7</v>
      </c>
      <c r="Y32" s="97">
        <v>3</v>
      </c>
      <c r="Z32" s="97">
        <v>242.9</v>
      </c>
      <c r="AA32" s="40">
        <f t="shared" si="4"/>
        <v>-54.083175803402654</v>
      </c>
      <c r="AB32" s="97">
        <v>300</v>
      </c>
      <c r="AC32" s="97">
        <v>1</v>
      </c>
      <c r="AD32" s="97">
        <v>6</v>
      </c>
      <c r="AE32" s="97" t="s">
        <v>66</v>
      </c>
      <c r="AF32" s="97">
        <v>1</v>
      </c>
      <c r="AG32" s="97">
        <v>5.41</v>
      </c>
      <c r="AH32" s="97">
        <v>61</v>
      </c>
      <c r="AI32" s="97">
        <v>120</v>
      </c>
      <c r="AJ32" s="97">
        <v>100</v>
      </c>
      <c r="AK32" s="97">
        <v>7.2</v>
      </c>
      <c r="AL32" s="97">
        <v>13</v>
      </c>
      <c r="AM32" s="97" t="s">
        <v>76</v>
      </c>
      <c r="AN32" s="97" t="s">
        <v>68</v>
      </c>
      <c r="AO32" s="98">
        <v>36</v>
      </c>
      <c r="AP32" s="98">
        <v>0</v>
      </c>
      <c r="AQ32" s="98">
        <v>0</v>
      </c>
      <c r="AR32" s="98">
        <v>0</v>
      </c>
      <c r="AS32" s="98"/>
      <c r="AT32" s="99"/>
      <c r="AU32" s="99" t="s">
        <v>70</v>
      </c>
      <c r="AV32" s="99"/>
      <c r="AW32">
        <v>105</v>
      </c>
      <c r="AX32" t="s">
        <v>70</v>
      </c>
      <c r="AZ32" s="96">
        <v>2</v>
      </c>
      <c r="BA32" s="96" t="s">
        <v>95</v>
      </c>
      <c r="BB32" s="96">
        <v>12</v>
      </c>
      <c r="BC32" s="96"/>
      <c r="BD32" s="96">
        <v>1</v>
      </c>
      <c r="BE32" s="96">
        <v>131</v>
      </c>
      <c r="BF32" s="96"/>
      <c r="BG32" s="96">
        <v>3</v>
      </c>
      <c r="BH32" s="96">
        <v>1</v>
      </c>
    </row>
    <row r="33" spans="1:78" x14ac:dyDescent="0.35">
      <c r="A33" s="105">
        <v>13868</v>
      </c>
      <c r="B33" s="105">
        <v>20</v>
      </c>
      <c r="C33" s="36" t="s">
        <v>84</v>
      </c>
      <c r="D33" s="96" t="s">
        <v>72</v>
      </c>
      <c r="E33" s="96" t="s">
        <v>64</v>
      </c>
      <c r="F33" s="96" t="s">
        <v>65</v>
      </c>
      <c r="G33" s="96">
        <v>391</v>
      </c>
      <c r="H33" s="40">
        <f t="shared" si="0"/>
        <v>1.4102564102564104</v>
      </c>
      <c r="I33">
        <f t="shared" si="1"/>
        <v>55</v>
      </c>
      <c r="J33" s="96">
        <v>446</v>
      </c>
      <c r="K33" s="40">
        <f t="shared" si="10"/>
        <v>1.3666666666666667</v>
      </c>
      <c r="L33">
        <f t="shared" si="11"/>
        <v>41</v>
      </c>
      <c r="M33">
        <f t="shared" si="12"/>
        <v>96</v>
      </c>
      <c r="N33" s="96">
        <v>487</v>
      </c>
      <c r="O33" s="40">
        <f t="shared" si="13"/>
        <v>2.3333333333333335</v>
      </c>
      <c r="P33" s="40">
        <f t="shared" si="14"/>
        <v>14</v>
      </c>
      <c r="Q33" s="49">
        <f t="shared" si="2"/>
        <v>110</v>
      </c>
      <c r="R33" s="96">
        <v>501</v>
      </c>
      <c r="S33" s="40">
        <f t="shared" si="3"/>
        <v>28.132992327365731</v>
      </c>
      <c r="T33" s="40" t="s">
        <v>102</v>
      </c>
      <c r="U33" s="97">
        <v>54</v>
      </c>
      <c r="V33" s="97">
        <v>56.61</v>
      </c>
      <c r="W33" s="97">
        <v>0</v>
      </c>
      <c r="X33" s="97">
        <v>8</v>
      </c>
      <c r="Y33" s="97">
        <v>3</v>
      </c>
      <c r="Z33" s="97">
        <v>246</v>
      </c>
      <c r="AA33" s="40">
        <f t="shared" si="4"/>
        <v>-50.898203592814376</v>
      </c>
      <c r="AB33" s="97">
        <v>350</v>
      </c>
      <c r="AC33" s="97">
        <v>1</v>
      </c>
      <c r="AD33" s="97">
        <v>6</v>
      </c>
      <c r="AE33" s="97" t="s">
        <v>75</v>
      </c>
      <c r="AF33" s="97">
        <v>0</v>
      </c>
      <c r="AG33" s="97">
        <v>5.5</v>
      </c>
      <c r="AH33" s="97">
        <v>60</v>
      </c>
      <c r="AI33" s="97">
        <v>190</v>
      </c>
      <c r="AJ33" s="97">
        <v>95</v>
      </c>
      <c r="AK33" s="97">
        <v>9.1</v>
      </c>
      <c r="AL33" s="97">
        <v>13</v>
      </c>
      <c r="AM33" s="97" t="s">
        <v>101</v>
      </c>
      <c r="AN33" s="97" t="s">
        <v>68</v>
      </c>
      <c r="AW33">
        <v>10</v>
      </c>
      <c r="AX33" t="s">
        <v>83</v>
      </c>
      <c r="AZ33" s="96">
        <v>1</v>
      </c>
      <c r="BA33" s="96" t="s">
        <v>95</v>
      </c>
      <c r="BB33" s="96">
        <v>12</v>
      </c>
      <c r="BC33" s="96"/>
      <c r="BD33" s="96">
        <v>2</v>
      </c>
      <c r="BE33" s="96">
        <v>126</v>
      </c>
      <c r="BF33" s="96"/>
      <c r="BG33" s="96">
        <v>3.75</v>
      </c>
      <c r="BH33" s="96">
        <v>1</v>
      </c>
    </row>
    <row r="34" spans="1:78" x14ac:dyDescent="0.35">
      <c r="A34" s="105">
        <v>13860</v>
      </c>
      <c r="B34" s="105">
        <v>15</v>
      </c>
      <c r="C34" s="36" t="s">
        <v>84</v>
      </c>
      <c r="D34" s="96" t="s">
        <v>72</v>
      </c>
      <c r="E34" s="96" t="s">
        <v>64</v>
      </c>
      <c r="F34" s="96" t="s">
        <v>65</v>
      </c>
      <c r="G34" s="96">
        <v>373</v>
      </c>
      <c r="H34" s="40">
        <f t="shared" ref="H34:H50" si="15">(J34-G34)/39</f>
        <v>0.84615384615384615</v>
      </c>
      <c r="I34">
        <f t="shared" ref="I34:I50" si="16">J34-G34</f>
        <v>33</v>
      </c>
      <c r="J34" s="96">
        <v>406</v>
      </c>
      <c r="K34" s="40">
        <f t="shared" si="10"/>
        <v>2.1</v>
      </c>
      <c r="L34">
        <f t="shared" si="11"/>
        <v>63</v>
      </c>
      <c r="M34">
        <f t="shared" si="12"/>
        <v>96</v>
      </c>
      <c r="N34" s="96">
        <v>469</v>
      </c>
      <c r="O34" s="40">
        <f t="shared" si="13"/>
        <v>1.6666666666666667</v>
      </c>
      <c r="P34" s="40">
        <f t="shared" si="14"/>
        <v>10</v>
      </c>
      <c r="Q34" s="49">
        <f t="shared" si="2"/>
        <v>106</v>
      </c>
      <c r="R34" s="96">
        <v>479</v>
      </c>
      <c r="S34" s="40">
        <f t="shared" si="3"/>
        <v>28.418230563002684</v>
      </c>
      <c r="T34" s="40" t="s">
        <v>102</v>
      </c>
      <c r="U34" s="97">
        <v>58.79</v>
      </c>
      <c r="V34" s="97">
        <v>61.4</v>
      </c>
      <c r="W34" s="97">
        <v>0</v>
      </c>
      <c r="X34" s="97">
        <v>7</v>
      </c>
      <c r="Y34" s="97">
        <v>3</v>
      </c>
      <c r="Z34" s="97">
        <v>263.89999999999998</v>
      </c>
      <c r="AA34" s="40">
        <f t="shared" si="4"/>
        <v>-44.906054279749483</v>
      </c>
      <c r="AB34" s="97">
        <v>300</v>
      </c>
      <c r="AC34" s="97">
        <v>1</v>
      </c>
      <c r="AD34" s="97">
        <v>7</v>
      </c>
      <c r="AE34" s="97" t="s">
        <v>75</v>
      </c>
      <c r="AF34" s="97">
        <v>0</v>
      </c>
      <c r="AG34" s="97">
        <v>5.43</v>
      </c>
      <c r="AH34" s="97">
        <v>70</v>
      </c>
      <c r="AI34" s="97">
        <v>130</v>
      </c>
      <c r="AJ34" s="97">
        <v>85</v>
      </c>
      <c r="AK34" s="97">
        <v>7</v>
      </c>
      <c r="AL34" s="97">
        <v>13</v>
      </c>
      <c r="AM34" s="97" t="s">
        <v>76</v>
      </c>
      <c r="AN34" s="97" t="s">
        <v>68</v>
      </c>
      <c r="AO34" s="98">
        <v>7</v>
      </c>
      <c r="AP34" s="100" t="s">
        <v>105</v>
      </c>
      <c r="AQ34" s="98">
        <v>0</v>
      </c>
      <c r="AR34" s="98">
        <v>0</v>
      </c>
      <c r="AS34" s="98"/>
      <c r="AT34" s="99"/>
      <c r="AU34" s="99" t="s">
        <v>106</v>
      </c>
      <c r="AV34" s="99"/>
      <c r="AW34">
        <v>100</v>
      </c>
      <c r="AX34" t="s">
        <v>70</v>
      </c>
      <c r="AZ34" s="96">
        <v>3</v>
      </c>
      <c r="BA34" s="96" t="s">
        <v>87</v>
      </c>
      <c r="BB34" s="96">
        <v>10</v>
      </c>
      <c r="BC34" s="96"/>
      <c r="BD34" s="96">
        <v>1</v>
      </c>
      <c r="BE34" s="96">
        <v>122</v>
      </c>
      <c r="BF34" s="96"/>
      <c r="BG34" s="96">
        <v>2.25</v>
      </c>
      <c r="BH34" s="96">
        <v>1</v>
      </c>
    </row>
    <row r="35" spans="1:78" x14ac:dyDescent="0.35">
      <c r="A35" s="105">
        <v>13879</v>
      </c>
      <c r="B35" s="105">
        <v>24</v>
      </c>
      <c r="C35" s="96" t="s">
        <v>62</v>
      </c>
      <c r="D35" s="96" t="s">
        <v>57</v>
      </c>
      <c r="E35" s="96" t="s">
        <v>64</v>
      </c>
      <c r="F35" s="96" t="s">
        <v>65</v>
      </c>
      <c r="G35" s="96">
        <v>386</v>
      </c>
      <c r="H35" s="40">
        <f t="shared" si="15"/>
        <v>1.5128205128205128</v>
      </c>
      <c r="I35">
        <f t="shared" si="16"/>
        <v>59</v>
      </c>
      <c r="J35" s="96">
        <v>445</v>
      </c>
      <c r="K35" s="40">
        <f t="shared" si="10"/>
        <v>1.3</v>
      </c>
      <c r="L35">
        <f t="shared" si="11"/>
        <v>39</v>
      </c>
      <c r="M35">
        <f t="shared" si="12"/>
        <v>98</v>
      </c>
      <c r="N35" s="96">
        <v>484</v>
      </c>
      <c r="O35" s="40">
        <f t="shared" si="13"/>
        <v>2.1666666666666665</v>
      </c>
      <c r="P35" s="40">
        <f t="shared" si="14"/>
        <v>13</v>
      </c>
      <c r="Q35" s="49">
        <f t="shared" si="2"/>
        <v>111</v>
      </c>
      <c r="R35" s="96">
        <v>497</v>
      </c>
      <c r="S35" s="40">
        <f t="shared" si="3"/>
        <v>28.756476683937827</v>
      </c>
      <c r="T35" s="40" t="s">
        <v>102</v>
      </c>
      <c r="U35" s="97">
        <v>57.08</v>
      </c>
      <c r="V35" s="97">
        <v>59.69</v>
      </c>
      <c r="W35" s="97">
        <v>0</v>
      </c>
      <c r="X35" s="97">
        <v>15</v>
      </c>
      <c r="Y35" s="97">
        <v>4</v>
      </c>
      <c r="Z35" s="97">
        <v>224.1</v>
      </c>
      <c r="AA35" s="40">
        <f t="shared" si="4"/>
        <v>-54.90945674044265</v>
      </c>
      <c r="AB35" s="97">
        <v>350</v>
      </c>
      <c r="AC35" s="97">
        <v>1</v>
      </c>
      <c r="AD35" s="97">
        <v>15</v>
      </c>
      <c r="AE35" s="97" t="s">
        <v>75</v>
      </c>
      <c r="AF35" s="97">
        <v>1</v>
      </c>
      <c r="AG35" s="97">
        <v>5.33</v>
      </c>
      <c r="AH35" s="97">
        <v>66</v>
      </c>
      <c r="AI35" s="97">
        <v>170</v>
      </c>
      <c r="AJ35" s="97">
        <v>85</v>
      </c>
      <c r="AK35" s="97">
        <v>7.2</v>
      </c>
      <c r="AL35" s="97">
        <v>13</v>
      </c>
      <c r="AM35" s="97" t="s">
        <v>76</v>
      </c>
      <c r="AN35" s="97" t="s">
        <v>68</v>
      </c>
      <c r="AO35" s="98">
        <v>13</v>
      </c>
      <c r="AP35" s="98">
        <v>0</v>
      </c>
      <c r="AQ35" s="98">
        <v>0</v>
      </c>
      <c r="AR35" s="98">
        <v>0</v>
      </c>
      <c r="AS35" s="100" t="s">
        <v>105</v>
      </c>
      <c r="AT35" s="99" t="s">
        <v>112</v>
      </c>
      <c r="AU35" s="99" t="s">
        <v>83</v>
      </c>
      <c r="AV35" s="99"/>
      <c r="AW35">
        <v>115</v>
      </c>
      <c r="AX35" t="s">
        <v>70</v>
      </c>
      <c r="AZ35" s="96">
        <v>1</v>
      </c>
      <c r="BA35" s="96" t="s">
        <v>95</v>
      </c>
      <c r="BB35" s="96">
        <v>12</v>
      </c>
      <c r="BC35" s="96"/>
      <c r="BD35" s="96">
        <v>2</v>
      </c>
      <c r="BE35" s="96">
        <v>118</v>
      </c>
      <c r="BF35" s="96"/>
      <c r="BG35" s="96">
        <v>4</v>
      </c>
      <c r="BH35" s="96">
        <v>2</v>
      </c>
    </row>
    <row r="36" spans="1:78" x14ac:dyDescent="0.35">
      <c r="A36" s="105">
        <v>13843</v>
      </c>
      <c r="B36" s="105">
        <v>6</v>
      </c>
      <c r="C36" s="36" t="s">
        <v>84</v>
      </c>
      <c r="D36" s="96" t="s">
        <v>72</v>
      </c>
      <c r="E36" s="96" t="s">
        <v>113</v>
      </c>
      <c r="F36" s="96" t="s">
        <v>114</v>
      </c>
      <c r="G36" s="96">
        <v>357</v>
      </c>
      <c r="H36" s="40">
        <f t="shared" si="15"/>
        <v>1.2307692307692308</v>
      </c>
      <c r="I36">
        <f t="shared" si="16"/>
        <v>48</v>
      </c>
      <c r="J36" s="96">
        <v>405</v>
      </c>
      <c r="K36" s="40">
        <f t="shared" si="10"/>
        <v>1.4333333333333333</v>
      </c>
      <c r="L36">
        <f t="shared" si="11"/>
        <v>43</v>
      </c>
      <c r="M36">
        <f t="shared" si="12"/>
        <v>91</v>
      </c>
      <c r="N36" s="96">
        <v>448</v>
      </c>
      <c r="O36" s="40">
        <f t="shared" si="13"/>
        <v>2.1666666666666665</v>
      </c>
      <c r="P36" s="40">
        <f t="shared" si="14"/>
        <v>13</v>
      </c>
      <c r="Q36" s="49">
        <f t="shared" si="2"/>
        <v>104</v>
      </c>
      <c r="R36" s="96">
        <v>461</v>
      </c>
      <c r="S36" s="40">
        <f t="shared" si="3"/>
        <v>29.131652661064429</v>
      </c>
      <c r="T36" s="40" t="s">
        <v>102</v>
      </c>
      <c r="U36" s="97">
        <v>57.84</v>
      </c>
      <c r="V36" s="97">
        <v>60.45</v>
      </c>
      <c r="W36" s="97">
        <v>0</v>
      </c>
      <c r="X36" s="97">
        <v>12</v>
      </c>
      <c r="Y36" s="97">
        <v>3</v>
      </c>
      <c r="Z36" s="97">
        <v>254.7</v>
      </c>
      <c r="AA36" s="40">
        <f t="shared" si="4"/>
        <v>-44.750542299349242</v>
      </c>
      <c r="AB36" s="97">
        <v>380</v>
      </c>
      <c r="AC36" s="97">
        <v>1</v>
      </c>
      <c r="AD36" s="97">
        <v>10</v>
      </c>
      <c r="AE36" s="97" t="s">
        <v>75</v>
      </c>
      <c r="AF36" s="97">
        <v>1</v>
      </c>
      <c r="AG36" s="97">
        <v>5.4</v>
      </c>
      <c r="AH36" s="97">
        <v>64</v>
      </c>
      <c r="AI36" s="97">
        <v>170</v>
      </c>
      <c r="AJ36" s="97">
        <v>85</v>
      </c>
      <c r="AK36" s="97">
        <v>7.1</v>
      </c>
      <c r="AL36" s="97">
        <v>13</v>
      </c>
      <c r="AM36" s="97" t="s">
        <v>76</v>
      </c>
      <c r="AN36" s="97" t="s">
        <v>68</v>
      </c>
      <c r="AO36" s="98">
        <v>52</v>
      </c>
      <c r="AP36" s="98">
        <v>0</v>
      </c>
      <c r="AQ36" s="100">
        <v>1</v>
      </c>
      <c r="AR36" s="98">
        <v>0</v>
      </c>
      <c r="AS36" s="98"/>
      <c r="AT36" s="99"/>
      <c r="AU36" s="99" t="s">
        <v>70</v>
      </c>
      <c r="AV36" s="99"/>
      <c r="AW36">
        <v>49</v>
      </c>
      <c r="AX36" t="s">
        <v>83</v>
      </c>
      <c r="AZ36" s="96">
        <v>3</v>
      </c>
      <c r="BA36" s="96" t="s">
        <v>115</v>
      </c>
      <c r="BB36" s="96">
        <v>5</v>
      </c>
      <c r="BC36" s="96"/>
      <c r="BD36" s="96">
        <v>3</v>
      </c>
      <c r="BE36" s="96">
        <v>124</v>
      </c>
      <c r="BF36" s="96"/>
      <c r="BG36" s="96">
        <v>3</v>
      </c>
      <c r="BH36" s="96">
        <v>1</v>
      </c>
    </row>
    <row r="37" spans="1:78" x14ac:dyDescent="0.35">
      <c r="A37" s="105">
        <v>13855</v>
      </c>
      <c r="B37" s="105">
        <v>13</v>
      </c>
      <c r="C37" s="36" t="s">
        <v>84</v>
      </c>
      <c r="D37" s="96" t="s">
        <v>72</v>
      </c>
      <c r="E37" s="96" t="s">
        <v>88</v>
      </c>
      <c r="F37" s="96" t="s">
        <v>89</v>
      </c>
      <c r="G37" s="96">
        <v>377</v>
      </c>
      <c r="H37" s="40">
        <f t="shared" si="15"/>
        <v>1.7435897435897436</v>
      </c>
      <c r="I37">
        <f t="shared" si="16"/>
        <v>68</v>
      </c>
      <c r="J37" s="96">
        <v>445</v>
      </c>
      <c r="K37" s="40">
        <f t="shared" si="10"/>
        <v>1</v>
      </c>
      <c r="L37">
        <f t="shared" si="11"/>
        <v>30</v>
      </c>
      <c r="M37">
        <f t="shared" si="12"/>
        <v>98</v>
      </c>
      <c r="N37" s="96">
        <v>475</v>
      </c>
      <c r="O37" s="40">
        <f t="shared" si="13"/>
        <v>2.1666666666666665</v>
      </c>
      <c r="P37" s="40">
        <f t="shared" si="14"/>
        <v>13</v>
      </c>
      <c r="Q37" s="49">
        <f t="shared" si="2"/>
        <v>111</v>
      </c>
      <c r="R37" s="96">
        <v>488</v>
      </c>
      <c r="S37" s="40">
        <f t="shared" si="3"/>
        <v>29.442970822281168</v>
      </c>
      <c r="T37" s="40" t="s">
        <v>102</v>
      </c>
      <c r="U37" s="97">
        <v>56.95</v>
      </c>
      <c r="V37" s="97">
        <v>59.56</v>
      </c>
      <c r="W37" s="97">
        <v>0</v>
      </c>
      <c r="X37" s="97">
        <v>3</v>
      </c>
      <c r="Y37" s="97">
        <v>2</v>
      </c>
      <c r="Z37" s="97">
        <v>310.89999999999998</v>
      </c>
      <c r="AA37" s="40">
        <f t="shared" si="4"/>
        <v>-36.290983606557383</v>
      </c>
      <c r="AB37" s="97">
        <v>190</v>
      </c>
      <c r="AC37" s="97">
        <v>0</v>
      </c>
      <c r="AD37" s="97">
        <v>3</v>
      </c>
      <c r="AE37" s="97" t="s">
        <v>67</v>
      </c>
      <c r="AF37" s="97">
        <v>1</v>
      </c>
      <c r="AG37" s="97">
        <v>5.38</v>
      </c>
      <c r="AH37" s="97">
        <v>108</v>
      </c>
      <c r="AI37" s="97">
        <v>130</v>
      </c>
      <c r="AJ37" s="97">
        <v>90</v>
      </c>
      <c r="AK37" s="97">
        <v>7</v>
      </c>
      <c r="AL37" s="97">
        <v>13</v>
      </c>
      <c r="AM37" s="97" t="s">
        <v>76</v>
      </c>
      <c r="AN37" s="97" t="s">
        <v>68</v>
      </c>
      <c r="AO37" s="98">
        <v>103</v>
      </c>
      <c r="AP37" s="98">
        <v>0</v>
      </c>
      <c r="AQ37" s="98">
        <v>0</v>
      </c>
      <c r="AR37" s="98">
        <v>0</v>
      </c>
      <c r="AS37" s="98"/>
      <c r="AT37" s="99"/>
      <c r="AU37" s="99" t="s">
        <v>70</v>
      </c>
      <c r="AV37" s="99"/>
      <c r="AW37">
        <v>78</v>
      </c>
      <c r="AX37" t="s">
        <v>70</v>
      </c>
      <c r="AZ37" s="96">
        <v>1</v>
      </c>
      <c r="BA37" s="96" t="s">
        <v>63</v>
      </c>
      <c r="BB37" s="96">
        <v>14</v>
      </c>
      <c r="BC37" s="96"/>
      <c r="BD37" s="96">
        <v>1</v>
      </c>
      <c r="BE37" s="96">
        <v>131</v>
      </c>
      <c r="BF37" s="96"/>
      <c r="BG37" s="96">
        <v>2.5</v>
      </c>
      <c r="BH37" s="96">
        <v>1</v>
      </c>
    </row>
    <row r="38" spans="1:78" x14ac:dyDescent="0.35">
      <c r="A38" s="105">
        <v>13895</v>
      </c>
      <c r="B38" s="105">
        <v>36</v>
      </c>
      <c r="C38" s="96" t="s">
        <v>62</v>
      </c>
      <c r="D38" s="96" t="s">
        <v>57</v>
      </c>
      <c r="E38" s="96" t="s">
        <v>79</v>
      </c>
      <c r="F38" s="86" t="s">
        <v>80</v>
      </c>
      <c r="G38" s="96">
        <v>351</v>
      </c>
      <c r="H38" s="40">
        <f t="shared" si="15"/>
        <v>1.4615384615384615</v>
      </c>
      <c r="I38">
        <f t="shared" si="16"/>
        <v>57</v>
      </c>
      <c r="J38" s="96">
        <v>408</v>
      </c>
      <c r="K38" s="40">
        <f t="shared" si="10"/>
        <v>1.2333333333333334</v>
      </c>
      <c r="L38">
        <f t="shared" si="11"/>
        <v>37</v>
      </c>
      <c r="M38">
        <f t="shared" si="12"/>
        <v>94</v>
      </c>
      <c r="N38" s="96">
        <v>445</v>
      </c>
      <c r="O38" s="40">
        <f t="shared" si="13"/>
        <v>2</v>
      </c>
      <c r="P38" s="40">
        <f t="shared" si="14"/>
        <v>12</v>
      </c>
      <c r="Q38" s="49">
        <f t="shared" si="2"/>
        <v>106</v>
      </c>
      <c r="R38" s="96">
        <v>457</v>
      </c>
      <c r="S38" s="40">
        <f t="shared" si="3"/>
        <v>30.1994301994302</v>
      </c>
      <c r="T38" s="40" t="s">
        <v>116</v>
      </c>
      <c r="U38" s="97">
        <v>53.46</v>
      </c>
      <c r="V38" s="97">
        <v>56.07</v>
      </c>
      <c r="W38" s="97">
        <v>0</v>
      </c>
      <c r="X38" s="97">
        <v>11</v>
      </c>
      <c r="Y38" s="97">
        <v>3</v>
      </c>
      <c r="Z38" s="97">
        <v>264.89999999999998</v>
      </c>
      <c r="AA38" s="40">
        <f t="shared" si="4"/>
        <v>-42.035010940919044</v>
      </c>
      <c r="AB38" s="97">
        <v>240</v>
      </c>
      <c r="AC38" s="97">
        <v>0</v>
      </c>
      <c r="AD38" s="97">
        <v>5</v>
      </c>
      <c r="AE38" s="97" t="s">
        <v>75</v>
      </c>
      <c r="AF38" s="97">
        <v>2</v>
      </c>
      <c r="AG38" s="97">
        <v>5.41</v>
      </c>
      <c r="AH38" s="97">
        <v>71</v>
      </c>
      <c r="AI38" s="97">
        <v>130</v>
      </c>
      <c r="AJ38" s="97">
        <v>150</v>
      </c>
      <c r="AK38" s="97">
        <v>8.1</v>
      </c>
      <c r="AL38" s="97">
        <v>13</v>
      </c>
      <c r="AM38" s="97" t="s">
        <v>67</v>
      </c>
      <c r="AN38" s="97" t="s">
        <v>68</v>
      </c>
      <c r="AO38" s="98">
        <v>30</v>
      </c>
      <c r="AP38" s="100" t="s">
        <v>105</v>
      </c>
      <c r="AQ38" s="98">
        <v>0</v>
      </c>
      <c r="AR38" s="100">
        <v>1</v>
      </c>
      <c r="AS38" s="98"/>
      <c r="AT38" s="99" t="s">
        <v>82</v>
      </c>
      <c r="AU38" s="99" t="s">
        <v>83</v>
      </c>
      <c r="AV38" s="99"/>
      <c r="AW38">
        <v>46</v>
      </c>
      <c r="AX38" t="s">
        <v>70</v>
      </c>
      <c r="AZ38" s="96">
        <v>3</v>
      </c>
      <c r="BA38" s="96" t="s">
        <v>63</v>
      </c>
      <c r="BB38" s="96">
        <v>14</v>
      </c>
      <c r="BC38" s="96"/>
      <c r="BD38" s="96">
        <v>3</v>
      </c>
      <c r="BE38" s="96">
        <v>119</v>
      </c>
      <c r="BF38" s="96"/>
      <c r="BG38" s="96">
        <v>3.75</v>
      </c>
      <c r="BH38" s="96">
        <v>2</v>
      </c>
    </row>
    <row r="39" spans="1:78" x14ac:dyDescent="0.35">
      <c r="A39" s="105">
        <v>13844</v>
      </c>
      <c r="B39" s="105">
        <v>10</v>
      </c>
      <c r="C39" s="36" t="s">
        <v>84</v>
      </c>
      <c r="D39" s="96" t="s">
        <v>72</v>
      </c>
      <c r="E39" s="96" t="s">
        <v>64</v>
      </c>
      <c r="F39" s="96" t="s">
        <v>65</v>
      </c>
      <c r="G39" s="96">
        <v>343</v>
      </c>
      <c r="H39" s="40">
        <f t="shared" si="15"/>
        <v>1.1538461538461537</v>
      </c>
      <c r="I39">
        <f t="shared" si="16"/>
        <v>45</v>
      </c>
      <c r="J39" s="96">
        <v>388</v>
      </c>
      <c r="K39" s="40">
        <f t="shared" si="10"/>
        <v>1.8</v>
      </c>
      <c r="L39">
        <f t="shared" si="11"/>
        <v>54</v>
      </c>
      <c r="M39">
        <f t="shared" si="12"/>
        <v>99</v>
      </c>
      <c r="N39" s="96">
        <v>442</v>
      </c>
      <c r="O39" s="40">
        <f t="shared" si="13"/>
        <v>1.5</v>
      </c>
      <c r="P39" s="40">
        <f t="shared" si="14"/>
        <v>9</v>
      </c>
      <c r="Q39" s="49">
        <f t="shared" si="2"/>
        <v>108</v>
      </c>
      <c r="R39" s="96">
        <v>451</v>
      </c>
      <c r="S39" s="40">
        <f t="shared" si="3"/>
        <v>31.486880466472307</v>
      </c>
      <c r="T39" s="40" t="s">
        <v>116</v>
      </c>
      <c r="U39" s="97">
        <v>60.7</v>
      </c>
      <c r="V39" s="97">
        <v>63.31</v>
      </c>
      <c r="W39" s="97">
        <v>0</v>
      </c>
      <c r="X39" s="97">
        <v>8</v>
      </c>
      <c r="Y39" s="97">
        <v>3</v>
      </c>
      <c r="Z39" s="97">
        <v>229.9</v>
      </c>
      <c r="AA39" s="40">
        <f t="shared" si="4"/>
        <v>-49.024390243902438</v>
      </c>
      <c r="AB39" s="97">
        <v>480</v>
      </c>
      <c r="AC39" s="97">
        <v>2</v>
      </c>
      <c r="AD39" s="97">
        <v>8</v>
      </c>
      <c r="AE39" s="97" t="s">
        <v>75</v>
      </c>
      <c r="AF39" s="97">
        <v>1</v>
      </c>
      <c r="AG39" s="97">
        <v>5.52</v>
      </c>
      <c r="AH39" s="97">
        <v>72</v>
      </c>
      <c r="AI39" s="97">
        <v>160</v>
      </c>
      <c r="AJ39" s="97">
        <v>75</v>
      </c>
      <c r="AK39" s="97">
        <v>9.1</v>
      </c>
      <c r="AL39" s="97">
        <v>13</v>
      </c>
      <c r="AM39" s="97" t="s">
        <v>101</v>
      </c>
      <c r="AN39" s="97" t="s">
        <v>68</v>
      </c>
      <c r="AO39" s="98">
        <v>95</v>
      </c>
      <c r="AP39" s="100" t="s">
        <v>105</v>
      </c>
      <c r="AQ39" s="98">
        <v>0</v>
      </c>
      <c r="AR39" s="98">
        <v>0</v>
      </c>
      <c r="AS39" s="98"/>
      <c r="AT39" s="99"/>
      <c r="AU39" s="99" t="s">
        <v>106</v>
      </c>
      <c r="AV39" s="99"/>
      <c r="AW39">
        <v>108</v>
      </c>
      <c r="AX39" t="s">
        <v>70</v>
      </c>
      <c r="AZ39" s="96">
        <v>4</v>
      </c>
      <c r="BA39" s="96" t="s">
        <v>61</v>
      </c>
      <c r="BB39" s="96">
        <v>3</v>
      </c>
      <c r="BC39" s="96"/>
      <c r="BD39" s="96">
        <v>5</v>
      </c>
      <c r="BE39" s="96">
        <v>136</v>
      </c>
      <c r="BF39" s="96"/>
      <c r="BG39" s="96">
        <v>3.5</v>
      </c>
      <c r="BH39" s="96">
        <v>1</v>
      </c>
    </row>
    <row r="40" spans="1:78" x14ac:dyDescent="0.35">
      <c r="A40" s="105">
        <v>13837</v>
      </c>
      <c r="B40" s="105">
        <v>3</v>
      </c>
      <c r="C40" s="36" t="s">
        <v>84</v>
      </c>
      <c r="D40" s="96" t="s">
        <v>72</v>
      </c>
      <c r="E40" s="96" t="s">
        <v>73</v>
      </c>
      <c r="F40" s="96" t="s">
        <v>74</v>
      </c>
      <c r="G40" s="96">
        <v>399</v>
      </c>
      <c r="H40" s="40">
        <f t="shared" si="15"/>
        <v>1.4615384615384615</v>
      </c>
      <c r="I40">
        <f t="shared" si="16"/>
        <v>57</v>
      </c>
      <c r="J40" s="96">
        <v>456</v>
      </c>
      <c r="K40" s="40">
        <f t="shared" si="10"/>
        <v>1.8666666666666667</v>
      </c>
      <c r="L40">
        <f t="shared" si="11"/>
        <v>56</v>
      </c>
      <c r="M40">
        <f t="shared" si="12"/>
        <v>113</v>
      </c>
      <c r="N40" s="96">
        <v>512</v>
      </c>
      <c r="O40" s="40">
        <f t="shared" si="13"/>
        <v>2.1666666666666665</v>
      </c>
      <c r="P40" s="40">
        <f t="shared" si="14"/>
        <v>13</v>
      </c>
      <c r="Q40" s="49">
        <f t="shared" si="2"/>
        <v>126</v>
      </c>
      <c r="R40" s="96">
        <v>525</v>
      </c>
      <c r="S40" s="40">
        <f t="shared" si="3"/>
        <v>31.578947368421051</v>
      </c>
      <c r="T40" s="40" t="s">
        <v>116</v>
      </c>
      <c r="U40" s="97">
        <v>53.11</v>
      </c>
      <c r="V40" s="97">
        <v>55.72</v>
      </c>
      <c r="W40" s="97">
        <v>0</v>
      </c>
      <c r="X40" s="97">
        <v>14</v>
      </c>
      <c r="Y40" s="97">
        <v>4</v>
      </c>
      <c r="Z40" s="97">
        <v>252.1</v>
      </c>
      <c r="AA40" s="40">
        <f t="shared" si="4"/>
        <v>-51.980952380952374</v>
      </c>
      <c r="AB40" s="97">
        <v>370</v>
      </c>
      <c r="AC40" s="97">
        <v>1</v>
      </c>
      <c r="AD40" s="97">
        <v>10</v>
      </c>
      <c r="AE40" s="97" t="s">
        <v>75</v>
      </c>
      <c r="AF40" s="97">
        <v>1</v>
      </c>
      <c r="AG40" s="97">
        <v>5.33</v>
      </c>
      <c r="AH40" s="97">
        <v>69</v>
      </c>
      <c r="AI40" s="97">
        <v>180</v>
      </c>
      <c r="AJ40" s="97">
        <v>115</v>
      </c>
      <c r="AK40" s="97">
        <v>6.9</v>
      </c>
      <c r="AL40" s="97">
        <v>13</v>
      </c>
      <c r="AM40" s="97" t="s">
        <v>76</v>
      </c>
      <c r="AN40" s="97" t="s">
        <v>68</v>
      </c>
      <c r="AO40" s="98">
        <v>24</v>
      </c>
      <c r="AP40" s="98">
        <v>0</v>
      </c>
      <c r="AQ40" s="98">
        <v>0</v>
      </c>
      <c r="AR40" s="98">
        <v>0</v>
      </c>
      <c r="AS40" s="98"/>
      <c r="AT40" s="99"/>
      <c r="AU40" s="99" t="s">
        <v>70</v>
      </c>
      <c r="AV40" s="99"/>
      <c r="AW40">
        <v>43</v>
      </c>
      <c r="AX40" t="s">
        <v>70</v>
      </c>
      <c r="AZ40" s="96">
        <v>3</v>
      </c>
      <c r="BA40" s="96" t="s">
        <v>71</v>
      </c>
      <c r="BB40" s="96">
        <v>4</v>
      </c>
      <c r="BC40" s="96"/>
      <c r="BD40" s="96">
        <v>3</v>
      </c>
      <c r="BE40" s="96">
        <v>138</v>
      </c>
      <c r="BF40" s="96"/>
      <c r="BG40" s="96">
        <v>3.25</v>
      </c>
      <c r="BH40" s="96">
        <v>2</v>
      </c>
    </row>
    <row r="41" spans="1:78" x14ac:dyDescent="0.35">
      <c r="A41" s="105">
        <v>13841</v>
      </c>
      <c r="B41" s="105">
        <v>5</v>
      </c>
      <c r="C41" s="36" t="s">
        <v>84</v>
      </c>
      <c r="D41" s="96" t="s">
        <v>72</v>
      </c>
      <c r="E41" s="96" t="s">
        <v>73</v>
      </c>
      <c r="F41" s="96" t="s">
        <v>74</v>
      </c>
      <c r="G41" s="96">
        <v>375</v>
      </c>
      <c r="H41" s="40">
        <f t="shared" si="15"/>
        <v>1.1282051282051282</v>
      </c>
      <c r="I41">
        <f t="shared" si="16"/>
        <v>44</v>
      </c>
      <c r="J41" s="96">
        <v>419</v>
      </c>
      <c r="K41" s="40">
        <f t="shared" si="10"/>
        <v>2.0333333333333332</v>
      </c>
      <c r="L41">
        <f t="shared" si="11"/>
        <v>61</v>
      </c>
      <c r="M41">
        <f t="shared" si="12"/>
        <v>105</v>
      </c>
      <c r="N41" s="96">
        <v>480</v>
      </c>
      <c r="O41" s="40">
        <f t="shared" si="13"/>
        <v>2.3333333333333335</v>
      </c>
      <c r="P41" s="40">
        <f t="shared" si="14"/>
        <v>14</v>
      </c>
      <c r="Q41" s="49">
        <f t="shared" si="2"/>
        <v>119</v>
      </c>
      <c r="R41" s="96">
        <v>494</v>
      </c>
      <c r="S41" s="40">
        <f t="shared" si="3"/>
        <v>31.733333333333334</v>
      </c>
      <c r="T41" s="40" t="s">
        <v>116</v>
      </c>
      <c r="U41" s="97">
        <v>58.88</v>
      </c>
      <c r="V41" s="97">
        <v>61.49</v>
      </c>
      <c r="W41" s="97">
        <v>0</v>
      </c>
      <c r="X41" s="97">
        <v>11</v>
      </c>
      <c r="Y41" s="97">
        <v>3</v>
      </c>
      <c r="Z41" s="97">
        <v>256.5</v>
      </c>
      <c r="AA41" s="40">
        <f t="shared" si="4"/>
        <v>-48.07692307692308</v>
      </c>
      <c r="AB41" s="97">
        <v>350</v>
      </c>
      <c r="AC41" s="97">
        <v>1</v>
      </c>
      <c r="AD41" s="97">
        <v>10</v>
      </c>
      <c r="AE41" s="97" t="s">
        <v>75</v>
      </c>
      <c r="AF41" s="97">
        <v>1</v>
      </c>
      <c r="AG41" s="97">
        <v>5.39</v>
      </c>
      <c r="AH41" s="97">
        <v>70</v>
      </c>
      <c r="AI41" s="97">
        <v>120</v>
      </c>
      <c r="AJ41" s="97">
        <v>100</v>
      </c>
      <c r="AK41" s="97">
        <v>7.1</v>
      </c>
      <c r="AL41" s="97">
        <v>13</v>
      </c>
      <c r="AM41" s="97" t="s">
        <v>76</v>
      </c>
      <c r="AN41" s="97" t="s">
        <v>68</v>
      </c>
      <c r="AO41" s="98">
        <v>42</v>
      </c>
      <c r="AP41" s="98">
        <v>0</v>
      </c>
      <c r="AQ41" s="98">
        <v>0</v>
      </c>
      <c r="AR41" s="98">
        <v>0</v>
      </c>
      <c r="AS41" s="98"/>
      <c r="AT41" s="99"/>
      <c r="AU41" s="99" t="s">
        <v>70</v>
      </c>
      <c r="AV41" s="99"/>
      <c r="AW41">
        <v>73</v>
      </c>
      <c r="AX41" t="s">
        <v>70</v>
      </c>
      <c r="AZ41" s="96">
        <v>2</v>
      </c>
      <c r="BA41" s="96" t="s">
        <v>115</v>
      </c>
      <c r="BB41" s="96">
        <v>5</v>
      </c>
      <c r="BC41" s="96"/>
      <c r="BD41" s="96">
        <v>5</v>
      </c>
      <c r="BE41" s="96">
        <v>130</v>
      </c>
      <c r="BF41" s="96"/>
      <c r="BG41" s="96">
        <v>3.5</v>
      </c>
      <c r="BH41" s="96">
        <v>1</v>
      </c>
    </row>
    <row r="42" spans="1:78" x14ac:dyDescent="0.35">
      <c r="A42" s="105">
        <v>13850</v>
      </c>
      <c r="B42" s="105">
        <v>9</v>
      </c>
      <c r="C42" s="36" t="s">
        <v>84</v>
      </c>
      <c r="D42" s="96" t="s">
        <v>72</v>
      </c>
      <c r="E42" s="96" t="s">
        <v>113</v>
      </c>
      <c r="F42" s="96" t="s">
        <v>114</v>
      </c>
      <c r="G42" s="96">
        <v>369</v>
      </c>
      <c r="H42" s="40">
        <f t="shared" si="15"/>
        <v>1.7179487179487178</v>
      </c>
      <c r="I42">
        <f t="shared" si="16"/>
        <v>67</v>
      </c>
      <c r="J42" s="96">
        <v>436</v>
      </c>
      <c r="K42" s="40">
        <f t="shared" si="10"/>
        <v>1.3333333333333333</v>
      </c>
      <c r="L42">
        <f t="shared" si="11"/>
        <v>40</v>
      </c>
      <c r="M42">
        <f t="shared" si="12"/>
        <v>107</v>
      </c>
      <c r="N42" s="96">
        <v>476</v>
      </c>
      <c r="O42" s="40">
        <f t="shared" si="13"/>
        <v>2.1666666666666665</v>
      </c>
      <c r="P42" s="40">
        <f t="shared" si="14"/>
        <v>13</v>
      </c>
      <c r="Q42" s="49">
        <f t="shared" si="2"/>
        <v>120</v>
      </c>
      <c r="R42" s="96">
        <v>489</v>
      </c>
      <c r="S42" s="40">
        <f t="shared" si="3"/>
        <v>32.520325203252028</v>
      </c>
      <c r="T42" s="40" t="s">
        <v>116</v>
      </c>
      <c r="U42" s="97">
        <v>58.89</v>
      </c>
      <c r="V42" s="97">
        <v>61.5</v>
      </c>
      <c r="W42" s="97">
        <v>0</v>
      </c>
      <c r="X42" s="97">
        <v>7</v>
      </c>
      <c r="Y42" s="97">
        <v>3</v>
      </c>
      <c r="Z42" s="97">
        <v>261.39999999999998</v>
      </c>
      <c r="AA42" s="40">
        <f t="shared" si="4"/>
        <v>-46.543967280163606</v>
      </c>
      <c r="AB42" s="97">
        <v>280</v>
      </c>
      <c r="AC42" s="97">
        <v>0</v>
      </c>
      <c r="AD42" s="97">
        <v>7</v>
      </c>
      <c r="AE42" s="97" t="s">
        <v>67</v>
      </c>
      <c r="AF42" s="97">
        <v>0</v>
      </c>
      <c r="AG42" s="97">
        <v>5.37</v>
      </c>
      <c r="AH42" s="97">
        <v>65</v>
      </c>
      <c r="AI42" s="97">
        <v>140</v>
      </c>
      <c r="AJ42" s="97">
        <v>75</v>
      </c>
      <c r="AK42" s="97">
        <v>6.8</v>
      </c>
      <c r="AL42" s="97">
        <v>13</v>
      </c>
      <c r="AM42" s="97" t="s">
        <v>76</v>
      </c>
      <c r="AN42" s="97" t="s">
        <v>68</v>
      </c>
      <c r="AO42" s="98">
        <v>96</v>
      </c>
      <c r="AP42" s="98">
        <v>0</v>
      </c>
      <c r="AQ42" s="98">
        <v>0</v>
      </c>
      <c r="AR42" s="98">
        <v>0</v>
      </c>
      <c r="AS42" s="98"/>
      <c r="AT42" s="99"/>
      <c r="AU42" s="99" t="s">
        <v>70</v>
      </c>
      <c r="AV42" s="99"/>
      <c r="AW42">
        <v>63</v>
      </c>
      <c r="AX42" t="s">
        <v>70</v>
      </c>
      <c r="AZ42" s="96">
        <v>1</v>
      </c>
      <c r="BA42" s="96" t="s">
        <v>91</v>
      </c>
      <c r="BB42" s="96">
        <v>1</v>
      </c>
      <c r="BC42" s="96"/>
      <c r="BD42" s="96">
        <v>3</v>
      </c>
      <c r="BE42" s="96">
        <v>127</v>
      </c>
      <c r="BF42" s="96"/>
      <c r="BG42" s="96">
        <v>3</v>
      </c>
      <c r="BH42" s="96" t="s">
        <v>117</v>
      </c>
    </row>
    <row r="43" spans="1:78" x14ac:dyDescent="0.35">
      <c r="A43" s="105">
        <v>13849</v>
      </c>
      <c r="B43" s="105">
        <v>8</v>
      </c>
      <c r="C43" s="36" t="s">
        <v>84</v>
      </c>
      <c r="D43" s="96" t="s">
        <v>72</v>
      </c>
      <c r="E43" s="96" t="s">
        <v>113</v>
      </c>
      <c r="F43" s="96" t="s">
        <v>114</v>
      </c>
      <c r="G43" s="96">
        <v>355</v>
      </c>
      <c r="H43" s="40">
        <f t="shared" si="15"/>
        <v>1.5384615384615385</v>
      </c>
      <c r="I43">
        <f t="shared" si="16"/>
        <v>60</v>
      </c>
      <c r="J43" s="96">
        <v>415</v>
      </c>
      <c r="K43" s="40">
        <f t="shared" si="10"/>
        <v>1.6</v>
      </c>
      <c r="L43">
        <f t="shared" si="11"/>
        <v>48</v>
      </c>
      <c r="M43">
        <f t="shared" si="12"/>
        <v>108</v>
      </c>
      <c r="N43" s="96">
        <v>463</v>
      </c>
      <c r="O43" s="40">
        <f t="shared" si="13"/>
        <v>2</v>
      </c>
      <c r="P43" s="40">
        <f t="shared" si="14"/>
        <v>12</v>
      </c>
      <c r="Q43" s="49">
        <f t="shared" si="2"/>
        <v>120</v>
      </c>
      <c r="R43" s="96">
        <v>475</v>
      </c>
      <c r="S43" s="40">
        <f t="shared" si="3"/>
        <v>33.802816901408448</v>
      </c>
      <c r="T43" s="40" t="s">
        <v>116</v>
      </c>
      <c r="U43" s="97">
        <v>62.26</v>
      </c>
      <c r="V43" s="97">
        <v>64.87</v>
      </c>
      <c r="W43" s="97">
        <v>0</v>
      </c>
      <c r="X43" s="97">
        <v>7</v>
      </c>
      <c r="Y43" s="97">
        <v>3</v>
      </c>
      <c r="Z43" s="97">
        <v>266.3</v>
      </c>
      <c r="AA43" s="40">
        <f t="shared" si="4"/>
        <v>-43.93684210526316</v>
      </c>
      <c r="AB43" s="97">
        <v>350</v>
      </c>
      <c r="AC43" s="97">
        <v>1</v>
      </c>
      <c r="AD43" s="97">
        <v>7</v>
      </c>
      <c r="AE43" s="97" t="s">
        <v>75</v>
      </c>
      <c r="AF43" s="97">
        <v>1</v>
      </c>
      <c r="AG43" s="97">
        <v>5.4</v>
      </c>
      <c r="AH43" s="97">
        <v>77</v>
      </c>
      <c r="AI43" s="97">
        <v>130</v>
      </c>
      <c r="AJ43" s="97">
        <v>70</v>
      </c>
      <c r="AK43" s="97">
        <v>7</v>
      </c>
      <c r="AL43" s="97">
        <v>13</v>
      </c>
      <c r="AM43" s="97" t="s">
        <v>76</v>
      </c>
      <c r="AN43" s="97" t="s">
        <v>68</v>
      </c>
      <c r="AO43" s="98">
        <v>75</v>
      </c>
      <c r="AP43" s="98">
        <v>0</v>
      </c>
      <c r="AQ43" s="98">
        <v>0</v>
      </c>
      <c r="AR43" s="98">
        <v>0</v>
      </c>
      <c r="AS43" s="98"/>
      <c r="AT43" s="99"/>
      <c r="AU43" s="99" t="s">
        <v>70</v>
      </c>
      <c r="AV43" s="99"/>
      <c r="AW43">
        <v>45</v>
      </c>
      <c r="AX43" t="s">
        <v>70</v>
      </c>
      <c r="AZ43" s="96">
        <v>3</v>
      </c>
      <c r="BA43" s="96" t="s">
        <v>115</v>
      </c>
      <c r="BB43" s="96">
        <v>5</v>
      </c>
      <c r="BC43" s="96"/>
      <c r="BD43" s="96">
        <v>2</v>
      </c>
      <c r="BE43" s="96">
        <v>121</v>
      </c>
      <c r="BF43" s="96"/>
      <c r="BG43" s="96">
        <v>3</v>
      </c>
      <c r="BH43" s="96">
        <v>1</v>
      </c>
    </row>
    <row r="44" spans="1:78" x14ac:dyDescent="0.35">
      <c r="A44" s="105">
        <v>13864</v>
      </c>
      <c r="B44" s="105">
        <v>18</v>
      </c>
      <c r="C44" s="36" t="s">
        <v>84</v>
      </c>
      <c r="D44" s="96" t="s">
        <v>72</v>
      </c>
      <c r="E44" s="96" t="s">
        <v>64</v>
      </c>
      <c r="F44" s="96" t="s">
        <v>65</v>
      </c>
      <c r="G44" s="96">
        <v>374</v>
      </c>
      <c r="H44" s="40">
        <f t="shared" si="15"/>
        <v>1.6666666666666667</v>
      </c>
      <c r="I44">
        <f t="shared" si="16"/>
        <v>65</v>
      </c>
      <c r="J44" s="96">
        <v>439</v>
      </c>
      <c r="K44" s="40">
        <f t="shared" si="10"/>
        <v>1.6666666666666667</v>
      </c>
      <c r="L44">
        <f t="shared" si="11"/>
        <v>50</v>
      </c>
      <c r="M44">
        <f t="shared" si="12"/>
        <v>115</v>
      </c>
      <c r="N44" s="96">
        <v>489</v>
      </c>
      <c r="O44" s="40">
        <f t="shared" si="13"/>
        <v>2.3333333333333335</v>
      </c>
      <c r="P44" s="40">
        <f t="shared" si="14"/>
        <v>14</v>
      </c>
      <c r="Q44" s="49">
        <f t="shared" si="2"/>
        <v>129</v>
      </c>
      <c r="R44" s="96">
        <v>503</v>
      </c>
      <c r="S44" s="40">
        <f t="shared" si="3"/>
        <v>34.491978609625669</v>
      </c>
      <c r="T44" s="40" t="s">
        <v>116</v>
      </c>
      <c r="U44" s="97">
        <v>58.82</v>
      </c>
      <c r="V44" s="97">
        <v>61.43</v>
      </c>
      <c r="W44" s="97">
        <v>0</v>
      </c>
      <c r="X44" s="97">
        <v>15</v>
      </c>
      <c r="Y44" s="97">
        <v>4</v>
      </c>
      <c r="Z44" s="97">
        <v>276.2</v>
      </c>
      <c r="AA44" s="40">
        <f t="shared" si="4"/>
        <v>-45.089463220675945</v>
      </c>
      <c r="AB44" s="97">
        <v>370</v>
      </c>
      <c r="AC44" s="97">
        <v>1</v>
      </c>
      <c r="AD44" s="97">
        <v>10</v>
      </c>
      <c r="AE44" s="97" t="s">
        <v>75</v>
      </c>
      <c r="AF44" s="97">
        <v>0</v>
      </c>
      <c r="AG44" s="97">
        <v>5.4</v>
      </c>
      <c r="AH44" s="97">
        <v>79</v>
      </c>
      <c r="AI44" s="97">
        <v>160</v>
      </c>
      <c r="AJ44" s="97">
        <v>85</v>
      </c>
      <c r="AK44" s="97">
        <v>7.6</v>
      </c>
      <c r="AL44" s="97">
        <v>13</v>
      </c>
      <c r="AM44" s="97" t="s">
        <v>76</v>
      </c>
      <c r="AN44" s="97" t="s">
        <v>68</v>
      </c>
      <c r="AO44" s="98">
        <v>60</v>
      </c>
      <c r="AP44" s="98">
        <v>0</v>
      </c>
      <c r="AQ44" s="98">
        <v>0</v>
      </c>
      <c r="AR44" s="98">
        <v>0</v>
      </c>
      <c r="AS44" s="98"/>
      <c r="AT44" s="99"/>
      <c r="AU44" s="99" t="s">
        <v>70</v>
      </c>
      <c r="AV44" s="99"/>
      <c r="AW44">
        <v>50</v>
      </c>
      <c r="AX44" t="s">
        <v>70</v>
      </c>
      <c r="AZ44" s="96">
        <v>4</v>
      </c>
      <c r="BA44" s="96" t="s">
        <v>87</v>
      </c>
      <c r="BB44" s="96">
        <v>10</v>
      </c>
      <c r="BC44" s="96"/>
      <c r="BD44" s="96">
        <v>1</v>
      </c>
      <c r="BE44" s="96">
        <v>125</v>
      </c>
      <c r="BF44" s="96"/>
      <c r="BG44" s="96">
        <v>3.25</v>
      </c>
      <c r="BH44" s="96">
        <v>1</v>
      </c>
    </row>
    <row r="45" spans="1:78" x14ac:dyDescent="0.35">
      <c r="A45" s="88">
        <v>13912</v>
      </c>
      <c r="B45" s="88">
        <v>48</v>
      </c>
      <c r="C45" s="86" t="s">
        <v>78</v>
      </c>
      <c r="D45" s="86" t="s">
        <v>57</v>
      </c>
      <c r="E45" s="86" t="s">
        <v>118</v>
      </c>
      <c r="F45" s="86" t="s">
        <v>119</v>
      </c>
      <c r="G45" s="86">
        <v>414</v>
      </c>
      <c r="H45" s="87">
        <f t="shared" si="15"/>
        <v>3.3846153846153846</v>
      </c>
      <c r="I45" s="88">
        <f t="shared" si="16"/>
        <v>132</v>
      </c>
      <c r="J45" s="86">
        <v>546</v>
      </c>
      <c r="K45" s="87">
        <f t="shared" si="10"/>
        <v>-6.6666666666666666E-2</v>
      </c>
      <c r="L45" s="88">
        <f t="shared" si="11"/>
        <v>-2</v>
      </c>
      <c r="M45" s="88">
        <f t="shared" si="12"/>
        <v>130</v>
      </c>
      <c r="N45" s="86">
        <v>544</v>
      </c>
      <c r="O45" s="87">
        <f t="shared" si="13"/>
        <v>2.3333333333333335</v>
      </c>
      <c r="P45" s="87">
        <f t="shared" si="14"/>
        <v>14</v>
      </c>
      <c r="Q45" s="89">
        <f t="shared" si="2"/>
        <v>144</v>
      </c>
      <c r="R45" s="86">
        <v>558</v>
      </c>
      <c r="S45" s="87">
        <f t="shared" si="3"/>
        <v>34.782608695652172</v>
      </c>
      <c r="T45" s="40" t="s">
        <v>116</v>
      </c>
      <c r="U45" s="102">
        <v>59.24</v>
      </c>
      <c r="V45" s="102">
        <v>61.85</v>
      </c>
      <c r="W45" s="102">
        <v>0</v>
      </c>
      <c r="X45" s="102">
        <v>3</v>
      </c>
      <c r="Y45" s="102">
        <v>2</v>
      </c>
      <c r="Z45" s="102">
        <v>267.3</v>
      </c>
      <c r="AA45" s="87">
        <f t="shared" si="4"/>
        <v>-52.096774193548391</v>
      </c>
      <c r="AB45" s="102">
        <v>320</v>
      </c>
      <c r="AC45" s="102">
        <v>1</v>
      </c>
      <c r="AD45" s="102">
        <v>3</v>
      </c>
      <c r="AE45" s="102" t="s">
        <v>75</v>
      </c>
      <c r="AF45" s="102">
        <v>1</v>
      </c>
      <c r="AG45" s="102">
        <v>5.34</v>
      </c>
      <c r="AH45" s="102">
        <v>78</v>
      </c>
      <c r="AI45" s="102">
        <v>120</v>
      </c>
      <c r="AJ45" s="102">
        <v>85</v>
      </c>
      <c r="AK45" s="102">
        <v>7</v>
      </c>
      <c r="AL45" s="102">
        <v>13</v>
      </c>
      <c r="AM45" s="102" t="s">
        <v>76</v>
      </c>
      <c r="AN45" s="102" t="s">
        <v>68</v>
      </c>
      <c r="AO45" s="103">
        <v>97</v>
      </c>
      <c r="AP45" s="103">
        <v>0</v>
      </c>
      <c r="AQ45" s="103">
        <v>0</v>
      </c>
      <c r="AR45" s="103">
        <v>0</v>
      </c>
      <c r="AS45" s="103"/>
      <c r="AT45" s="104"/>
      <c r="AU45" s="104" t="s">
        <v>70</v>
      </c>
      <c r="AV45" s="104"/>
      <c r="AW45" s="88">
        <v>84</v>
      </c>
      <c r="AX45" s="88" t="s">
        <v>70</v>
      </c>
      <c r="AY45" s="88"/>
      <c r="AZ45" s="86">
        <v>1</v>
      </c>
      <c r="BA45" s="86" t="s">
        <v>120</v>
      </c>
      <c r="BB45" s="86">
        <v>12</v>
      </c>
      <c r="BC45" s="86"/>
      <c r="BD45" s="86">
        <v>1</v>
      </c>
      <c r="BE45" s="86">
        <v>132</v>
      </c>
      <c r="BF45" s="86"/>
      <c r="BG45" s="86">
        <v>2.75</v>
      </c>
      <c r="BH45" s="86">
        <v>2</v>
      </c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</row>
    <row r="46" spans="1:78" x14ac:dyDescent="0.35">
      <c r="A46" s="105">
        <v>13885</v>
      </c>
      <c r="B46" s="105">
        <v>29</v>
      </c>
      <c r="C46" s="96" t="s">
        <v>62</v>
      </c>
      <c r="D46" s="96" t="s">
        <v>57</v>
      </c>
      <c r="E46" s="96" t="s">
        <v>73</v>
      </c>
      <c r="F46" s="96" t="s">
        <v>74</v>
      </c>
      <c r="G46" s="96">
        <v>379</v>
      </c>
      <c r="H46" s="40">
        <f t="shared" si="15"/>
        <v>1.6923076923076923</v>
      </c>
      <c r="I46">
        <f t="shared" si="16"/>
        <v>66</v>
      </c>
      <c r="J46" s="96">
        <v>445</v>
      </c>
      <c r="K46" s="40">
        <f t="shared" si="10"/>
        <v>1.9</v>
      </c>
      <c r="L46">
        <f t="shared" si="11"/>
        <v>57</v>
      </c>
      <c r="M46">
        <f t="shared" si="12"/>
        <v>123</v>
      </c>
      <c r="N46" s="96">
        <v>502</v>
      </c>
      <c r="O46" s="40">
        <f t="shared" si="13"/>
        <v>2.1666666666666665</v>
      </c>
      <c r="P46" s="40">
        <f t="shared" si="14"/>
        <v>13</v>
      </c>
      <c r="Q46" s="49">
        <f t="shared" si="2"/>
        <v>136</v>
      </c>
      <c r="R46" s="96">
        <v>515</v>
      </c>
      <c r="S46" s="40">
        <f t="shared" si="3"/>
        <v>35.88390501319261</v>
      </c>
      <c r="T46" s="40" t="s">
        <v>121</v>
      </c>
      <c r="U46" s="97">
        <v>60.49</v>
      </c>
      <c r="V46" s="97">
        <v>63.1</v>
      </c>
      <c r="W46" s="97">
        <v>2</v>
      </c>
      <c r="X46" s="97">
        <v>12</v>
      </c>
      <c r="Y46" s="97">
        <v>3</v>
      </c>
      <c r="Z46" s="97">
        <v>256.8</v>
      </c>
      <c r="AA46" s="40">
        <f t="shared" si="4"/>
        <v>-50.135922330097081</v>
      </c>
      <c r="AB46" s="97">
        <v>330</v>
      </c>
      <c r="AC46" s="97">
        <v>1</v>
      </c>
      <c r="AD46" s="97">
        <v>9</v>
      </c>
      <c r="AE46" s="97" t="s">
        <v>67</v>
      </c>
      <c r="AF46" s="97">
        <v>1</v>
      </c>
      <c r="AG46" s="97">
        <v>5.38</v>
      </c>
      <c r="AH46" s="97">
        <v>69</v>
      </c>
      <c r="AI46" s="97">
        <v>120</v>
      </c>
      <c r="AJ46" s="97">
        <v>90</v>
      </c>
      <c r="AK46" s="97">
        <v>6.8</v>
      </c>
      <c r="AL46" s="97">
        <v>13</v>
      </c>
      <c r="AM46" s="97" t="s">
        <v>76</v>
      </c>
      <c r="AN46" s="97" t="s">
        <v>68</v>
      </c>
      <c r="AO46" s="98">
        <v>77</v>
      </c>
      <c r="AP46" s="100" t="s">
        <v>105</v>
      </c>
      <c r="AQ46" s="98">
        <v>0</v>
      </c>
      <c r="AR46" s="98">
        <v>0</v>
      </c>
      <c r="AS46" s="98"/>
      <c r="AT46" s="99" t="s">
        <v>122</v>
      </c>
      <c r="AU46" s="99" t="s">
        <v>83</v>
      </c>
      <c r="AV46" s="99"/>
      <c r="AW46">
        <v>88</v>
      </c>
      <c r="AX46" t="s">
        <v>70</v>
      </c>
      <c r="AZ46" s="96">
        <v>2</v>
      </c>
      <c r="BA46" s="96" t="s">
        <v>71</v>
      </c>
      <c r="BB46" s="96">
        <v>4</v>
      </c>
      <c r="BC46" s="96"/>
      <c r="BD46" s="96">
        <v>3</v>
      </c>
      <c r="BE46" s="96">
        <v>121</v>
      </c>
      <c r="BF46" s="96"/>
      <c r="BG46" s="96">
        <v>2.5</v>
      </c>
      <c r="BH46" s="96">
        <v>1</v>
      </c>
    </row>
    <row r="47" spans="1:78" x14ac:dyDescent="0.35">
      <c r="A47" s="105">
        <v>13908</v>
      </c>
      <c r="B47" s="105">
        <v>46</v>
      </c>
      <c r="C47" s="96" t="s">
        <v>56</v>
      </c>
      <c r="D47" s="96" t="s">
        <v>57</v>
      </c>
      <c r="E47" s="96" t="s">
        <v>73</v>
      </c>
      <c r="F47" s="96" t="s">
        <v>74</v>
      </c>
      <c r="G47" s="96">
        <v>342</v>
      </c>
      <c r="H47" s="40">
        <f t="shared" si="15"/>
        <v>1.641025641025641</v>
      </c>
      <c r="I47">
        <f t="shared" si="16"/>
        <v>64</v>
      </c>
      <c r="J47" s="96">
        <v>406</v>
      </c>
      <c r="K47" s="40">
        <f t="shared" si="10"/>
        <v>1.7666666666666666</v>
      </c>
      <c r="L47">
        <f t="shared" si="11"/>
        <v>53</v>
      </c>
      <c r="M47">
        <f t="shared" si="12"/>
        <v>117</v>
      </c>
      <c r="N47" s="96">
        <v>459</v>
      </c>
      <c r="O47" s="40">
        <f t="shared" si="13"/>
        <v>2.3333333333333335</v>
      </c>
      <c r="P47" s="40">
        <f t="shared" si="14"/>
        <v>14</v>
      </c>
      <c r="Q47" s="49">
        <f t="shared" si="2"/>
        <v>131</v>
      </c>
      <c r="R47" s="96">
        <v>473</v>
      </c>
      <c r="S47" s="40">
        <f t="shared" si="3"/>
        <v>38.304093567251464</v>
      </c>
      <c r="T47" s="40" t="s">
        <v>121</v>
      </c>
      <c r="U47" s="97">
        <v>58.16</v>
      </c>
      <c r="V47" s="97">
        <v>60.77</v>
      </c>
      <c r="W47" s="97">
        <v>4</v>
      </c>
      <c r="X47" s="97">
        <v>13</v>
      </c>
      <c r="Y47" s="97">
        <v>4</v>
      </c>
      <c r="Z47" s="97">
        <v>262.2</v>
      </c>
      <c r="AA47" s="40">
        <f t="shared" si="4"/>
        <v>-44.56659619450317</v>
      </c>
      <c r="AB47" s="97">
        <v>350</v>
      </c>
      <c r="AC47" s="97">
        <v>1</v>
      </c>
      <c r="AD47" s="97">
        <v>10</v>
      </c>
      <c r="AE47" s="97" t="s">
        <v>75</v>
      </c>
      <c r="AF47" s="97">
        <v>1</v>
      </c>
      <c r="AG47" s="97">
        <v>5.46</v>
      </c>
      <c r="AH47" s="97">
        <v>70</v>
      </c>
      <c r="AI47" s="97">
        <v>110</v>
      </c>
      <c r="AJ47" s="97">
        <v>115</v>
      </c>
      <c r="AK47" s="97">
        <v>7</v>
      </c>
      <c r="AL47" s="97">
        <v>13</v>
      </c>
      <c r="AM47" s="97" t="s">
        <v>76</v>
      </c>
      <c r="AN47" s="97" t="s">
        <v>68</v>
      </c>
      <c r="AO47" s="98">
        <v>22</v>
      </c>
      <c r="AP47" s="100" t="s">
        <v>123</v>
      </c>
      <c r="AQ47" s="98">
        <v>0</v>
      </c>
      <c r="AR47" s="100">
        <v>1</v>
      </c>
      <c r="AS47" s="98"/>
      <c r="AT47" s="99"/>
      <c r="AU47" s="99" t="s">
        <v>106</v>
      </c>
      <c r="AV47" s="99"/>
      <c r="AW47">
        <v>44</v>
      </c>
      <c r="AX47" t="s">
        <v>70</v>
      </c>
      <c r="AZ47" s="96">
        <v>2</v>
      </c>
      <c r="BA47" s="96" t="s">
        <v>124</v>
      </c>
      <c r="BB47" s="96">
        <v>13</v>
      </c>
      <c r="BC47" s="96"/>
      <c r="BD47" s="96">
        <v>3</v>
      </c>
      <c r="BE47" s="96">
        <v>125</v>
      </c>
      <c r="BF47" s="96"/>
      <c r="BG47" s="96">
        <v>3</v>
      </c>
      <c r="BH47" s="96">
        <v>2</v>
      </c>
    </row>
    <row r="48" spans="1:78" s="88" customFormat="1" x14ac:dyDescent="0.35">
      <c r="A48" s="105">
        <v>13873</v>
      </c>
      <c r="B48" s="105">
        <v>22</v>
      </c>
      <c r="C48" s="36" t="s">
        <v>84</v>
      </c>
      <c r="D48" s="96" t="s">
        <v>72</v>
      </c>
      <c r="E48" s="96" t="s">
        <v>88</v>
      </c>
      <c r="F48" s="96" t="s">
        <v>89</v>
      </c>
      <c r="G48" s="96">
        <v>351</v>
      </c>
      <c r="H48" s="40">
        <f t="shared" si="15"/>
        <v>1.8974358974358974</v>
      </c>
      <c r="I48">
        <f t="shared" si="16"/>
        <v>74</v>
      </c>
      <c r="J48" s="96">
        <v>425</v>
      </c>
      <c r="K48" s="40">
        <f t="shared" si="10"/>
        <v>1.6</v>
      </c>
      <c r="L48">
        <f t="shared" si="11"/>
        <v>48</v>
      </c>
      <c r="M48">
        <f t="shared" si="12"/>
        <v>122</v>
      </c>
      <c r="N48" s="96">
        <v>473</v>
      </c>
      <c r="O48" s="40">
        <f t="shared" si="13"/>
        <v>2.1666666666666665</v>
      </c>
      <c r="P48" s="40">
        <f t="shared" si="14"/>
        <v>13</v>
      </c>
      <c r="Q48" s="49">
        <f t="shared" si="2"/>
        <v>135</v>
      </c>
      <c r="R48" s="96">
        <v>486</v>
      </c>
      <c r="S48" s="40">
        <f t="shared" si="3"/>
        <v>38.461538461538467</v>
      </c>
      <c r="T48" s="40" t="s">
        <v>121</v>
      </c>
      <c r="U48" s="97">
        <v>58</v>
      </c>
      <c r="V48" s="97">
        <v>60.61</v>
      </c>
      <c r="W48" s="97">
        <v>0</v>
      </c>
      <c r="X48" s="97">
        <v>7</v>
      </c>
      <c r="Y48" s="97">
        <v>3</v>
      </c>
      <c r="Z48" s="97">
        <v>264</v>
      </c>
      <c r="AA48" s="40">
        <f t="shared" si="4"/>
        <v>-45.679012345679013</v>
      </c>
      <c r="AB48" s="97">
        <v>330</v>
      </c>
      <c r="AC48" s="97">
        <v>1</v>
      </c>
      <c r="AD48" s="97">
        <v>7</v>
      </c>
      <c r="AE48" s="97" t="s">
        <v>75</v>
      </c>
      <c r="AF48" s="97">
        <v>1</v>
      </c>
      <c r="AG48" s="97">
        <v>5.36</v>
      </c>
      <c r="AH48" s="97">
        <v>73</v>
      </c>
      <c r="AI48" s="97">
        <v>130</v>
      </c>
      <c r="AJ48" s="97">
        <v>95</v>
      </c>
      <c r="AK48" s="97">
        <v>6.8</v>
      </c>
      <c r="AL48" s="97">
        <v>13</v>
      </c>
      <c r="AM48" s="97" t="s">
        <v>76</v>
      </c>
      <c r="AN48" s="97" t="s">
        <v>68</v>
      </c>
      <c r="AO48" s="98">
        <v>28</v>
      </c>
      <c r="AP48" s="98">
        <v>0</v>
      </c>
      <c r="AQ48" s="98">
        <v>0</v>
      </c>
      <c r="AR48" s="98">
        <v>0</v>
      </c>
      <c r="AS48" s="98"/>
      <c r="AT48" s="99"/>
      <c r="AU48" s="99" t="s">
        <v>70</v>
      </c>
      <c r="AV48" s="99"/>
      <c r="AW48">
        <v>39</v>
      </c>
      <c r="AX48" t="s">
        <v>70</v>
      </c>
      <c r="AY48"/>
      <c r="AZ48" s="96">
        <v>1</v>
      </c>
      <c r="BA48" s="96" t="s">
        <v>91</v>
      </c>
      <c r="BB48" s="96">
        <v>1</v>
      </c>
      <c r="BC48" s="96"/>
      <c r="BD48" s="96">
        <v>3</v>
      </c>
      <c r="BE48" s="96">
        <v>114</v>
      </c>
      <c r="BF48" s="96"/>
      <c r="BG48" s="96">
        <v>2.75</v>
      </c>
      <c r="BH48" s="96">
        <v>1</v>
      </c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</row>
    <row r="49" spans="1:78" x14ac:dyDescent="0.35">
      <c r="A49" s="106">
        <v>13834</v>
      </c>
      <c r="B49" s="105">
        <v>2</v>
      </c>
      <c r="C49" s="36" t="s">
        <v>84</v>
      </c>
      <c r="D49" s="96" t="s">
        <v>72</v>
      </c>
      <c r="E49" s="96" t="s">
        <v>64</v>
      </c>
      <c r="F49" s="96" t="s">
        <v>65</v>
      </c>
      <c r="G49" s="96">
        <v>350</v>
      </c>
      <c r="H49" s="40">
        <f t="shared" si="15"/>
        <v>1.4615384615384615</v>
      </c>
      <c r="I49">
        <f t="shared" si="16"/>
        <v>57</v>
      </c>
      <c r="J49" s="96">
        <v>407</v>
      </c>
      <c r="K49" s="40">
        <f t="shared" si="10"/>
        <v>2.2666666666666666</v>
      </c>
      <c r="L49">
        <f t="shared" si="11"/>
        <v>68</v>
      </c>
      <c r="M49">
        <f t="shared" si="12"/>
        <v>125</v>
      </c>
      <c r="N49" s="96">
        <v>475</v>
      </c>
      <c r="O49" s="40">
        <f t="shared" si="13"/>
        <v>2</v>
      </c>
      <c r="P49" s="40">
        <f t="shared" si="14"/>
        <v>12</v>
      </c>
      <c r="Q49" s="49">
        <f t="shared" si="2"/>
        <v>137</v>
      </c>
      <c r="R49" s="96">
        <v>487</v>
      </c>
      <c r="S49" s="40">
        <f t="shared" si="3"/>
        <v>39.142857142857139</v>
      </c>
      <c r="T49" s="40" t="s">
        <v>121</v>
      </c>
      <c r="U49" s="97">
        <v>53.97</v>
      </c>
      <c r="V49" s="97">
        <v>56.58</v>
      </c>
      <c r="W49" s="97">
        <v>0</v>
      </c>
      <c r="X49" s="97">
        <v>14</v>
      </c>
      <c r="Y49" s="97">
        <v>4</v>
      </c>
      <c r="Z49" s="97">
        <v>280.3</v>
      </c>
      <c r="AA49" s="40">
        <f t="shared" si="4"/>
        <v>-42.443531827515393</v>
      </c>
      <c r="AB49" s="97">
        <v>200</v>
      </c>
      <c r="AC49" s="97">
        <v>0</v>
      </c>
      <c r="AD49" s="97">
        <v>6</v>
      </c>
      <c r="AE49" s="97" t="s">
        <v>66</v>
      </c>
      <c r="AF49" s="97">
        <v>0</v>
      </c>
      <c r="AG49" s="97">
        <v>5.43</v>
      </c>
      <c r="AH49" s="97">
        <v>84</v>
      </c>
      <c r="AI49" s="97">
        <v>120</v>
      </c>
      <c r="AJ49" s="97">
        <v>135</v>
      </c>
      <c r="AK49" s="97">
        <v>8.1</v>
      </c>
      <c r="AL49" s="97">
        <v>13</v>
      </c>
      <c r="AM49" s="97" t="s">
        <v>67</v>
      </c>
      <c r="AN49" s="97" t="s">
        <v>68</v>
      </c>
      <c r="AO49" s="98">
        <v>27</v>
      </c>
      <c r="AP49" s="98">
        <v>0</v>
      </c>
      <c r="AQ49" s="98">
        <v>0</v>
      </c>
      <c r="AR49" s="98">
        <v>0</v>
      </c>
      <c r="AS49" s="98"/>
      <c r="AT49" s="99"/>
      <c r="AU49" s="99" t="s">
        <v>70</v>
      </c>
      <c r="AV49" s="99"/>
      <c r="AW49">
        <v>15</v>
      </c>
      <c r="AX49" t="s">
        <v>70</v>
      </c>
      <c r="AZ49" s="96">
        <v>3</v>
      </c>
      <c r="BA49" s="96" t="s">
        <v>125</v>
      </c>
      <c r="BB49" s="96">
        <v>11</v>
      </c>
      <c r="BC49" s="96"/>
      <c r="BD49" s="96">
        <v>2</v>
      </c>
      <c r="BE49" s="96">
        <v>124</v>
      </c>
      <c r="BF49" s="96"/>
      <c r="BG49" s="96">
        <v>2.25</v>
      </c>
      <c r="BH49" s="96">
        <v>1</v>
      </c>
    </row>
    <row r="50" spans="1:78" s="88" customFormat="1" x14ac:dyDescent="0.35">
      <c r="A50" s="105">
        <v>13862</v>
      </c>
      <c r="B50" s="105">
        <v>17</v>
      </c>
      <c r="C50" s="36" t="s">
        <v>84</v>
      </c>
      <c r="D50" s="96" t="s">
        <v>72</v>
      </c>
      <c r="E50" s="96" t="s">
        <v>73</v>
      </c>
      <c r="F50" s="96" t="s">
        <v>74</v>
      </c>
      <c r="G50" s="96">
        <v>386</v>
      </c>
      <c r="H50" s="40">
        <f t="shared" si="15"/>
        <v>2.2051282051282053</v>
      </c>
      <c r="I50">
        <f t="shared" si="16"/>
        <v>86</v>
      </c>
      <c r="J50" s="96">
        <v>472</v>
      </c>
      <c r="K50" s="40">
        <f t="shared" si="10"/>
        <v>2.0666666666666669</v>
      </c>
      <c r="L50">
        <f t="shared" si="11"/>
        <v>62</v>
      </c>
      <c r="M50">
        <f t="shared" si="12"/>
        <v>148</v>
      </c>
      <c r="N50" s="96">
        <v>534</v>
      </c>
      <c r="O50" s="40">
        <f t="shared" si="13"/>
        <v>2</v>
      </c>
      <c r="P50" s="40">
        <f t="shared" si="14"/>
        <v>12</v>
      </c>
      <c r="Q50" s="49">
        <f t="shared" si="2"/>
        <v>160</v>
      </c>
      <c r="R50" s="96">
        <v>546</v>
      </c>
      <c r="S50" s="40">
        <f t="shared" si="3"/>
        <v>41.450777202072537</v>
      </c>
      <c r="T50" s="40" t="s">
        <v>121</v>
      </c>
      <c r="U50" s="97">
        <v>56.74</v>
      </c>
      <c r="V50" s="97">
        <v>59.35</v>
      </c>
      <c r="W50" s="97">
        <v>0</v>
      </c>
      <c r="X50" s="97">
        <v>8</v>
      </c>
      <c r="Y50" s="97">
        <v>3</v>
      </c>
      <c r="Z50" s="97">
        <v>270.60000000000002</v>
      </c>
      <c r="AA50" s="40">
        <f t="shared" si="4"/>
        <v>-50.439560439560438</v>
      </c>
      <c r="AB50" s="97">
        <v>230</v>
      </c>
      <c r="AC50" s="97">
        <v>0</v>
      </c>
      <c r="AD50" s="97">
        <v>9</v>
      </c>
      <c r="AE50" s="97" t="s">
        <v>67</v>
      </c>
      <c r="AF50" s="97">
        <v>1</v>
      </c>
      <c r="AG50" s="97">
        <v>5.39</v>
      </c>
      <c r="AH50" s="97">
        <v>69</v>
      </c>
      <c r="AI50" s="97">
        <v>130</v>
      </c>
      <c r="AJ50" s="97">
        <v>95</v>
      </c>
      <c r="AK50" s="97">
        <v>7</v>
      </c>
      <c r="AL50" s="97">
        <v>13</v>
      </c>
      <c r="AM50" s="97" t="s">
        <v>76</v>
      </c>
      <c r="AN50" s="97" t="s">
        <v>68</v>
      </c>
      <c r="AO50" s="98">
        <v>102</v>
      </c>
      <c r="AP50" s="98">
        <v>0</v>
      </c>
      <c r="AQ50" s="98">
        <v>0</v>
      </c>
      <c r="AR50" s="98">
        <v>0</v>
      </c>
      <c r="AS50" s="98"/>
      <c r="AT50" s="99"/>
      <c r="AU50" s="99" t="s">
        <v>70</v>
      </c>
      <c r="AV50" s="99"/>
      <c r="AW50">
        <v>47</v>
      </c>
      <c r="AX50" t="s">
        <v>70</v>
      </c>
      <c r="AY50"/>
      <c r="AZ50" s="96">
        <v>1</v>
      </c>
      <c r="BA50" s="96" t="s">
        <v>61</v>
      </c>
      <c r="BB50" s="96">
        <v>3</v>
      </c>
      <c r="BC50" s="96"/>
      <c r="BD50" s="96">
        <v>5</v>
      </c>
      <c r="BE50" s="96">
        <v>137</v>
      </c>
      <c r="BF50" s="96"/>
      <c r="BG50" s="96">
        <v>3.75</v>
      </c>
      <c r="BH50" s="96">
        <v>2</v>
      </c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</row>
  </sheetData>
  <autoFilter ref="A1:BZ1" xr:uid="{F5AE97D7-321D-4918-9735-47CF66D11949}">
    <sortState xmlns:xlrd2="http://schemas.microsoft.com/office/spreadsheetml/2017/richdata2" ref="A2:BZ50">
      <sortCondition ref="S1"/>
    </sortState>
  </autoFilter>
  <conditionalFormatting sqref="S2:T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5A7F-30CB-4ED7-AEE1-CB7388117545}">
  <dimension ref="A1"/>
  <sheetViews>
    <sheetView workbookViewId="0">
      <selection activeCell="K24" sqref="K2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3785-DB1F-4471-BEC5-053AAC62C792}">
  <dimension ref="A1:BA196"/>
  <sheetViews>
    <sheetView tabSelected="1" topLeftCell="A129" workbookViewId="0">
      <selection activeCell="L142" sqref="L142"/>
    </sheetView>
  </sheetViews>
  <sheetFormatPr defaultColWidth="9.1796875" defaultRowHeight="13" x14ac:dyDescent="0.3"/>
  <cols>
    <col min="1" max="1" width="9.1796875" style="7"/>
    <col min="2" max="2" width="10.7265625" style="7" bestFit="1" customWidth="1"/>
    <col min="3" max="6" width="9.26953125" style="7" bestFit="1" customWidth="1"/>
    <col min="7" max="7" width="21" style="7" customWidth="1"/>
    <col min="8" max="8" width="9.1796875" style="7"/>
    <col min="9" max="9" width="9.26953125" style="7" bestFit="1" customWidth="1"/>
    <col min="10" max="12" width="9.1796875" style="7"/>
    <col min="13" max="14" width="9.26953125" style="7" bestFit="1" customWidth="1"/>
    <col min="15" max="15" width="9.1796875" style="7"/>
    <col min="16" max="16" width="9.26953125" style="7" bestFit="1" customWidth="1"/>
    <col min="17" max="17" width="9.1796875" style="7"/>
    <col min="18" max="18" width="9.26953125" style="7" bestFit="1" customWidth="1"/>
    <col min="19" max="19" width="9.1796875" style="7"/>
    <col min="20" max="32" width="9.26953125" style="7" bestFit="1" customWidth="1"/>
    <col min="33" max="33" width="9.1796875" style="7"/>
    <col min="34" max="40" width="9.26953125" style="7" bestFit="1" customWidth="1"/>
    <col min="41" max="42" width="9.1796875" style="7"/>
    <col min="43" max="46" width="9.26953125" style="7" bestFit="1" customWidth="1"/>
    <col min="47" max="50" width="9.1796875" style="7"/>
    <col min="51" max="51" width="9.26953125" style="7" bestFit="1" customWidth="1"/>
    <col min="52" max="16384" width="9.1796875" style="7"/>
  </cols>
  <sheetData>
    <row r="1" spans="1:53" ht="39" x14ac:dyDescent="0.3">
      <c r="A1" s="1" t="s">
        <v>126</v>
      </c>
      <c r="B1" s="1" t="s">
        <v>127</v>
      </c>
      <c r="C1" s="1" t="s">
        <v>128</v>
      </c>
      <c r="D1" s="1" t="s">
        <v>0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3</v>
      </c>
      <c r="P1" s="1" t="s">
        <v>48</v>
      </c>
      <c r="Q1" s="1" t="s">
        <v>49</v>
      </c>
      <c r="R1" s="1" t="s">
        <v>50</v>
      </c>
      <c r="S1" s="1" t="s">
        <v>4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24</v>
      </c>
      <c r="AD1" s="2" t="s">
        <v>139</v>
      </c>
      <c r="AE1" s="2" t="s">
        <v>140</v>
      </c>
      <c r="AF1" s="2" t="s">
        <v>141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4" t="s">
        <v>44</v>
      </c>
      <c r="AW1" s="4" t="s">
        <v>45</v>
      </c>
      <c r="AX1" s="4" t="s">
        <v>46</v>
      </c>
      <c r="AY1" s="5" t="s">
        <v>39</v>
      </c>
      <c r="AZ1" s="6" t="s">
        <v>47</v>
      </c>
      <c r="BA1" s="6" t="s">
        <v>46</v>
      </c>
    </row>
    <row r="2" spans="1:53" s="32" customFormat="1" x14ac:dyDescent="0.3">
      <c r="A2" s="23" t="s">
        <v>142</v>
      </c>
      <c r="B2" s="24">
        <v>43256</v>
      </c>
      <c r="C2" s="25">
        <v>0.29592592592592593</v>
      </c>
      <c r="D2" s="23">
        <v>13833</v>
      </c>
      <c r="E2" s="26">
        <v>470</v>
      </c>
      <c r="F2" s="27">
        <v>1</v>
      </c>
      <c r="G2" s="23" t="s">
        <v>143</v>
      </c>
      <c r="H2" s="28" t="s">
        <v>144</v>
      </c>
      <c r="I2" s="23">
        <v>8026261</v>
      </c>
      <c r="J2" s="23"/>
      <c r="K2" s="23" t="s">
        <v>145</v>
      </c>
      <c r="L2" s="23" t="s">
        <v>146</v>
      </c>
      <c r="M2" s="23"/>
      <c r="N2" s="23">
        <v>445</v>
      </c>
      <c r="O2" s="23" t="s">
        <v>72</v>
      </c>
      <c r="P2" s="23"/>
      <c r="Q2" s="23"/>
      <c r="R2" s="23"/>
      <c r="S2" s="23" t="s">
        <v>85</v>
      </c>
      <c r="T2" s="23"/>
      <c r="U2" s="23"/>
      <c r="V2" s="23"/>
      <c r="W2" s="23"/>
      <c r="X2" s="23"/>
      <c r="Y2" s="29">
        <v>56.48</v>
      </c>
      <c r="Z2" s="29">
        <v>59.09</v>
      </c>
      <c r="AA2" s="29">
        <v>0</v>
      </c>
      <c r="AB2" s="29">
        <v>6</v>
      </c>
      <c r="AC2" s="29">
        <v>270.5</v>
      </c>
      <c r="AD2" s="29">
        <v>300</v>
      </c>
      <c r="AE2" s="29">
        <v>1</v>
      </c>
      <c r="AF2" s="29">
        <v>6</v>
      </c>
      <c r="AG2" s="29" t="s">
        <v>75</v>
      </c>
      <c r="AH2" s="29">
        <v>1</v>
      </c>
      <c r="AI2" s="29">
        <v>5.43</v>
      </c>
      <c r="AJ2" s="29">
        <v>63</v>
      </c>
      <c r="AK2" s="29">
        <v>120</v>
      </c>
      <c r="AL2" s="29">
        <v>110</v>
      </c>
      <c r="AM2" s="29">
        <v>7.2</v>
      </c>
      <c r="AN2" s="29">
        <v>13</v>
      </c>
      <c r="AO2" s="29" t="s">
        <v>76</v>
      </c>
      <c r="AP2" s="29" t="s">
        <v>68</v>
      </c>
      <c r="AQ2" s="30">
        <v>46</v>
      </c>
      <c r="AR2" s="30">
        <v>0</v>
      </c>
      <c r="AS2" s="30">
        <v>0</v>
      </c>
      <c r="AT2" s="30">
        <v>0</v>
      </c>
      <c r="AU2" s="30"/>
      <c r="AV2" s="31"/>
      <c r="AW2" s="31" t="s">
        <v>70</v>
      </c>
      <c r="AX2" s="31"/>
      <c r="AY2" s="32">
        <v>34</v>
      </c>
      <c r="AZ2" s="32" t="s">
        <v>70</v>
      </c>
    </row>
    <row r="3" spans="1:53" s="32" customFormat="1" x14ac:dyDescent="0.3">
      <c r="A3" s="16" t="s">
        <v>147</v>
      </c>
      <c r="B3" s="17">
        <v>43181</v>
      </c>
      <c r="C3" s="18" t="s">
        <v>148</v>
      </c>
      <c r="D3" s="16">
        <v>13833</v>
      </c>
      <c r="E3" s="19"/>
      <c r="F3" s="19">
        <v>1</v>
      </c>
      <c r="G3" s="16" t="s">
        <v>143</v>
      </c>
      <c r="H3" s="16"/>
      <c r="I3" s="16">
        <v>8026261</v>
      </c>
      <c r="J3" s="16" t="s">
        <v>149</v>
      </c>
      <c r="K3" s="16" t="s">
        <v>145</v>
      </c>
      <c r="L3" s="16" t="s">
        <v>146</v>
      </c>
      <c r="M3" s="16">
        <v>379</v>
      </c>
      <c r="N3" s="16">
        <v>379</v>
      </c>
      <c r="O3" s="16" t="s">
        <v>72</v>
      </c>
      <c r="P3" s="16">
        <v>1</v>
      </c>
      <c r="Q3" s="16" t="s">
        <v>87</v>
      </c>
      <c r="R3" s="16">
        <v>10</v>
      </c>
      <c r="S3" s="16"/>
      <c r="T3" s="16">
        <v>3</v>
      </c>
      <c r="U3" s="16">
        <v>112</v>
      </c>
      <c r="V3" s="16"/>
      <c r="W3" s="16">
        <v>4.25</v>
      </c>
      <c r="X3" s="16">
        <v>1</v>
      </c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</row>
    <row r="4" spans="1:53" s="32" customFormat="1" x14ac:dyDescent="0.3">
      <c r="A4" s="8" t="s">
        <v>72</v>
      </c>
      <c r="B4" s="9">
        <v>43220</v>
      </c>
      <c r="C4" s="10">
        <v>0.50138888888888888</v>
      </c>
      <c r="D4" s="8">
        <v>13833</v>
      </c>
      <c r="E4" s="11"/>
      <c r="F4" s="11">
        <v>1</v>
      </c>
      <c r="G4" s="8" t="s">
        <v>143</v>
      </c>
      <c r="H4" s="8"/>
      <c r="I4" s="8">
        <v>8026261</v>
      </c>
      <c r="J4" s="8"/>
      <c r="K4" s="8" t="s">
        <v>145</v>
      </c>
      <c r="L4" s="8" t="s">
        <v>146</v>
      </c>
      <c r="M4" s="8">
        <v>410</v>
      </c>
      <c r="N4" s="13">
        <v>410</v>
      </c>
      <c r="O4" s="8" t="s">
        <v>72</v>
      </c>
      <c r="P4" s="8"/>
      <c r="Q4" s="8"/>
      <c r="R4" s="8"/>
      <c r="S4" s="8"/>
      <c r="T4" s="8"/>
      <c r="U4" s="8"/>
      <c r="V4" s="8">
        <v>3</v>
      </c>
      <c r="W4" s="8">
        <v>3.5</v>
      </c>
      <c r="X4" s="8">
        <v>0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32" customFormat="1" x14ac:dyDescent="0.3">
      <c r="A5" s="23" t="s">
        <v>142</v>
      </c>
      <c r="B5" s="24">
        <v>43256</v>
      </c>
      <c r="C5" s="25">
        <v>0.29053240740740743</v>
      </c>
      <c r="D5" s="33">
        <v>13834</v>
      </c>
      <c r="E5" s="26">
        <v>457</v>
      </c>
      <c r="F5" s="27">
        <v>2</v>
      </c>
      <c r="G5" s="23" t="s">
        <v>150</v>
      </c>
      <c r="H5" s="28" t="s">
        <v>151</v>
      </c>
      <c r="I5" s="23">
        <v>8028362</v>
      </c>
      <c r="J5" s="23"/>
      <c r="K5" s="23" t="s">
        <v>145</v>
      </c>
      <c r="L5" s="23" t="s">
        <v>146</v>
      </c>
      <c r="M5" s="23"/>
      <c r="N5" s="23">
        <v>487</v>
      </c>
      <c r="O5" s="23" t="s">
        <v>72</v>
      </c>
      <c r="P5" s="23"/>
      <c r="Q5" s="23"/>
      <c r="R5" s="23"/>
      <c r="S5" s="23" t="s">
        <v>64</v>
      </c>
      <c r="T5" s="23"/>
      <c r="U5" s="23"/>
      <c r="V5" s="23"/>
      <c r="W5" s="23"/>
      <c r="X5" s="23"/>
      <c r="Y5" s="29">
        <v>53.97</v>
      </c>
      <c r="Z5" s="29">
        <v>56.58</v>
      </c>
      <c r="AA5" s="29">
        <v>0</v>
      </c>
      <c r="AB5" s="29">
        <v>14</v>
      </c>
      <c r="AC5" s="29">
        <v>280.3</v>
      </c>
      <c r="AD5" s="29">
        <v>200</v>
      </c>
      <c r="AE5" s="29">
        <v>0</v>
      </c>
      <c r="AF5" s="29">
        <v>6</v>
      </c>
      <c r="AG5" s="29" t="s">
        <v>66</v>
      </c>
      <c r="AH5" s="29">
        <v>0</v>
      </c>
      <c r="AI5" s="29">
        <v>5.43</v>
      </c>
      <c r="AJ5" s="29">
        <v>84</v>
      </c>
      <c r="AK5" s="29">
        <v>120</v>
      </c>
      <c r="AL5" s="29">
        <v>135</v>
      </c>
      <c r="AM5" s="29">
        <v>8.1</v>
      </c>
      <c r="AN5" s="29">
        <v>13</v>
      </c>
      <c r="AO5" s="29" t="s">
        <v>67</v>
      </c>
      <c r="AP5" s="29" t="s">
        <v>68</v>
      </c>
      <c r="AQ5" s="30">
        <v>27</v>
      </c>
      <c r="AR5" s="30">
        <v>0</v>
      </c>
      <c r="AS5" s="30">
        <v>0</v>
      </c>
      <c r="AT5" s="30">
        <v>0</v>
      </c>
      <c r="AU5" s="30"/>
      <c r="AV5" s="31"/>
      <c r="AW5" s="31" t="s">
        <v>70</v>
      </c>
      <c r="AX5" s="31"/>
      <c r="AY5" s="32">
        <v>15</v>
      </c>
      <c r="AZ5" s="32" t="s">
        <v>70</v>
      </c>
    </row>
    <row r="6" spans="1:53" s="32" customFormat="1" x14ac:dyDescent="0.3">
      <c r="A6" s="16" t="s">
        <v>147</v>
      </c>
      <c r="B6" s="17">
        <v>43181</v>
      </c>
      <c r="C6" s="16" t="s">
        <v>152</v>
      </c>
      <c r="D6" s="21">
        <v>13834</v>
      </c>
      <c r="E6" s="22"/>
      <c r="F6" s="19">
        <v>2</v>
      </c>
      <c r="G6" s="16" t="s">
        <v>150</v>
      </c>
      <c r="H6" s="16"/>
      <c r="I6" s="16">
        <v>8028362</v>
      </c>
      <c r="J6" s="16" t="s">
        <v>153</v>
      </c>
      <c r="K6" s="16" t="s">
        <v>145</v>
      </c>
      <c r="L6" s="16" t="s">
        <v>146</v>
      </c>
      <c r="M6" s="16">
        <v>350</v>
      </c>
      <c r="N6" s="16">
        <v>350</v>
      </c>
      <c r="O6" s="16" t="s">
        <v>72</v>
      </c>
      <c r="P6" s="16">
        <v>3</v>
      </c>
      <c r="Q6" s="16" t="s">
        <v>125</v>
      </c>
      <c r="R6" s="16">
        <v>11</v>
      </c>
      <c r="S6" s="16"/>
      <c r="T6" s="16">
        <v>2</v>
      </c>
      <c r="U6" s="16">
        <v>124</v>
      </c>
      <c r="V6" s="16"/>
      <c r="W6" s="16">
        <v>2.25</v>
      </c>
      <c r="X6" s="16"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</row>
    <row r="7" spans="1:53" s="32" customFormat="1" x14ac:dyDescent="0.3">
      <c r="A7" s="8" t="s">
        <v>72</v>
      </c>
      <c r="B7" s="9">
        <v>43220</v>
      </c>
      <c r="C7" s="10">
        <v>0.4381944444444445</v>
      </c>
      <c r="D7" s="14">
        <v>13834</v>
      </c>
      <c r="E7" s="15"/>
      <c r="F7" s="11">
        <v>2</v>
      </c>
      <c r="G7" s="8" t="s">
        <v>150</v>
      </c>
      <c r="H7" s="8"/>
      <c r="I7" s="8">
        <v>8028362</v>
      </c>
      <c r="J7" s="8"/>
      <c r="K7" s="8" t="s">
        <v>145</v>
      </c>
      <c r="L7" s="8" t="s">
        <v>146</v>
      </c>
      <c r="M7" s="8">
        <v>407</v>
      </c>
      <c r="N7" s="13">
        <v>407</v>
      </c>
      <c r="O7" s="8" t="s">
        <v>72</v>
      </c>
      <c r="P7" s="8"/>
      <c r="Q7" s="8"/>
      <c r="R7" s="8"/>
      <c r="S7" s="8"/>
      <c r="T7" s="8"/>
      <c r="U7" s="8"/>
      <c r="V7" s="8"/>
      <c r="W7" s="8">
        <v>3.5</v>
      </c>
      <c r="X7" s="8">
        <v>1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s="32" customFormat="1" x14ac:dyDescent="0.3">
      <c r="A8" s="8" t="s">
        <v>154</v>
      </c>
      <c r="B8" s="9">
        <v>43250</v>
      </c>
      <c r="C8" s="10">
        <v>0.44861111111111113</v>
      </c>
      <c r="D8" s="14">
        <v>13834</v>
      </c>
      <c r="E8" s="15"/>
      <c r="F8" s="11">
        <v>2</v>
      </c>
      <c r="G8" s="8" t="s">
        <v>150</v>
      </c>
      <c r="H8" s="8"/>
      <c r="I8" s="8">
        <v>8028362</v>
      </c>
      <c r="J8" s="8"/>
      <c r="K8" s="8" t="s">
        <v>145</v>
      </c>
      <c r="L8" s="8" t="s">
        <v>146</v>
      </c>
      <c r="M8" s="8">
        <v>474</v>
      </c>
      <c r="N8" s="8"/>
      <c r="O8" s="8" t="s">
        <v>72</v>
      </c>
      <c r="P8" s="8"/>
      <c r="Q8" s="8"/>
      <c r="R8" s="8"/>
      <c r="S8" s="8"/>
      <c r="T8" s="8"/>
      <c r="U8" s="8">
        <v>130</v>
      </c>
      <c r="V8" s="8"/>
      <c r="W8" s="8">
        <v>4</v>
      </c>
      <c r="X8" s="8">
        <v>2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s="32" customFormat="1" x14ac:dyDescent="0.3">
      <c r="A9" s="23" t="s">
        <v>142</v>
      </c>
      <c r="B9" s="24">
        <v>43256</v>
      </c>
      <c r="C9" s="25">
        <v>0.28914351851851855</v>
      </c>
      <c r="D9" s="23">
        <v>13837</v>
      </c>
      <c r="E9" s="26">
        <v>433</v>
      </c>
      <c r="F9" s="27">
        <v>4</v>
      </c>
      <c r="G9" s="23" t="s">
        <v>155</v>
      </c>
      <c r="H9" s="28" t="s">
        <v>156</v>
      </c>
      <c r="I9" s="23">
        <v>8033159</v>
      </c>
      <c r="J9" s="23"/>
      <c r="K9" s="23" t="s">
        <v>145</v>
      </c>
      <c r="L9" s="23" t="s">
        <v>146</v>
      </c>
      <c r="M9" s="23"/>
      <c r="N9" s="23">
        <v>525</v>
      </c>
      <c r="O9" s="23" t="s">
        <v>72</v>
      </c>
      <c r="P9" s="23"/>
      <c r="Q9" s="23"/>
      <c r="R9" s="23"/>
      <c r="S9" s="23" t="s">
        <v>73</v>
      </c>
      <c r="T9" s="23"/>
      <c r="U9" s="23"/>
      <c r="V9" s="23"/>
      <c r="W9" s="23"/>
      <c r="X9" s="23"/>
      <c r="Y9" s="29">
        <v>53.11</v>
      </c>
      <c r="Z9" s="29">
        <v>55.72</v>
      </c>
      <c r="AA9" s="29">
        <v>0</v>
      </c>
      <c r="AB9" s="29">
        <v>14</v>
      </c>
      <c r="AC9" s="29">
        <v>252.1</v>
      </c>
      <c r="AD9" s="29">
        <v>370</v>
      </c>
      <c r="AE9" s="29">
        <v>1</v>
      </c>
      <c r="AF9" s="29">
        <v>10</v>
      </c>
      <c r="AG9" s="29" t="s">
        <v>75</v>
      </c>
      <c r="AH9" s="29">
        <v>1</v>
      </c>
      <c r="AI9" s="29">
        <v>5.33</v>
      </c>
      <c r="AJ9" s="29">
        <v>69</v>
      </c>
      <c r="AK9" s="29">
        <v>180</v>
      </c>
      <c r="AL9" s="29">
        <v>115</v>
      </c>
      <c r="AM9" s="29">
        <v>6.9</v>
      </c>
      <c r="AN9" s="29">
        <v>13</v>
      </c>
      <c r="AO9" s="29" t="s">
        <v>76</v>
      </c>
      <c r="AP9" s="29" t="s">
        <v>68</v>
      </c>
      <c r="AQ9" s="30">
        <v>24</v>
      </c>
      <c r="AR9" s="30">
        <v>0</v>
      </c>
      <c r="AS9" s="30">
        <v>0</v>
      </c>
      <c r="AT9" s="30">
        <v>0</v>
      </c>
      <c r="AU9" s="30"/>
      <c r="AV9" s="31"/>
      <c r="AW9" s="31" t="s">
        <v>70</v>
      </c>
      <c r="AX9" s="31"/>
      <c r="AY9" s="32">
        <v>43</v>
      </c>
      <c r="AZ9" s="32" t="s">
        <v>70</v>
      </c>
    </row>
    <row r="10" spans="1:53" s="32" customFormat="1" x14ac:dyDescent="0.3">
      <c r="A10" s="16" t="s">
        <v>147</v>
      </c>
      <c r="B10" s="17">
        <v>43181</v>
      </c>
      <c r="C10" s="16" t="s">
        <v>157</v>
      </c>
      <c r="D10" s="16">
        <v>13837</v>
      </c>
      <c r="E10" s="19"/>
      <c r="F10" s="19">
        <v>4</v>
      </c>
      <c r="G10" s="16" t="s">
        <v>155</v>
      </c>
      <c r="H10" s="16"/>
      <c r="I10" s="16">
        <v>8033159</v>
      </c>
      <c r="J10" s="16" t="s">
        <v>158</v>
      </c>
      <c r="K10" s="16" t="s">
        <v>145</v>
      </c>
      <c r="L10" s="16" t="s">
        <v>146</v>
      </c>
      <c r="M10" s="16">
        <v>399</v>
      </c>
      <c r="N10" s="16">
        <v>399</v>
      </c>
      <c r="O10" s="16" t="s">
        <v>72</v>
      </c>
      <c r="P10" s="16">
        <v>3</v>
      </c>
      <c r="Q10" s="16" t="s">
        <v>71</v>
      </c>
      <c r="R10" s="16">
        <v>4</v>
      </c>
      <c r="S10" s="16"/>
      <c r="T10" s="16">
        <v>3</v>
      </c>
      <c r="U10" s="16">
        <v>138</v>
      </c>
      <c r="V10" s="16"/>
      <c r="W10" s="16">
        <v>3.25</v>
      </c>
      <c r="X10" s="16">
        <v>2</v>
      </c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</row>
    <row r="11" spans="1:53" s="32" customFormat="1" x14ac:dyDescent="0.3">
      <c r="A11" s="8" t="s">
        <v>72</v>
      </c>
      <c r="B11" s="9">
        <v>43220</v>
      </c>
      <c r="C11" s="10">
        <v>0.4916666666666667</v>
      </c>
      <c r="D11" s="8">
        <v>13837</v>
      </c>
      <c r="E11" s="11"/>
      <c r="F11" s="11">
        <v>4</v>
      </c>
      <c r="G11" s="8" t="s">
        <v>155</v>
      </c>
      <c r="H11" s="8"/>
      <c r="I11" s="8">
        <v>8033159</v>
      </c>
      <c r="J11" s="8"/>
      <c r="K11" s="8" t="s">
        <v>145</v>
      </c>
      <c r="L11" s="8" t="s">
        <v>146</v>
      </c>
      <c r="M11" s="8">
        <v>456</v>
      </c>
      <c r="N11" s="13">
        <v>456</v>
      </c>
      <c r="O11" s="8" t="s">
        <v>72</v>
      </c>
      <c r="P11" s="8"/>
      <c r="Q11" s="8"/>
      <c r="R11" s="8"/>
      <c r="S11" s="8"/>
      <c r="T11" s="8"/>
      <c r="U11" s="8"/>
      <c r="V11" s="8">
        <v>1</v>
      </c>
      <c r="W11" s="8">
        <v>3.25</v>
      </c>
      <c r="X11" s="8">
        <v>1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s="32" customFormat="1" x14ac:dyDescent="0.3">
      <c r="A12" s="8" t="s">
        <v>154</v>
      </c>
      <c r="B12" s="9">
        <v>43250</v>
      </c>
      <c r="C12" s="10">
        <v>0.47083333333333338</v>
      </c>
      <c r="D12" s="8">
        <v>13837</v>
      </c>
      <c r="E12" s="11"/>
      <c r="F12" s="11">
        <v>4</v>
      </c>
      <c r="G12" s="8" t="s">
        <v>155</v>
      </c>
      <c r="H12" s="8"/>
      <c r="I12" s="8">
        <v>8033159</v>
      </c>
      <c r="J12" s="8"/>
      <c r="K12" s="8" t="s">
        <v>145</v>
      </c>
      <c r="L12" s="8" t="s">
        <v>146</v>
      </c>
      <c r="M12" s="8">
        <v>512</v>
      </c>
      <c r="N12" s="8"/>
      <c r="O12" s="8" t="s">
        <v>72</v>
      </c>
      <c r="P12" s="8"/>
      <c r="Q12" s="8"/>
      <c r="R12" s="8"/>
      <c r="S12" s="8"/>
      <c r="T12" s="8"/>
      <c r="U12" s="8">
        <v>138</v>
      </c>
      <c r="V12" s="8"/>
      <c r="W12" s="8">
        <v>4.5</v>
      </c>
      <c r="X12" s="8">
        <v>1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s="32" customFormat="1" x14ac:dyDescent="0.3">
      <c r="A13" s="23" t="s">
        <v>142</v>
      </c>
      <c r="B13" s="24">
        <v>43256</v>
      </c>
      <c r="C13" s="25">
        <v>0.31466435185185188</v>
      </c>
      <c r="D13" s="23">
        <v>13839</v>
      </c>
      <c r="E13" s="26">
        <v>464</v>
      </c>
      <c r="F13" s="27">
        <v>5</v>
      </c>
      <c r="G13" s="23" t="s">
        <v>159</v>
      </c>
      <c r="H13" s="28" t="s">
        <v>160</v>
      </c>
      <c r="I13" s="23">
        <v>8027368</v>
      </c>
      <c r="J13" s="23"/>
      <c r="K13" s="23" t="s">
        <v>145</v>
      </c>
      <c r="L13" s="23" t="s">
        <v>146</v>
      </c>
      <c r="M13" s="23"/>
      <c r="N13" s="23">
        <v>474</v>
      </c>
      <c r="O13" s="23" t="s">
        <v>72</v>
      </c>
      <c r="P13" s="23"/>
      <c r="Q13" s="23"/>
      <c r="R13" s="23"/>
      <c r="S13" s="23" t="s">
        <v>103</v>
      </c>
      <c r="T13" s="23"/>
      <c r="U13" s="23"/>
      <c r="V13" s="23"/>
      <c r="W13" s="23"/>
      <c r="X13" s="23"/>
      <c r="Y13" s="29">
        <v>59.69</v>
      </c>
      <c r="Z13" s="29">
        <v>62.3</v>
      </c>
      <c r="AA13" s="29">
        <v>0</v>
      </c>
      <c r="AB13" s="29">
        <v>7</v>
      </c>
      <c r="AC13" s="29">
        <v>263.3</v>
      </c>
      <c r="AD13" s="29">
        <v>190</v>
      </c>
      <c r="AE13" s="29">
        <v>0</v>
      </c>
      <c r="AF13" s="29">
        <v>7</v>
      </c>
      <c r="AG13" s="29" t="s">
        <v>67</v>
      </c>
      <c r="AH13" s="29">
        <v>1</v>
      </c>
      <c r="AI13" s="29">
        <v>5.47</v>
      </c>
      <c r="AJ13" s="29">
        <v>79</v>
      </c>
      <c r="AK13" s="29">
        <v>110</v>
      </c>
      <c r="AL13" s="29">
        <v>80</v>
      </c>
      <c r="AM13" s="29">
        <v>8.6999999999999993</v>
      </c>
      <c r="AN13" s="29">
        <v>13</v>
      </c>
      <c r="AO13" s="29" t="s">
        <v>101</v>
      </c>
      <c r="AP13" s="29" t="s">
        <v>68</v>
      </c>
      <c r="AQ13" s="30">
        <v>8</v>
      </c>
      <c r="AR13" s="30">
        <v>0</v>
      </c>
      <c r="AS13" s="30">
        <v>0</v>
      </c>
      <c r="AT13" s="30">
        <v>1</v>
      </c>
      <c r="AU13" s="30"/>
      <c r="AV13" s="31"/>
      <c r="AW13" s="31" t="s">
        <v>70</v>
      </c>
      <c r="AX13" s="31"/>
      <c r="AY13" s="32">
        <v>87</v>
      </c>
      <c r="AZ13" s="32" t="s">
        <v>83</v>
      </c>
    </row>
    <row r="14" spans="1:53" s="32" customFormat="1" x14ac:dyDescent="0.3">
      <c r="A14" s="16" t="s">
        <v>147</v>
      </c>
      <c r="B14" s="17">
        <v>43181</v>
      </c>
      <c r="C14" s="18" t="s">
        <v>161</v>
      </c>
      <c r="D14" s="16">
        <v>13839</v>
      </c>
      <c r="E14" s="19"/>
      <c r="F14" s="19">
        <v>5</v>
      </c>
      <c r="G14" s="16" t="s">
        <v>159</v>
      </c>
      <c r="H14" s="16"/>
      <c r="I14" s="16">
        <v>8027368</v>
      </c>
      <c r="J14" s="16" t="s">
        <v>162</v>
      </c>
      <c r="K14" s="16" t="s">
        <v>145</v>
      </c>
      <c r="L14" s="16" t="s">
        <v>146</v>
      </c>
      <c r="M14" s="16">
        <v>381</v>
      </c>
      <c r="N14" s="16">
        <v>379</v>
      </c>
      <c r="O14" s="16" t="s">
        <v>72</v>
      </c>
      <c r="P14" s="16">
        <v>4</v>
      </c>
      <c r="Q14" s="16" t="s">
        <v>87</v>
      </c>
      <c r="R14" s="16">
        <v>10</v>
      </c>
      <c r="S14" s="16"/>
      <c r="T14" s="16">
        <v>3</v>
      </c>
      <c r="U14" s="16">
        <v>124</v>
      </c>
      <c r="V14" s="16"/>
      <c r="W14" s="16">
        <v>3.25</v>
      </c>
      <c r="X14" s="16">
        <v>2</v>
      </c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</row>
    <row r="15" spans="1:53" s="32" customFormat="1" x14ac:dyDescent="0.3">
      <c r="A15" s="8" t="s">
        <v>72</v>
      </c>
      <c r="B15" s="9">
        <v>43220</v>
      </c>
      <c r="C15" s="10">
        <v>0.49652777777777773</v>
      </c>
      <c r="D15" s="8">
        <v>13839</v>
      </c>
      <c r="E15" s="11"/>
      <c r="F15" s="11">
        <v>5</v>
      </c>
      <c r="G15" s="8" t="s">
        <v>159</v>
      </c>
      <c r="H15" s="8"/>
      <c r="I15" s="8">
        <v>8027368</v>
      </c>
      <c r="J15" s="8"/>
      <c r="K15" s="8" t="s">
        <v>145</v>
      </c>
      <c r="L15" s="8" t="s">
        <v>146</v>
      </c>
      <c r="M15" s="8">
        <v>436</v>
      </c>
      <c r="N15" s="13">
        <v>436</v>
      </c>
      <c r="O15" s="8" t="s">
        <v>72</v>
      </c>
      <c r="P15" s="8"/>
      <c r="Q15" s="8"/>
      <c r="R15" s="8"/>
      <c r="S15" s="8"/>
      <c r="T15" s="8"/>
      <c r="U15" s="8"/>
      <c r="V15" s="8">
        <v>4</v>
      </c>
      <c r="W15" s="8">
        <v>3.25</v>
      </c>
      <c r="X15" s="8">
        <v>1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s="32" customFormat="1" x14ac:dyDescent="0.3">
      <c r="A16" s="8" t="s">
        <v>154</v>
      </c>
      <c r="B16" s="9">
        <v>43250</v>
      </c>
      <c r="C16" s="10">
        <v>0.53749999999999998</v>
      </c>
      <c r="D16" s="8">
        <v>13839</v>
      </c>
      <c r="E16" s="11"/>
      <c r="F16" s="11">
        <v>5</v>
      </c>
      <c r="G16" s="8" t="s">
        <v>159</v>
      </c>
      <c r="H16" s="8"/>
      <c r="I16" s="8">
        <v>8027368</v>
      </c>
      <c r="J16" s="8"/>
      <c r="K16" s="8" t="s">
        <v>145</v>
      </c>
      <c r="L16" s="8" t="s">
        <v>146</v>
      </c>
      <c r="M16" s="8">
        <v>462</v>
      </c>
      <c r="N16" s="8"/>
      <c r="O16" s="8" t="s">
        <v>72</v>
      </c>
      <c r="P16" s="8"/>
      <c r="Q16" s="8"/>
      <c r="R16" s="8"/>
      <c r="S16" s="8"/>
      <c r="T16" s="8"/>
      <c r="U16" s="8">
        <v>130</v>
      </c>
      <c r="V16" s="8"/>
      <c r="W16" s="8">
        <v>4</v>
      </c>
      <c r="X16" s="8">
        <v>1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1:53" s="32" customFormat="1" x14ac:dyDescent="0.3">
      <c r="A17" s="23" t="s">
        <v>142</v>
      </c>
      <c r="B17" s="24">
        <v>43256</v>
      </c>
      <c r="C17" s="25">
        <v>0.32780092592592591</v>
      </c>
      <c r="D17" s="23">
        <v>13841</v>
      </c>
      <c r="E17" s="26">
        <v>506</v>
      </c>
      <c r="F17" s="27">
        <v>7</v>
      </c>
      <c r="G17" s="23" t="s">
        <v>163</v>
      </c>
      <c r="H17" s="28" t="s">
        <v>164</v>
      </c>
      <c r="I17" s="23">
        <v>8032099</v>
      </c>
      <c r="J17" s="23"/>
      <c r="K17" s="23" t="s">
        <v>145</v>
      </c>
      <c r="L17" s="23" t="s">
        <v>146</v>
      </c>
      <c r="M17" s="23"/>
      <c r="N17" s="23">
        <v>494</v>
      </c>
      <c r="O17" s="23" t="s">
        <v>72</v>
      </c>
      <c r="P17" s="23"/>
      <c r="Q17" s="23"/>
      <c r="R17" s="23"/>
      <c r="S17" s="23" t="s">
        <v>73</v>
      </c>
      <c r="T17" s="23"/>
      <c r="U17" s="23"/>
      <c r="V17" s="23"/>
      <c r="W17" s="23"/>
      <c r="X17" s="23"/>
      <c r="Y17" s="29">
        <v>58.88</v>
      </c>
      <c r="Z17" s="29">
        <v>61.49</v>
      </c>
      <c r="AA17" s="29">
        <v>0</v>
      </c>
      <c r="AB17" s="29">
        <v>11</v>
      </c>
      <c r="AC17" s="29">
        <v>256.5</v>
      </c>
      <c r="AD17" s="29">
        <v>350</v>
      </c>
      <c r="AE17" s="29">
        <v>1</v>
      </c>
      <c r="AF17" s="29">
        <v>10</v>
      </c>
      <c r="AG17" s="29" t="s">
        <v>75</v>
      </c>
      <c r="AH17" s="29">
        <v>1</v>
      </c>
      <c r="AI17" s="29">
        <v>5.39</v>
      </c>
      <c r="AJ17" s="29">
        <v>70</v>
      </c>
      <c r="AK17" s="29">
        <v>120</v>
      </c>
      <c r="AL17" s="29">
        <v>100</v>
      </c>
      <c r="AM17" s="29">
        <v>7.1</v>
      </c>
      <c r="AN17" s="29">
        <v>13</v>
      </c>
      <c r="AO17" s="29" t="s">
        <v>76</v>
      </c>
      <c r="AP17" s="29" t="s">
        <v>68</v>
      </c>
      <c r="AQ17" s="30">
        <v>42</v>
      </c>
      <c r="AR17" s="30">
        <v>0</v>
      </c>
      <c r="AS17" s="30">
        <v>0</v>
      </c>
      <c r="AT17" s="30">
        <v>0</v>
      </c>
      <c r="AU17" s="30"/>
      <c r="AV17" s="31"/>
      <c r="AW17" s="31" t="s">
        <v>70</v>
      </c>
      <c r="AX17" s="31"/>
      <c r="AY17" s="32">
        <v>73</v>
      </c>
      <c r="AZ17" s="32" t="s">
        <v>70</v>
      </c>
    </row>
    <row r="18" spans="1:53" s="32" customFormat="1" x14ac:dyDescent="0.3">
      <c r="A18" s="16" t="s">
        <v>147</v>
      </c>
      <c r="B18" s="17">
        <v>43181</v>
      </c>
      <c r="C18" s="16" t="s">
        <v>165</v>
      </c>
      <c r="D18" s="16">
        <v>13841</v>
      </c>
      <c r="E18" s="19"/>
      <c r="F18" s="19">
        <v>7</v>
      </c>
      <c r="G18" s="16" t="s">
        <v>163</v>
      </c>
      <c r="H18" s="16"/>
      <c r="I18" s="16">
        <v>8032099</v>
      </c>
      <c r="J18" s="16" t="s">
        <v>166</v>
      </c>
      <c r="K18" s="16" t="s">
        <v>145</v>
      </c>
      <c r="L18" s="16" t="s">
        <v>146</v>
      </c>
      <c r="M18" s="16">
        <v>375</v>
      </c>
      <c r="N18" s="16">
        <v>375</v>
      </c>
      <c r="O18" s="16" t="s">
        <v>72</v>
      </c>
      <c r="P18" s="16">
        <v>2</v>
      </c>
      <c r="Q18" s="16" t="s">
        <v>115</v>
      </c>
      <c r="R18" s="16">
        <v>5</v>
      </c>
      <c r="S18" s="16"/>
      <c r="T18" s="16">
        <v>5</v>
      </c>
      <c r="U18" s="16">
        <v>130</v>
      </c>
      <c r="V18" s="16"/>
      <c r="W18" s="16">
        <v>3.5</v>
      </c>
      <c r="X18" s="16">
        <v>1</v>
      </c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</row>
    <row r="19" spans="1:53" s="32" customFormat="1" x14ac:dyDescent="0.3">
      <c r="A19" s="8" t="s">
        <v>72</v>
      </c>
      <c r="B19" s="9">
        <v>43220</v>
      </c>
      <c r="C19" s="10">
        <v>0.51180555555555551</v>
      </c>
      <c r="D19" s="8">
        <v>13841</v>
      </c>
      <c r="E19" s="11"/>
      <c r="F19" s="11">
        <v>7</v>
      </c>
      <c r="G19" s="8" t="s">
        <v>163</v>
      </c>
      <c r="H19" s="8"/>
      <c r="I19" s="8">
        <v>8032099</v>
      </c>
      <c r="J19" s="8"/>
      <c r="K19" s="8" t="s">
        <v>145</v>
      </c>
      <c r="L19" s="8" t="s">
        <v>146</v>
      </c>
      <c r="M19" s="8">
        <v>419</v>
      </c>
      <c r="N19" s="13">
        <v>419</v>
      </c>
      <c r="O19" s="8" t="s">
        <v>72</v>
      </c>
      <c r="P19" s="8"/>
      <c r="Q19" s="8"/>
      <c r="R19" s="8"/>
      <c r="S19" s="8"/>
      <c r="T19" s="8"/>
      <c r="U19" s="8"/>
      <c r="V19" s="8"/>
      <c r="W19" s="8">
        <v>3.25</v>
      </c>
      <c r="X19" s="8">
        <v>0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</row>
    <row r="20" spans="1:53" s="32" customFormat="1" x14ac:dyDescent="0.3">
      <c r="A20" s="8" t="s">
        <v>154</v>
      </c>
      <c r="B20" s="9">
        <v>43250</v>
      </c>
      <c r="C20" s="10">
        <v>0.46527777777777773</v>
      </c>
      <c r="D20" s="8">
        <v>13841</v>
      </c>
      <c r="E20" s="11"/>
      <c r="F20" s="11">
        <v>7</v>
      </c>
      <c r="G20" s="8" t="s">
        <v>163</v>
      </c>
      <c r="H20" s="8"/>
      <c r="I20" s="8">
        <v>8032099</v>
      </c>
      <c r="J20" s="8"/>
      <c r="K20" s="8" t="s">
        <v>145</v>
      </c>
      <c r="L20" s="8" t="s">
        <v>146</v>
      </c>
      <c r="M20" s="8">
        <v>480</v>
      </c>
      <c r="N20" s="8"/>
      <c r="O20" s="8" t="s">
        <v>72</v>
      </c>
      <c r="P20" s="8"/>
      <c r="Q20" s="8"/>
      <c r="R20" s="8"/>
      <c r="S20" s="8"/>
      <c r="T20" s="8"/>
      <c r="U20" s="8">
        <v>134</v>
      </c>
      <c r="V20" s="8"/>
      <c r="W20" s="8">
        <v>4.5</v>
      </c>
      <c r="X20" s="8">
        <v>1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</row>
    <row r="21" spans="1:53" s="32" customFormat="1" x14ac:dyDescent="0.3">
      <c r="A21" s="23" t="s">
        <v>142</v>
      </c>
      <c r="B21" s="24">
        <v>43256</v>
      </c>
      <c r="C21" s="25">
        <v>0.29644675925925928</v>
      </c>
      <c r="D21" s="23">
        <v>13843</v>
      </c>
      <c r="E21" s="26">
        <v>458</v>
      </c>
      <c r="F21" s="27">
        <v>9</v>
      </c>
      <c r="G21" s="23" t="s">
        <v>167</v>
      </c>
      <c r="H21" s="28" t="s">
        <v>168</v>
      </c>
      <c r="I21" s="23">
        <v>8033173</v>
      </c>
      <c r="J21" s="23"/>
      <c r="K21" s="23" t="s">
        <v>145</v>
      </c>
      <c r="L21" s="23" t="s">
        <v>146</v>
      </c>
      <c r="M21" s="23"/>
      <c r="N21" s="23">
        <v>461</v>
      </c>
      <c r="O21" s="23" t="s">
        <v>72</v>
      </c>
      <c r="P21" s="23"/>
      <c r="Q21" s="23"/>
      <c r="R21" s="23"/>
      <c r="S21" s="23" t="s">
        <v>113</v>
      </c>
      <c r="T21" s="23"/>
      <c r="U21" s="23"/>
      <c r="V21" s="23"/>
      <c r="W21" s="23"/>
      <c r="X21" s="23"/>
      <c r="Y21" s="29">
        <v>57.84</v>
      </c>
      <c r="Z21" s="29">
        <v>60.45</v>
      </c>
      <c r="AA21" s="29">
        <v>0</v>
      </c>
      <c r="AB21" s="29">
        <v>12</v>
      </c>
      <c r="AC21" s="29">
        <v>254.7</v>
      </c>
      <c r="AD21" s="29">
        <v>380</v>
      </c>
      <c r="AE21" s="29">
        <v>1</v>
      </c>
      <c r="AF21" s="29">
        <v>10</v>
      </c>
      <c r="AG21" s="29" t="s">
        <v>75</v>
      </c>
      <c r="AH21" s="29">
        <v>1</v>
      </c>
      <c r="AI21" s="29">
        <v>5.4</v>
      </c>
      <c r="AJ21" s="29">
        <v>64</v>
      </c>
      <c r="AK21" s="29">
        <v>170</v>
      </c>
      <c r="AL21" s="29">
        <v>85</v>
      </c>
      <c r="AM21" s="29">
        <v>7.1</v>
      </c>
      <c r="AN21" s="29">
        <v>13</v>
      </c>
      <c r="AO21" s="29" t="s">
        <v>76</v>
      </c>
      <c r="AP21" s="29" t="s">
        <v>68</v>
      </c>
      <c r="AQ21" s="30">
        <v>52</v>
      </c>
      <c r="AR21" s="30">
        <v>0</v>
      </c>
      <c r="AS21" s="30">
        <v>1</v>
      </c>
      <c r="AT21" s="30">
        <v>0</v>
      </c>
      <c r="AU21" s="30"/>
      <c r="AV21" s="31"/>
      <c r="AW21" s="31" t="s">
        <v>70</v>
      </c>
      <c r="AX21" s="31"/>
      <c r="AY21" s="32">
        <v>49</v>
      </c>
      <c r="AZ21" s="32" t="s">
        <v>83</v>
      </c>
    </row>
    <row r="22" spans="1:53" s="32" customFormat="1" x14ac:dyDescent="0.3">
      <c r="A22" s="16" t="s">
        <v>147</v>
      </c>
      <c r="B22" s="17">
        <v>43181</v>
      </c>
      <c r="C22" s="16" t="s">
        <v>169</v>
      </c>
      <c r="D22" s="16">
        <v>13843</v>
      </c>
      <c r="E22" s="19"/>
      <c r="F22" s="19">
        <v>9</v>
      </c>
      <c r="G22" s="16" t="s">
        <v>167</v>
      </c>
      <c r="H22" s="16"/>
      <c r="I22" s="16">
        <v>8033173</v>
      </c>
      <c r="J22" s="16" t="s">
        <v>170</v>
      </c>
      <c r="K22" s="16" t="s">
        <v>145</v>
      </c>
      <c r="L22" s="16" t="s">
        <v>146</v>
      </c>
      <c r="M22" s="16">
        <v>357</v>
      </c>
      <c r="N22" s="16">
        <v>357</v>
      </c>
      <c r="O22" s="16" t="s">
        <v>72</v>
      </c>
      <c r="P22" s="16">
        <v>3</v>
      </c>
      <c r="Q22" s="16" t="s">
        <v>115</v>
      </c>
      <c r="R22" s="16">
        <v>5</v>
      </c>
      <c r="S22" s="16"/>
      <c r="T22" s="16">
        <v>3</v>
      </c>
      <c r="U22" s="16">
        <v>124</v>
      </c>
      <c r="V22" s="16"/>
      <c r="W22" s="16">
        <v>3</v>
      </c>
      <c r="X22" s="16">
        <v>1</v>
      </c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</row>
    <row r="23" spans="1:53" s="32" customFormat="1" x14ac:dyDescent="0.3">
      <c r="A23" s="8" t="s">
        <v>72</v>
      </c>
      <c r="B23" s="9">
        <v>43220</v>
      </c>
      <c r="C23" s="10">
        <v>0.4777777777777778</v>
      </c>
      <c r="D23" s="8">
        <v>13843</v>
      </c>
      <c r="E23" s="11"/>
      <c r="F23" s="11">
        <v>9</v>
      </c>
      <c r="G23" s="8" t="s">
        <v>167</v>
      </c>
      <c r="H23" s="8"/>
      <c r="I23" s="8">
        <v>8033173</v>
      </c>
      <c r="J23" s="8"/>
      <c r="K23" s="8" t="s">
        <v>145</v>
      </c>
      <c r="L23" s="8" t="s">
        <v>146</v>
      </c>
      <c r="M23" s="8">
        <v>405</v>
      </c>
      <c r="N23" s="13">
        <v>405</v>
      </c>
      <c r="O23" s="8" t="s">
        <v>72</v>
      </c>
      <c r="P23" s="8"/>
      <c r="Q23" s="8"/>
      <c r="R23" s="8"/>
      <c r="S23" s="8"/>
      <c r="T23" s="8"/>
      <c r="U23" s="8"/>
      <c r="V23" s="8">
        <v>1</v>
      </c>
      <c r="W23" s="8">
        <v>2.75</v>
      </c>
      <c r="X23" s="8">
        <v>1</v>
      </c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</row>
    <row r="24" spans="1:53" s="32" customFormat="1" x14ac:dyDescent="0.3">
      <c r="A24" s="8" t="s">
        <v>154</v>
      </c>
      <c r="B24" s="9">
        <v>43250</v>
      </c>
      <c r="C24" s="10">
        <v>0.58472222222222225</v>
      </c>
      <c r="D24" s="8">
        <v>13843</v>
      </c>
      <c r="E24" s="11"/>
      <c r="F24" s="11">
        <v>9</v>
      </c>
      <c r="G24" s="8" t="s">
        <v>167</v>
      </c>
      <c r="H24" s="8"/>
      <c r="I24" s="8">
        <v>8033173</v>
      </c>
      <c r="J24" s="8"/>
      <c r="K24" s="8" t="s">
        <v>145</v>
      </c>
      <c r="L24" s="8" t="s">
        <v>146</v>
      </c>
      <c r="M24" s="8">
        <v>448</v>
      </c>
      <c r="N24" s="8"/>
      <c r="O24" s="8" t="s">
        <v>72</v>
      </c>
      <c r="P24" s="8"/>
      <c r="Q24" s="8"/>
      <c r="R24" s="8"/>
      <c r="S24" s="8"/>
      <c r="T24" s="8"/>
      <c r="U24" s="8">
        <v>128</v>
      </c>
      <c r="V24" s="8"/>
      <c r="W24" s="8">
        <v>4</v>
      </c>
      <c r="X24" s="8">
        <v>2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</row>
    <row r="25" spans="1:53" s="32" customFormat="1" x14ac:dyDescent="0.3">
      <c r="A25" s="23" t="s">
        <v>142</v>
      </c>
      <c r="B25" s="24">
        <v>43256</v>
      </c>
      <c r="C25" s="25">
        <v>0.30046296296296299</v>
      </c>
      <c r="D25" s="23">
        <v>13844</v>
      </c>
      <c r="E25" s="26">
        <v>456</v>
      </c>
      <c r="F25" s="27">
        <v>10</v>
      </c>
      <c r="G25" s="23" t="s">
        <v>171</v>
      </c>
      <c r="H25" s="28" t="s">
        <v>172</v>
      </c>
      <c r="I25" s="23">
        <v>8033214</v>
      </c>
      <c r="J25" s="23"/>
      <c r="K25" s="23" t="s">
        <v>145</v>
      </c>
      <c r="L25" s="23" t="s">
        <v>146</v>
      </c>
      <c r="M25" s="23"/>
      <c r="N25" s="23">
        <v>451</v>
      </c>
      <c r="O25" s="23" t="s">
        <v>72</v>
      </c>
      <c r="P25" s="23"/>
      <c r="Q25" s="23"/>
      <c r="R25" s="23"/>
      <c r="S25" s="23" t="s">
        <v>64</v>
      </c>
      <c r="T25" s="23"/>
      <c r="U25" s="23"/>
      <c r="V25" s="23"/>
      <c r="W25" s="23"/>
      <c r="X25" s="23"/>
      <c r="Y25" s="29">
        <v>60.7</v>
      </c>
      <c r="Z25" s="29">
        <v>63.31</v>
      </c>
      <c r="AA25" s="29">
        <v>0</v>
      </c>
      <c r="AB25" s="29">
        <v>8</v>
      </c>
      <c r="AC25" s="29">
        <v>229.9</v>
      </c>
      <c r="AD25" s="29">
        <v>480</v>
      </c>
      <c r="AE25" s="29">
        <v>2</v>
      </c>
      <c r="AF25" s="29">
        <v>8</v>
      </c>
      <c r="AG25" s="29" t="s">
        <v>75</v>
      </c>
      <c r="AH25" s="29">
        <v>1</v>
      </c>
      <c r="AI25" s="29">
        <v>5.52</v>
      </c>
      <c r="AJ25" s="29">
        <v>72</v>
      </c>
      <c r="AK25" s="29">
        <v>160</v>
      </c>
      <c r="AL25" s="29">
        <v>75</v>
      </c>
      <c r="AM25" s="29">
        <v>9.1</v>
      </c>
      <c r="AN25" s="29">
        <v>13</v>
      </c>
      <c r="AO25" s="29" t="s">
        <v>101</v>
      </c>
      <c r="AP25" s="29" t="s">
        <v>68</v>
      </c>
      <c r="AQ25" s="30">
        <v>95</v>
      </c>
      <c r="AR25" s="30" t="s">
        <v>105</v>
      </c>
      <c r="AS25" s="30">
        <v>0</v>
      </c>
      <c r="AT25" s="30">
        <v>0</v>
      </c>
      <c r="AU25" s="30"/>
      <c r="AV25" s="31"/>
      <c r="AW25" s="31" t="s">
        <v>106</v>
      </c>
      <c r="AX25" s="31"/>
      <c r="AY25" s="32">
        <v>108</v>
      </c>
      <c r="AZ25" s="32" t="s">
        <v>70</v>
      </c>
    </row>
    <row r="26" spans="1:53" s="32" customFormat="1" x14ac:dyDescent="0.3">
      <c r="A26" s="16" t="s">
        <v>147</v>
      </c>
      <c r="B26" s="17">
        <v>43181</v>
      </c>
      <c r="C26" s="16" t="s">
        <v>173</v>
      </c>
      <c r="D26" s="16">
        <v>13844</v>
      </c>
      <c r="E26" s="19"/>
      <c r="F26" s="19">
        <v>10</v>
      </c>
      <c r="G26" s="16" t="s">
        <v>171</v>
      </c>
      <c r="H26" s="16"/>
      <c r="I26" s="16">
        <v>8033214</v>
      </c>
      <c r="J26" s="16" t="s">
        <v>174</v>
      </c>
      <c r="K26" s="16" t="s">
        <v>145</v>
      </c>
      <c r="L26" s="16" t="s">
        <v>146</v>
      </c>
      <c r="M26" s="16">
        <v>343</v>
      </c>
      <c r="N26" s="16">
        <v>343</v>
      </c>
      <c r="O26" s="16" t="s">
        <v>72</v>
      </c>
      <c r="P26" s="16">
        <v>4</v>
      </c>
      <c r="Q26" s="16" t="s">
        <v>61</v>
      </c>
      <c r="R26" s="16">
        <v>3</v>
      </c>
      <c r="S26" s="16"/>
      <c r="T26" s="16">
        <v>5</v>
      </c>
      <c r="U26" s="16">
        <v>136</v>
      </c>
      <c r="V26" s="16"/>
      <c r="W26" s="16">
        <v>3.5</v>
      </c>
      <c r="X26" s="16">
        <v>1</v>
      </c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</row>
    <row r="27" spans="1:53" s="32" customFormat="1" x14ac:dyDescent="0.3">
      <c r="A27" s="8" t="s">
        <v>72</v>
      </c>
      <c r="B27" s="9">
        <v>43220</v>
      </c>
      <c r="C27" s="10">
        <v>0.52569444444444446</v>
      </c>
      <c r="D27" s="8">
        <v>13844</v>
      </c>
      <c r="E27" s="11"/>
      <c r="F27" s="11">
        <v>10</v>
      </c>
      <c r="G27" s="8" t="s">
        <v>171</v>
      </c>
      <c r="H27" s="8"/>
      <c r="I27" s="8">
        <v>8033214</v>
      </c>
      <c r="J27" s="8"/>
      <c r="K27" s="8" t="s">
        <v>145</v>
      </c>
      <c r="L27" s="8" t="s">
        <v>146</v>
      </c>
      <c r="M27" s="8">
        <v>388</v>
      </c>
      <c r="N27" s="13">
        <v>388</v>
      </c>
      <c r="O27" s="8" t="s">
        <v>72</v>
      </c>
      <c r="P27" s="8"/>
      <c r="Q27" s="8"/>
      <c r="R27" s="8"/>
      <c r="S27" s="8"/>
      <c r="T27" s="8"/>
      <c r="U27" s="8"/>
      <c r="V27" s="8">
        <v>1</v>
      </c>
      <c r="W27" s="8">
        <v>3.25</v>
      </c>
      <c r="X27" s="8">
        <v>2</v>
      </c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</row>
    <row r="28" spans="1:53" s="32" customFormat="1" x14ac:dyDescent="0.3">
      <c r="A28" s="8" t="s">
        <v>154</v>
      </c>
      <c r="B28" s="9">
        <v>43250</v>
      </c>
      <c r="C28" s="10">
        <v>0.61805555555555558</v>
      </c>
      <c r="D28" s="8">
        <v>13844</v>
      </c>
      <c r="E28" s="11"/>
      <c r="F28" s="11">
        <v>10</v>
      </c>
      <c r="G28" s="8" t="s">
        <v>171</v>
      </c>
      <c r="H28" s="8"/>
      <c r="I28" s="8">
        <v>8033214</v>
      </c>
      <c r="J28" s="8"/>
      <c r="K28" s="8" t="s">
        <v>145</v>
      </c>
      <c r="L28" s="8" t="s">
        <v>146</v>
      </c>
      <c r="M28" s="8">
        <v>442</v>
      </c>
      <c r="N28" s="8"/>
      <c r="O28" s="8" t="s">
        <v>72</v>
      </c>
      <c r="P28" s="8"/>
      <c r="Q28" s="8"/>
      <c r="R28" s="8"/>
      <c r="S28" s="8"/>
      <c r="T28" s="8"/>
      <c r="U28" s="8">
        <v>132</v>
      </c>
      <c r="V28" s="8"/>
      <c r="W28" s="8">
        <v>4</v>
      </c>
      <c r="X28" s="8">
        <v>1</v>
      </c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</row>
    <row r="29" spans="1:53" s="32" customFormat="1" x14ac:dyDescent="0.3">
      <c r="A29" s="23" t="s">
        <v>142</v>
      </c>
      <c r="B29" s="24">
        <v>43256</v>
      </c>
      <c r="C29" s="25">
        <v>0.29031250000000003</v>
      </c>
      <c r="D29" s="23">
        <v>13846</v>
      </c>
      <c r="E29" s="26">
        <v>477</v>
      </c>
      <c r="F29" s="27">
        <v>11</v>
      </c>
      <c r="G29" s="23" t="s">
        <v>175</v>
      </c>
      <c r="H29" s="28" t="s">
        <v>176</v>
      </c>
      <c r="I29" s="23">
        <v>8027646</v>
      </c>
      <c r="J29" s="23"/>
      <c r="K29" s="23" t="s">
        <v>145</v>
      </c>
      <c r="L29" s="23" t="s">
        <v>146</v>
      </c>
      <c r="M29" s="23"/>
      <c r="N29" s="23">
        <v>503</v>
      </c>
      <c r="O29" s="23" t="s">
        <v>72</v>
      </c>
      <c r="P29" s="23"/>
      <c r="Q29" s="23"/>
      <c r="R29" s="23"/>
      <c r="S29" s="23" t="s">
        <v>110</v>
      </c>
      <c r="T29" s="23"/>
      <c r="U29" s="23"/>
      <c r="V29" s="23"/>
      <c r="W29" s="23"/>
      <c r="X29" s="23"/>
      <c r="Y29" s="29">
        <v>60.64</v>
      </c>
      <c r="Z29" s="29">
        <v>63.25</v>
      </c>
      <c r="AA29" s="29">
        <v>0</v>
      </c>
      <c r="AB29" s="29">
        <v>8</v>
      </c>
      <c r="AC29" s="29">
        <v>227.2</v>
      </c>
      <c r="AD29" s="29">
        <v>300</v>
      </c>
      <c r="AE29" s="29">
        <v>1</v>
      </c>
      <c r="AF29" s="29">
        <v>8</v>
      </c>
      <c r="AG29" s="29" t="s">
        <v>66</v>
      </c>
      <c r="AH29" s="29">
        <v>0</v>
      </c>
      <c r="AI29" s="29">
        <v>5.36</v>
      </c>
      <c r="AJ29" s="29">
        <v>71</v>
      </c>
      <c r="AK29" s="29">
        <v>140</v>
      </c>
      <c r="AL29" s="29">
        <v>65</v>
      </c>
      <c r="AM29" s="29">
        <v>6.5</v>
      </c>
      <c r="AN29" s="29">
        <v>13</v>
      </c>
      <c r="AO29" s="29" t="s">
        <v>76</v>
      </c>
      <c r="AP29" s="29" t="s">
        <v>68</v>
      </c>
      <c r="AQ29" s="30">
        <v>99</v>
      </c>
      <c r="AR29" s="30">
        <v>0</v>
      </c>
      <c r="AS29" s="30">
        <v>0</v>
      </c>
      <c r="AT29" s="30">
        <v>0</v>
      </c>
      <c r="AU29" s="30"/>
      <c r="AV29" s="31"/>
      <c r="AW29" s="31" t="s">
        <v>70</v>
      </c>
      <c r="AX29" s="31"/>
      <c r="AY29" s="32">
        <v>107</v>
      </c>
      <c r="AZ29" s="32" t="s">
        <v>70</v>
      </c>
    </row>
    <row r="30" spans="1:53" s="32" customFormat="1" x14ac:dyDescent="0.3">
      <c r="A30" s="16" t="s">
        <v>147</v>
      </c>
      <c r="B30" s="17">
        <v>43181</v>
      </c>
      <c r="C30" s="16" t="s">
        <v>177</v>
      </c>
      <c r="D30" s="16">
        <v>13846</v>
      </c>
      <c r="E30" s="19"/>
      <c r="F30" s="19">
        <v>11</v>
      </c>
      <c r="G30" s="16" t="s">
        <v>175</v>
      </c>
      <c r="H30" s="16"/>
      <c r="I30" s="16">
        <v>8027646</v>
      </c>
      <c r="J30" s="16" t="s">
        <v>178</v>
      </c>
      <c r="K30" s="16" t="s">
        <v>145</v>
      </c>
      <c r="L30" s="16" t="s">
        <v>146</v>
      </c>
      <c r="M30" s="16">
        <v>394</v>
      </c>
      <c r="N30" s="16">
        <v>394</v>
      </c>
      <c r="O30" s="16" t="s">
        <v>72</v>
      </c>
      <c r="P30" s="16">
        <v>3</v>
      </c>
      <c r="Q30" s="16" t="s">
        <v>87</v>
      </c>
      <c r="R30" s="16">
        <v>10</v>
      </c>
      <c r="S30" s="16"/>
      <c r="T30" s="16">
        <v>3</v>
      </c>
      <c r="U30" s="16">
        <v>124</v>
      </c>
      <c r="V30" s="16"/>
      <c r="W30" s="16">
        <v>3</v>
      </c>
      <c r="X30" s="16">
        <v>1</v>
      </c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</row>
    <row r="31" spans="1:53" s="32" customFormat="1" x14ac:dyDescent="0.3">
      <c r="A31" s="8" t="s">
        <v>72</v>
      </c>
      <c r="B31" s="9">
        <v>43220</v>
      </c>
      <c r="C31" s="10">
        <v>0.48958333333333331</v>
      </c>
      <c r="D31" s="8">
        <v>13846</v>
      </c>
      <c r="E31" s="11"/>
      <c r="F31" s="11">
        <v>11</v>
      </c>
      <c r="G31" s="8" t="s">
        <v>175</v>
      </c>
      <c r="H31" s="8"/>
      <c r="I31" s="8">
        <v>8027646</v>
      </c>
      <c r="J31" s="8"/>
      <c r="K31" s="8" t="s">
        <v>145</v>
      </c>
      <c r="L31" s="8" t="s">
        <v>146</v>
      </c>
      <c r="M31" s="8">
        <v>457</v>
      </c>
      <c r="N31" s="13">
        <v>457</v>
      </c>
      <c r="O31" s="8" t="s">
        <v>72</v>
      </c>
      <c r="P31" s="8"/>
      <c r="Q31" s="8"/>
      <c r="R31" s="8"/>
      <c r="S31" s="8"/>
      <c r="T31" s="8"/>
      <c r="U31" s="8"/>
      <c r="V31" s="8">
        <v>2</v>
      </c>
      <c r="W31" s="8">
        <v>3</v>
      </c>
      <c r="X31" s="8">
        <v>1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</row>
    <row r="32" spans="1:53" s="32" customFormat="1" x14ac:dyDescent="0.3">
      <c r="A32" s="8" t="s">
        <v>154</v>
      </c>
      <c r="B32" s="9">
        <v>43250</v>
      </c>
      <c r="C32" s="10">
        <v>0.4826388888888889</v>
      </c>
      <c r="D32" s="8">
        <v>13846</v>
      </c>
      <c r="E32" s="11"/>
      <c r="F32" s="11">
        <v>11</v>
      </c>
      <c r="G32" s="8" t="s">
        <v>175</v>
      </c>
      <c r="H32" s="8"/>
      <c r="I32" s="8">
        <v>8027646</v>
      </c>
      <c r="J32" s="8"/>
      <c r="K32" s="8" t="s">
        <v>145</v>
      </c>
      <c r="L32" s="8" t="s">
        <v>146</v>
      </c>
      <c r="M32" s="8">
        <v>489</v>
      </c>
      <c r="N32" s="8"/>
      <c r="O32" s="8" t="s">
        <v>72</v>
      </c>
      <c r="P32" s="8"/>
      <c r="Q32" s="8"/>
      <c r="R32" s="8"/>
      <c r="S32" s="8"/>
      <c r="T32" s="8"/>
      <c r="U32" s="8">
        <v>134</v>
      </c>
      <c r="V32" s="8"/>
      <c r="W32" s="8">
        <v>4</v>
      </c>
      <c r="X32" s="8">
        <v>1</v>
      </c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s="32" customFormat="1" x14ac:dyDescent="0.3">
      <c r="A33" s="23" t="s">
        <v>142</v>
      </c>
      <c r="B33" s="24">
        <v>43256</v>
      </c>
      <c r="C33" s="25">
        <v>0.30440972222222223</v>
      </c>
      <c r="D33" s="23">
        <v>13849</v>
      </c>
      <c r="E33" s="26">
        <v>481</v>
      </c>
      <c r="F33" s="27">
        <v>13</v>
      </c>
      <c r="G33" s="23" t="s">
        <v>179</v>
      </c>
      <c r="H33" s="28" t="s">
        <v>180</v>
      </c>
      <c r="I33" s="23">
        <v>8028760</v>
      </c>
      <c r="J33" s="23"/>
      <c r="K33" s="23" t="s">
        <v>145</v>
      </c>
      <c r="L33" s="23" t="s">
        <v>146</v>
      </c>
      <c r="M33" s="23"/>
      <c r="N33" s="23">
        <v>475</v>
      </c>
      <c r="O33" s="23" t="s">
        <v>72</v>
      </c>
      <c r="P33" s="23"/>
      <c r="Q33" s="23"/>
      <c r="R33" s="23"/>
      <c r="S33" s="23" t="s">
        <v>113</v>
      </c>
      <c r="T33" s="23"/>
      <c r="U33" s="23"/>
      <c r="V33" s="23"/>
      <c r="W33" s="23"/>
      <c r="X33" s="23"/>
      <c r="Y33" s="29">
        <v>62.26</v>
      </c>
      <c r="Z33" s="29">
        <v>64.87</v>
      </c>
      <c r="AA33" s="29">
        <v>0</v>
      </c>
      <c r="AB33" s="29">
        <v>7</v>
      </c>
      <c r="AC33" s="29">
        <v>266.3</v>
      </c>
      <c r="AD33" s="29">
        <v>350</v>
      </c>
      <c r="AE33" s="29">
        <v>1</v>
      </c>
      <c r="AF33" s="29">
        <v>7</v>
      </c>
      <c r="AG33" s="29" t="s">
        <v>75</v>
      </c>
      <c r="AH33" s="29">
        <v>1</v>
      </c>
      <c r="AI33" s="29">
        <v>5.4</v>
      </c>
      <c r="AJ33" s="29">
        <v>77</v>
      </c>
      <c r="AK33" s="29">
        <v>130</v>
      </c>
      <c r="AL33" s="29">
        <v>70</v>
      </c>
      <c r="AM33" s="29">
        <v>7</v>
      </c>
      <c r="AN33" s="29">
        <v>13</v>
      </c>
      <c r="AO33" s="29" t="s">
        <v>76</v>
      </c>
      <c r="AP33" s="29" t="s">
        <v>68</v>
      </c>
      <c r="AQ33" s="30">
        <v>75</v>
      </c>
      <c r="AR33" s="30">
        <v>0</v>
      </c>
      <c r="AS33" s="30">
        <v>0</v>
      </c>
      <c r="AT33" s="30">
        <v>0</v>
      </c>
      <c r="AU33" s="30"/>
      <c r="AV33" s="31"/>
      <c r="AW33" s="31" t="s">
        <v>70</v>
      </c>
      <c r="AX33" s="31"/>
      <c r="AY33" s="32">
        <v>45</v>
      </c>
      <c r="AZ33" s="32" t="s">
        <v>70</v>
      </c>
    </row>
    <row r="34" spans="1:53" s="32" customFormat="1" x14ac:dyDescent="0.3">
      <c r="A34" s="16" t="s">
        <v>147</v>
      </c>
      <c r="B34" s="17">
        <v>43181</v>
      </c>
      <c r="C34" s="16" t="s">
        <v>181</v>
      </c>
      <c r="D34" s="16">
        <v>13849</v>
      </c>
      <c r="E34" s="19"/>
      <c r="F34" s="19">
        <v>13</v>
      </c>
      <c r="G34" s="16" t="s">
        <v>179</v>
      </c>
      <c r="H34" s="16"/>
      <c r="I34" s="16">
        <v>8028760</v>
      </c>
      <c r="J34" s="16" t="s">
        <v>182</v>
      </c>
      <c r="K34" s="16" t="s">
        <v>145</v>
      </c>
      <c r="L34" s="16" t="s">
        <v>146</v>
      </c>
      <c r="M34" s="16">
        <v>355</v>
      </c>
      <c r="N34" s="16">
        <v>355</v>
      </c>
      <c r="O34" s="16" t="s">
        <v>72</v>
      </c>
      <c r="P34" s="16">
        <v>3</v>
      </c>
      <c r="Q34" s="16" t="s">
        <v>115</v>
      </c>
      <c r="R34" s="16">
        <v>5</v>
      </c>
      <c r="S34" s="16"/>
      <c r="T34" s="16">
        <v>2</v>
      </c>
      <c r="U34" s="16">
        <v>121</v>
      </c>
      <c r="V34" s="16"/>
      <c r="W34" s="16">
        <v>3</v>
      </c>
      <c r="X34" s="16">
        <v>1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</row>
    <row r="35" spans="1:53" s="32" customFormat="1" x14ac:dyDescent="0.3">
      <c r="A35" s="8" t="s">
        <v>72</v>
      </c>
      <c r="B35" s="9">
        <v>43220</v>
      </c>
      <c r="C35" s="10">
        <v>0.55625000000000002</v>
      </c>
      <c r="D35" s="8">
        <v>13849</v>
      </c>
      <c r="E35" s="11"/>
      <c r="F35" s="11">
        <v>13</v>
      </c>
      <c r="G35" s="8" t="s">
        <v>179</v>
      </c>
      <c r="H35" s="8"/>
      <c r="I35" s="8">
        <v>8028760</v>
      </c>
      <c r="J35" s="8"/>
      <c r="K35" s="8" t="s">
        <v>145</v>
      </c>
      <c r="L35" s="8" t="s">
        <v>146</v>
      </c>
      <c r="M35" s="8">
        <v>415</v>
      </c>
      <c r="N35" s="13">
        <v>415</v>
      </c>
      <c r="O35" s="8" t="s">
        <v>72</v>
      </c>
      <c r="P35" s="8"/>
      <c r="Q35" s="8"/>
      <c r="R35" s="8"/>
      <c r="S35" s="8"/>
      <c r="T35" s="8"/>
      <c r="U35" s="8"/>
      <c r="V35" s="8">
        <v>3</v>
      </c>
      <c r="W35" s="8">
        <v>4</v>
      </c>
      <c r="X35" s="8">
        <v>1</v>
      </c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</row>
    <row r="36" spans="1:53" s="32" customFormat="1" x14ac:dyDescent="0.3">
      <c r="A36" s="8" t="s">
        <v>154</v>
      </c>
      <c r="B36" s="9">
        <v>43250</v>
      </c>
      <c r="C36" s="10">
        <v>0.50277777777777777</v>
      </c>
      <c r="D36" s="8">
        <v>13849</v>
      </c>
      <c r="E36" s="11"/>
      <c r="F36" s="11">
        <v>13</v>
      </c>
      <c r="G36" s="8" t="s">
        <v>179</v>
      </c>
      <c r="H36" s="8"/>
      <c r="I36" s="8">
        <v>8028760</v>
      </c>
      <c r="J36" s="8"/>
      <c r="K36" s="8" t="s">
        <v>145</v>
      </c>
      <c r="L36" s="8" t="s">
        <v>146</v>
      </c>
      <c r="M36" s="8">
        <v>463</v>
      </c>
      <c r="N36" s="8"/>
      <c r="O36" s="8" t="s">
        <v>72</v>
      </c>
      <c r="P36" s="8"/>
      <c r="Q36" s="8"/>
      <c r="R36" s="8"/>
      <c r="S36" s="8"/>
      <c r="T36" s="8"/>
      <c r="U36" s="8">
        <v>124</v>
      </c>
      <c r="V36" s="8"/>
      <c r="W36" s="8">
        <v>4.5</v>
      </c>
      <c r="X36" s="8">
        <v>1</v>
      </c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</row>
    <row r="37" spans="1:53" s="32" customFormat="1" x14ac:dyDescent="0.3">
      <c r="A37" s="23" t="s">
        <v>142</v>
      </c>
      <c r="B37" s="24">
        <v>43256</v>
      </c>
      <c r="C37" s="25">
        <v>0.32579861111111114</v>
      </c>
      <c r="D37" s="23">
        <v>13850</v>
      </c>
      <c r="E37" s="26">
        <v>515</v>
      </c>
      <c r="F37" s="27">
        <v>14</v>
      </c>
      <c r="G37" s="23" t="s">
        <v>183</v>
      </c>
      <c r="H37" s="28" t="s">
        <v>184</v>
      </c>
      <c r="I37" s="23">
        <v>8027609</v>
      </c>
      <c r="J37" s="23"/>
      <c r="K37" s="23" t="s">
        <v>145</v>
      </c>
      <c r="L37" s="23" t="s">
        <v>146</v>
      </c>
      <c r="M37" s="23"/>
      <c r="N37" s="23">
        <v>489</v>
      </c>
      <c r="O37" s="23" t="s">
        <v>72</v>
      </c>
      <c r="P37" s="23"/>
      <c r="Q37" s="23"/>
      <c r="R37" s="23"/>
      <c r="S37" s="23" t="s">
        <v>113</v>
      </c>
      <c r="T37" s="23"/>
      <c r="U37" s="23"/>
      <c r="V37" s="23"/>
      <c r="W37" s="23"/>
      <c r="X37" s="23"/>
      <c r="Y37" s="29">
        <v>58.89</v>
      </c>
      <c r="Z37" s="29">
        <v>61.5</v>
      </c>
      <c r="AA37" s="29">
        <v>0</v>
      </c>
      <c r="AB37" s="29">
        <v>7</v>
      </c>
      <c r="AC37" s="29">
        <v>261.39999999999998</v>
      </c>
      <c r="AD37" s="29">
        <v>280</v>
      </c>
      <c r="AE37" s="29">
        <v>0</v>
      </c>
      <c r="AF37" s="29">
        <v>7</v>
      </c>
      <c r="AG37" s="29" t="s">
        <v>67</v>
      </c>
      <c r="AH37" s="29">
        <v>0</v>
      </c>
      <c r="AI37" s="29">
        <v>5.37</v>
      </c>
      <c r="AJ37" s="29">
        <v>65</v>
      </c>
      <c r="AK37" s="29">
        <v>140</v>
      </c>
      <c r="AL37" s="29">
        <v>75</v>
      </c>
      <c r="AM37" s="29">
        <v>6.8</v>
      </c>
      <c r="AN37" s="29">
        <v>13</v>
      </c>
      <c r="AO37" s="29" t="s">
        <v>76</v>
      </c>
      <c r="AP37" s="29" t="s">
        <v>68</v>
      </c>
      <c r="AQ37" s="30">
        <v>96</v>
      </c>
      <c r="AR37" s="30">
        <v>0</v>
      </c>
      <c r="AS37" s="30">
        <v>0</v>
      </c>
      <c r="AT37" s="30">
        <v>0</v>
      </c>
      <c r="AU37" s="30"/>
      <c r="AV37" s="31"/>
      <c r="AW37" s="31" t="s">
        <v>70</v>
      </c>
      <c r="AX37" s="31"/>
      <c r="AY37" s="32">
        <v>63</v>
      </c>
      <c r="AZ37" s="32" t="s">
        <v>70</v>
      </c>
    </row>
    <row r="38" spans="1:53" s="32" customFormat="1" x14ac:dyDescent="0.3">
      <c r="A38" s="16" t="s">
        <v>147</v>
      </c>
      <c r="B38" s="17">
        <v>43181</v>
      </c>
      <c r="C38" s="16" t="s">
        <v>185</v>
      </c>
      <c r="D38" s="16">
        <v>13850</v>
      </c>
      <c r="E38" s="19"/>
      <c r="F38" s="19">
        <v>14</v>
      </c>
      <c r="G38" s="16" t="s">
        <v>183</v>
      </c>
      <c r="H38" s="16"/>
      <c r="I38" s="16">
        <v>8027609</v>
      </c>
      <c r="J38" s="16" t="s">
        <v>186</v>
      </c>
      <c r="K38" s="16" t="s">
        <v>145</v>
      </c>
      <c r="L38" s="16" t="s">
        <v>146</v>
      </c>
      <c r="M38" s="16">
        <v>369</v>
      </c>
      <c r="N38" s="16">
        <v>369</v>
      </c>
      <c r="O38" s="16" t="s">
        <v>72</v>
      </c>
      <c r="P38" s="16">
        <v>1</v>
      </c>
      <c r="Q38" s="16" t="s">
        <v>91</v>
      </c>
      <c r="R38" s="16">
        <v>1</v>
      </c>
      <c r="S38" s="16"/>
      <c r="T38" s="16">
        <v>3</v>
      </c>
      <c r="U38" s="16">
        <v>127</v>
      </c>
      <c r="V38" s="16"/>
      <c r="W38" s="16">
        <v>3</v>
      </c>
      <c r="X38" s="16" t="s">
        <v>117</v>
      </c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</row>
    <row r="39" spans="1:53" s="32" customFormat="1" x14ac:dyDescent="0.3">
      <c r="A39" s="8" t="s">
        <v>72</v>
      </c>
      <c r="B39" s="9">
        <v>43220</v>
      </c>
      <c r="C39" s="10">
        <v>0.43333333333333335</v>
      </c>
      <c r="D39" s="8">
        <v>13850</v>
      </c>
      <c r="E39" s="11"/>
      <c r="F39" s="11">
        <v>14</v>
      </c>
      <c r="G39" s="8" t="s">
        <v>183</v>
      </c>
      <c r="H39" s="8"/>
      <c r="I39" s="8">
        <v>8027609</v>
      </c>
      <c r="J39" s="8"/>
      <c r="K39" s="8" t="s">
        <v>145</v>
      </c>
      <c r="L39" s="8" t="s">
        <v>146</v>
      </c>
      <c r="M39" s="8">
        <v>436</v>
      </c>
      <c r="N39" s="13">
        <v>436</v>
      </c>
      <c r="O39" s="8" t="s">
        <v>72</v>
      </c>
      <c r="P39" s="8"/>
      <c r="Q39" s="8"/>
      <c r="R39" s="8"/>
      <c r="S39" s="8"/>
      <c r="T39" s="8"/>
      <c r="U39" s="8"/>
      <c r="V39" s="8"/>
      <c r="W39" s="8">
        <v>4</v>
      </c>
      <c r="X39" s="8">
        <v>0</v>
      </c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</row>
    <row r="40" spans="1:53" s="32" customFormat="1" x14ac:dyDescent="0.3">
      <c r="A40" s="8" t="s">
        <v>154</v>
      </c>
      <c r="B40" s="9">
        <v>43250</v>
      </c>
      <c r="C40" s="10">
        <v>0.48541666666666666</v>
      </c>
      <c r="D40" s="8">
        <v>13850</v>
      </c>
      <c r="E40" s="11"/>
      <c r="F40" s="11">
        <v>14</v>
      </c>
      <c r="G40" s="8" t="s">
        <v>183</v>
      </c>
      <c r="H40" s="8"/>
      <c r="I40" s="8">
        <v>8027609</v>
      </c>
      <c r="J40" s="8"/>
      <c r="K40" s="8" t="s">
        <v>145</v>
      </c>
      <c r="L40" s="8" t="s">
        <v>146</v>
      </c>
      <c r="M40" s="8">
        <v>476</v>
      </c>
      <c r="N40" s="8"/>
      <c r="O40" s="8" t="s">
        <v>72</v>
      </c>
      <c r="P40" s="8"/>
      <c r="Q40" s="8"/>
      <c r="R40" s="8"/>
      <c r="S40" s="8"/>
      <c r="T40" s="8"/>
      <c r="U40" s="8">
        <v>133</v>
      </c>
      <c r="V40" s="8"/>
      <c r="W40" s="8">
        <v>4</v>
      </c>
      <c r="X40" s="8">
        <v>2</v>
      </c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</row>
    <row r="41" spans="1:53" s="32" customFormat="1" x14ac:dyDescent="0.3">
      <c r="A41" s="23" t="s">
        <v>142</v>
      </c>
      <c r="B41" s="24">
        <v>43256</v>
      </c>
      <c r="C41" s="25">
        <v>0.31658564814814816</v>
      </c>
      <c r="D41" s="23">
        <v>13852</v>
      </c>
      <c r="E41" s="26">
        <v>435</v>
      </c>
      <c r="F41" s="27">
        <v>16</v>
      </c>
      <c r="G41" s="23" t="s">
        <v>187</v>
      </c>
      <c r="H41" s="28" t="s">
        <v>188</v>
      </c>
      <c r="I41" s="23">
        <v>8026740</v>
      </c>
      <c r="J41" s="23"/>
      <c r="K41" s="23" t="s">
        <v>145</v>
      </c>
      <c r="L41" s="23" t="s">
        <v>146</v>
      </c>
      <c r="M41" s="23"/>
      <c r="N41" s="23">
        <v>458</v>
      </c>
      <c r="O41" s="23" t="s">
        <v>72</v>
      </c>
      <c r="P41" s="23"/>
      <c r="Q41" s="23"/>
      <c r="R41" s="23"/>
      <c r="S41" s="23" t="s">
        <v>88</v>
      </c>
      <c r="T41" s="23"/>
      <c r="U41" s="23"/>
      <c r="V41" s="23"/>
      <c r="W41" s="23"/>
      <c r="X41" s="23"/>
      <c r="Y41" s="29">
        <v>61.25</v>
      </c>
      <c r="Z41" s="29">
        <v>63.86</v>
      </c>
      <c r="AA41" s="29">
        <v>0</v>
      </c>
      <c r="AB41" s="29">
        <v>12</v>
      </c>
      <c r="AC41" s="29">
        <v>251</v>
      </c>
      <c r="AD41" s="29">
        <v>350</v>
      </c>
      <c r="AE41" s="29">
        <v>1</v>
      </c>
      <c r="AF41" s="29">
        <v>8</v>
      </c>
      <c r="AG41" s="29" t="s">
        <v>75</v>
      </c>
      <c r="AH41" s="29">
        <v>0</v>
      </c>
      <c r="AI41" s="29">
        <v>5.39</v>
      </c>
      <c r="AJ41" s="29">
        <v>70</v>
      </c>
      <c r="AK41" s="29">
        <v>120</v>
      </c>
      <c r="AL41" s="29">
        <v>85</v>
      </c>
      <c r="AM41" s="29">
        <v>6.9</v>
      </c>
      <c r="AN41" s="29">
        <v>13</v>
      </c>
      <c r="AO41" s="29" t="s">
        <v>76</v>
      </c>
      <c r="AP41" s="29" t="s">
        <v>68</v>
      </c>
      <c r="AQ41" s="30">
        <v>115</v>
      </c>
      <c r="AR41" s="30">
        <v>0</v>
      </c>
      <c r="AS41" s="30">
        <v>0</v>
      </c>
      <c r="AT41" s="30">
        <v>0</v>
      </c>
      <c r="AU41" s="30"/>
      <c r="AV41" s="31"/>
      <c r="AW41" s="31" t="s">
        <v>70</v>
      </c>
      <c r="AX41" s="31"/>
      <c r="AY41" s="32">
        <v>89</v>
      </c>
      <c r="AZ41" s="32" t="s">
        <v>70</v>
      </c>
    </row>
    <row r="42" spans="1:53" s="32" customFormat="1" x14ac:dyDescent="0.3">
      <c r="A42" s="16" t="s">
        <v>147</v>
      </c>
      <c r="B42" s="17">
        <v>43181</v>
      </c>
      <c r="C42" s="16" t="s">
        <v>189</v>
      </c>
      <c r="D42" s="16">
        <v>13852</v>
      </c>
      <c r="E42" s="19"/>
      <c r="F42" s="19">
        <v>16</v>
      </c>
      <c r="G42" s="16" t="s">
        <v>187</v>
      </c>
      <c r="H42" s="16"/>
      <c r="I42" s="16">
        <v>8026740</v>
      </c>
      <c r="J42" s="16" t="s">
        <v>190</v>
      </c>
      <c r="K42" s="16" t="s">
        <v>145</v>
      </c>
      <c r="L42" s="16" t="s">
        <v>146</v>
      </c>
      <c r="M42" s="16">
        <v>380</v>
      </c>
      <c r="N42" s="16">
        <v>380</v>
      </c>
      <c r="O42" s="16" t="s">
        <v>72</v>
      </c>
      <c r="P42" s="16">
        <v>4</v>
      </c>
      <c r="Q42" s="16" t="s">
        <v>91</v>
      </c>
      <c r="R42" s="16">
        <v>1</v>
      </c>
      <c r="S42" s="16"/>
      <c r="T42" s="16">
        <v>2</v>
      </c>
      <c r="U42" s="16">
        <v>128</v>
      </c>
      <c r="V42" s="16"/>
      <c r="W42" s="16">
        <v>3.25</v>
      </c>
      <c r="X42" s="16">
        <v>1</v>
      </c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</row>
    <row r="43" spans="1:53" s="32" customFormat="1" x14ac:dyDescent="0.3">
      <c r="A43" s="8" t="s">
        <v>72</v>
      </c>
      <c r="B43" s="9">
        <v>43220</v>
      </c>
      <c r="C43" s="10">
        <v>0.51736111111111105</v>
      </c>
      <c r="D43" s="8">
        <v>13852</v>
      </c>
      <c r="E43" s="11"/>
      <c r="F43" s="11">
        <v>16</v>
      </c>
      <c r="G43" s="8" t="s">
        <v>187</v>
      </c>
      <c r="H43" s="8"/>
      <c r="I43" s="8">
        <v>8026740</v>
      </c>
      <c r="J43" s="8"/>
      <c r="K43" s="8" t="s">
        <v>145</v>
      </c>
      <c r="L43" s="8" t="s">
        <v>146</v>
      </c>
      <c r="M43" s="8">
        <v>409</v>
      </c>
      <c r="N43" s="13">
        <v>409</v>
      </c>
      <c r="O43" s="8" t="s">
        <v>72</v>
      </c>
      <c r="P43" s="8"/>
      <c r="Q43" s="8"/>
      <c r="R43" s="8"/>
      <c r="S43" s="8"/>
      <c r="T43" s="8"/>
      <c r="U43" s="8"/>
      <c r="V43" s="8">
        <v>1</v>
      </c>
      <c r="W43" s="8">
        <v>3.25</v>
      </c>
      <c r="X43" s="8">
        <v>1</v>
      </c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</row>
    <row r="44" spans="1:53" s="32" customFormat="1" x14ac:dyDescent="0.3">
      <c r="A44" s="8" t="s">
        <v>154</v>
      </c>
      <c r="B44" s="9">
        <v>43250</v>
      </c>
      <c r="C44" s="10">
        <v>0.58680555555555558</v>
      </c>
      <c r="D44" s="8">
        <v>13852</v>
      </c>
      <c r="E44" s="11"/>
      <c r="F44" s="11">
        <v>16</v>
      </c>
      <c r="G44" s="8" t="s">
        <v>187</v>
      </c>
      <c r="H44" s="8"/>
      <c r="I44" s="8">
        <v>8026740</v>
      </c>
      <c r="J44" s="8"/>
      <c r="K44" s="8" t="s">
        <v>145</v>
      </c>
      <c r="L44" s="8" t="s">
        <v>146</v>
      </c>
      <c r="M44" s="8">
        <v>446</v>
      </c>
      <c r="N44" s="8"/>
      <c r="O44" s="8" t="s">
        <v>72</v>
      </c>
      <c r="P44" s="8"/>
      <c r="Q44" s="8"/>
      <c r="R44" s="8"/>
      <c r="S44" s="8"/>
      <c r="T44" s="8"/>
      <c r="U44" s="8"/>
      <c r="V44" s="8"/>
      <c r="W44" s="8">
        <v>4</v>
      </c>
      <c r="X44" s="8">
        <v>1</v>
      </c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</row>
    <row r="45" spans="1:53" s="32" customFormat="1" x14ac:dyDescent="0.3">
      <c r="A45" s="23" t="s">
        <v>142</v>
      </c>
      <c r="B45" s="24">
        <v>43256</v>
      </c>
      <c r="C45" s="25">
        <v>0.30663194444444447</v>
      </c>
      <c r="D45" s="23">
        <v>13854</v>
      </c>
      <c r="E45" s="26">
        <v>496</v>
      </c>
      <c r="F45" s="27">
        <v>18</v>
      </c>
      <c r="G45" s="23" t="s">
        <v>191</v>
      </c>
      <c r="H45" s="28" t="s">
        <v>192</v>
      </c>
      <c r="I45" s="23">
        <v>8028932</v>
      </c>
      <c r="J45" s="23"/>
      <c r="K45" s="23" t="s">
        <v>145</v>
      </c>
      <c r="L45" s="23" t="s">
        <v>146</v>
      </c>
      <c r="M45" s="23"/>
      <c r="N45" s="23">
        <v>467</v>
      </c>
      <c r="O45" s="23" t="s">
        <v>72</v>
      </c>
      <c r="P45" s="23"/>
      <c r="Q45" s="23"/>
      <c r="R45" s="23"/>
      <c r="S45" s="23" t="s">
        <v>88</v>
      </c>
      <c r="T45" s="23"/>
      <c r="U45" s="23"/>
      <c r="V45" s="23"/>
      <c r="W45" s="23"/>
      <c r="X45" s="23"/>
      <c r="Y45" s="29">
        <v>61.09</v>
      </c>
      <c r="Z45" s="29">
        <v>63.7</v>
      </c>
      <c r="AA45" s="29">
        <v>0</v>
      </c>
      <c r="AB45" s="29">
        <v>9</v>
      </c>
      <c r="AC45" s="29">
        <v>273</v>
      </c>
      <c r="AD45" s="29">
        <v>320</v>
      </c>
      <c r="AE45" s="29">
        <v>1</v>
      </c>
      <c r="AF45" s="29">
        <v>9</v>
      </c>
      <c r="AG45" s="29" t="s">
        <v>75</v>
      </c>
      <c r="AH45" s="29">
        <v>0</v>
      </c>
      <c r="AI45" s="29">
        <v>5.45</v>
      </c>
      <c r="AJ45" s="29">
        <v>71</v>
      </c>
      <c r="AK45" s="29">
        <v>120</v>
      </c>
      <c r="AL45" s="29">
        <v>80</v>
      </c>
      <c r="AM45" s="29">
        <v>6.5</v>
      </c>
      <c r="AN45" s="29">
        <v>13</v>
      </c>
      <c r="AO45" s="29" t="s">
        <v>76</v>
      </c>
      <c r="AP45" s="29" t="s">
        <v>68</v>
      </c>
      <c r="AQ45" s="30">
        <v>20</v>
      </c>
      <c r="AR45" s="30">
        <v>0</v>
      </c>
      <c r="AS45" s="30">
        <v>0</v>
      </c>
      <c r="AT45" s="30">
        <v>1</v>
      </c>
      <c r="AU45" s="30" t="s">
        <v>100</v>
      </c>
      <c r="AV45" s="31"/>
      <c r="AW45" s="31" t="s">
        <v>83</v>
      </c>
      <c r="AX45" s="31"/>
      <c r="AY45" s="32">
        <v>38</v>
      </c>
      <c r="AZ45" s="32" t="s">
        <v>70</v>
      </c>
    </row>
    <row r="46" spans="1:53" s="32" customFormat="1" x14ac:dyDescent="0.3">
      <c r="A46" s="16" t="s">
        <v>147</v>
      </c>
      <c r="B46" s="17">
        <v>43181</v>
      </c>
      <c r="C46" s="16" t="s">
        <v>193</v>
      </c>
      <c r="D46" s="16">
        <v>13854</v>
      </c>
      <c r="E46" s="19"/>
      <c r="F46" s="19">
        <v>18</v>
      </c>
      <c r="G46" s="16" t="s">
        <v>191</v>
      </c>
      <c r="H46" s="16"/>
      <c r="I46" s="16">
        <v>8028932</v>
      </c>
      <c r="J46" s="16" t="s">
        <v>194</v>
      </c>
      <c r="K46" s="16" t="s">
        <v>145</v>
      </c>
      <c r="L46" s="16" t="s">
        <v>146</v>
      </c>
      <c r="M46" s="16">
        <v>373</v>
      </c>
      <c r="N46" s="16">
        <v>373</v>
      </c>
      <c r="O46" s="16" t="s">
        <v>72</v>
      </c>
      <c r="P46" s="16">
        <v>3</v>
      </c>
      <c r="Q46" s="16" t="s">
        <v>61</v>
      </c>
      <c r="R46" s="16">
        <v>3</v>
      </c>
      <c r="S46" s="16"/>
      <c r="T46" s="16">
        <v>2</v>
      </c>
      <c r="U46" s="16">
        <v>125</v>
      </c>
      <c r="V46" s="16"/>
      <c r="W46" s="16">
        <v>3.5</v>
      </c>
      <c r="X46" s="16">
        <v>1</v>
      </c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</row>
    <row r="47" spans="1:53" s="32" customFormat="1" x14ac:dyDescent="0.3">
      <c r="A47" s="8" t="s">
        <v>72</v>
      </c>
      <c r="B47" s="9">
        <v>43220</v>
      </c>
      <c r="C47" s="10">
        <v>0.46458333333333335</v>
      </c>
      <c r="D47" s="8">
        <v>13854</v>
      </c>
      <c r="E47" s="11"/>
      <c r="F47" s="11">
        <v>18</v>
      </c>
      <c r="G47" s="8" t="s">
        <v>191</v>
      </c>
      <c r="H47" s="8"/>
      <c r="I47" s="8">
        <v>8028932</v>
      </c>
      <c r="J47" s="8"/>
      <c r="K47" s="8" t="s">
        <v>145</v>
      </c>
      <c r="L47" s="8" t="s">
        <v>146</v>
      </c>
      <c r="M47" s="8">
        <v>420</v>
      </c>
      <c r="N47" s="13">
        <v>420</v>
      </c>
      <c r="O47" s="8" t="s">
        <v>72</v>
      </c>
      <c r="P47" s="8"/>
      <c r="Q47" s="8"/>
      <c r="R47" s="8"/>
      <c r="S47" s="8"/>
      <c r="T47" s="8"/>
      <c r="U47" s="8"/>
      <c r="V47" s="8"/>
      <c r="W47" s="8">
        <v>2.75</v>
      </c>
      <c r="X47" s="8">
        <v>1</v>
      </c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</row>
    <row r="48" spans="1:53" s="32" customFormat="1" x14ac:dyDescent="0.3">
      <c r="A48" s="8" t="s">
        <v>154</v>
      </c>
      <c r="B48" s="9">
        <v>43250</v>
      </c>
      <c r="C48" s="10">
        <v>0.45694444444444443</v>
      </c>
      <c r="D48" s="8">
        <v>13854</v>
      </c>
      <c r="E48" s="11"/>
      <c r="F48" s="11">
        <v>18</v>
      </c>
      <c r="G48" s="8" t="s">
        <v>191</v>
      </c>
      <c r="H48" s="8"/>
      <c r="I48" s="8">
        <v>8028932</v>
      </c>
      <c r="J48" s="8"/>
      <c r="K48" s="8" t="s">
        <v>145</v>
      </c>
      <c r="L48" s="8" t="s">
        <v>146</v>
      </c>
      <c r="M48" s="8">
        <v>455</v>
      </c>
      <c r="N48" s="8"/>
      <c r="O48" s="8" t="s">
        <v>72</v>
      </c>
      <c r="P48" s="8"/>
      <c r="Q48" s="8"/>
      <c r="R48" s="8"/>
      <c r="S48" s="8"/>
      <c r="T48" s="8"/>
      <c r="U48" s="8">
        <v>124</v>
      </c>
      <c r="V48" s="8"/>
      <c r="W48" s="8">
        <v>4</v>
      </c>
      <c r="X48" s="8">
        <v>1</v>
      </c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</row>
    <row r="49" spans="1:53" s="20" customFormat="1" x14ac:dyDescent="0.3">
      <c r="A49" s="23" t="s">
        <v>142</v>
      </c>
      <c r="B49" s="24">
        <v>43256</v>
      </c>
      <c r="C49" s="25">
        <v>0.28900462962962964</v>
      </c>
      <c r="D49" s="23">
        <v>13855</v>
      </c>
      <c r="E49" s="26">
        <v>444</v>
      </c>
      <c r="F49" s="27">
        <v>19</v>
      </c>
      <c r="G49" s="23" t="s">
        <v>195</v>
      </c>
      <c r="H49" s="28" t="s">
        <v>196</v>
      </c>
      <c r="I49" s="23">
        <v>8028770</v>
      </c>
      <c r="J49" s="23"/>
      <c r="K49" s="23" t="s">
        <v>145</v>
      </c>
      <c r="L49" s="23" t="s">
        <v>146</v>
      </c>
      <c r="M49" s="23"/>
      <c r="N49" s="23">
        <v>488</v>
      </c>
      <c r="O49" s="23" t="s">
        <v>72</v>
      </c>
      <c r="P49" s="23"/>
      <c r="Q49" s="23"/>
      <c r="R49" s="23"/>
      <c r="S49" s="23" t="s">
        <v>88</v>
      </c>
      <c r="T49" s="23"/>
      <c r="U49" s="23"/>
      <c r="V49" s="23"/>
      <c r="W49" s="23"/>
      <c r="X49" s="23"/>
      <c r="Y49" s="29">
        <v>56.95</v>
      </c>
      <c r="Z49" s="29">
        <v>59.56</v>
      </c>
      <c r="AA49" s="29">
        <v>0</v>
      </c>
      <c r="AB49" s="29">
        <v>3</v>
      </c>
      <c r="AC49" s="29">
        <v>310.89999999999998</v>
      </c>
      <c r="AD49" s="29">
        <v>190</v>
      </c>
      <c r="AE49" s="29">
        <v>0</v>
      </c>
      <c r="AF49" s="29">
        <v>3</v>
      </c>
      <c r="AG49" s="29" t="s">
        <v>67</v>
      </c>
      <c r="AH49" s="29">
        <v>1</v>
      </c>
      <c r="AI49" s="29">
        <v>5.38</v>
      </c>
      <c r="AJ49" s="29">
        <v>108</v>
      </c>
      <c r="AK49" s="29">
        <v>130</v>
      </c>
      <c r="AL49" s="29">
        <v>90</v>
      </c>
      <c r="AM49" s="29">
        <v>7</v>
      </c>
      <c r="AN49" s="29">
        <v>13</v>
      </c>
      <c r="AO49" s="29" t="s">
        <v>76</v>
      </c>
      <c r="AP49" s="29" t="s">
        <v>68</v>
      </c>
      <c r="AQ49" s="30">
        <v>103</v>
      </c>
      <c r="AR49" s="30">
        <v>0</v>
      </c>
      <c r="AS49" s="30">
        <v>0</v>
      </c>
      <c r="AT49" s="30">
        <v>0</v>
      </c>
      <c r="AU49" s="30"/>
      <c r="AV49" s="31"/>
      <c r="AW49" s="31" t="s">
        <v>70</v>
      </c>
      <c r="AX49" s="31"/>
      <c r="AY49" s="32">
        <v>78</v>
      </c>
      <c r="AZ49" s="32" t="s">
        <v>70</v>
      </c>
      <c r="BA49" s="32"/>
    </row>
    <row r="50" spans="1:53" x14ac:dyDescent="0.3">
      <c r="A50" s="16" t="s">
        <v>147</v>
      </c>
      <c r="B50" s="17">
        <v>43181</v>
      </c>
      <c r="C50" s="16" t="s">
        <v>197</v>
      </c>
      <c r="D50" s="16">
        <v>13855</v>
      </c>
      <c r="E50" s="19"/>
      <c r="F50" s="19">
        <v>19</v>
      </c>
      <c r="G50" s="16" t="s">
        <v>195</v>
      </c>
      <c r="H50" s="16"/>
      <c r="I50" s="16">
        <v>8028770</v>
      </c>
      <c r="J50" s="16" t="s">
        <v>198</v>
      </c>
      <c r="K50" s="16" t="s">
        <v>145</v>
      </c>
      <c r="L50" s="16" t="s">
        <v>146</v>
      </c>
      <c r="M50" s="16">
        <v>377</v>
      </c>
      <c r="N50" s="16">
        <v>377</v>
      </c>
      <c r="O50" s="16" t="s">
        <v>72</v>
      </c>
      <c r="P50" s="16">
        <v>1</v>
      </c>
      <c r="Q50" s="16" t="s">
        <v>63</v>
      </c>
      <c r="R50" s="16">
        <v>14</v>
      </c>
      <c r="S50" s="16"/>
      <c r="T50" s="16">
        <v>1</v>
      </c>
      <c r="U50" s="16">
        <v>131</v>
      </c>
      <c r="V50" s="16"/>
      <c r="W50" s="16">
        <v>2.5</v>
      </c>
      <c r="X50" s="16">
        <v>1</v>
      </c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</row>
    <row r="51" spans="1:53" x14ac:dyDescent="0.3">
      <c r="A51" s="8" t="s">
        <v>72</v>
      </c>
      <c r="B51" s="9">
        <v>43220</v>
      </c>
      <c r="C51" s="10">
        <v>0.49583333333333335</v>
      </c>
      <c r="D51" s="8">
        <v>13855</v>
      </c>
      <c r="E51" s="11"/>
      <c r="F51" s="11">
        <v>19</v>
      </c>
      <c r="G51" s="8" t="s">
        <v>195</v>
      </c>
      <c r="H51" s="8"/>
      <c r="I51" s="8">
        <v>8028770</v>
      </c>
      <c r="J51" s="8"/>
      <c r="K51" s="8" t="s">
        <v>145</v>
      </c>
      <c r="L51" s="8" t="s">
        <v>146</v>
      </c>
      <c r="M51" s="8">
        <v>445</v>
      </c>
      <c r="N51" s="13">
        <v>445</v>
      </c>
      <c r="O51" s="8" t="s">
        <v>72</v>
      </c>
      <c r="P51" s="8"/>
      <c r="Q51" s="8"/>
      <c r="R51" s="8"/>
      <c r="S51" s="8"/>
      <c r="T51" s="8"/>
      <c r="U51" s="8"/>
      <c r="V51" s="8">
        <v>1</v>
      </c>
      <c r="W51" s="8">
        <v>3.25</v>
      </c>
      <c r="X51" s="8">
        <v>2</v>
      </c>
    </row>
    <row r="52" spans="1:53" x14ac:dyDescent="0.3">
      <c r="A52" s="8" t="s">
        <v>154</v>
      </c>
      <c r="B52" s="9">
        <v>43250</v>
      </c>
      <c r="C52" s="10">
        <v>0.59375</v>
      </c>
      <c r="D52" s="8">
        <v>13855</v>
      </c>
      <c r="E52" s="11"/>
      <c r="F52" s="11">
        <v>19</v>
      </c>
      <c r="G52" s="8" t="s">
        <v>195</v>
      </c>
      <c r="H52" s="8"/>
      <c r="I52" s="8">
        <v>8028770</v>
      </c>
      <c r="J52" s="8"/>
      <c r="K52" s="8" t="s">
        <v>145</v>
      </c>
      <c r="L52" s="8" t="s">
        <v>146</v>
      </c>
      <c r="M52" s="8">
        <v>475</v>
      </c>
      <c r="N52" s="8"/>
      <c r="O52" s="8" t="s">
        <v>72</v>
      </c>
      <c r="P52" s="8"/>
      <c r="Q52" s="8"/>
      <c r="R52" s="8"/>
      <c r="S52" s="8"/>
      <c r="T52" s="8"/>
      <c r="U52" s="8">
        <v>131</v>
      </c>
      <c r="V52" s="8"/>
      <c r="W52" s="8">
        <v>4</v>
      </c>
      <c r="X52" s="8">
        <v>2</v>
      </c>
    </row>
    <row r="53" spans="1:53" x14ac:dyDescent="0.3">
      <c r="A53" s="23" t="s">
        <v>142</v>
      </c>
      <c r="B53" s="24">
        <v>43256</v>
      </c>
      <c r="C53" s="25">
        <v>0.29846064814814816</v>
      </c>
      <c r="D53" s="23">
        <v>13860</v>
      </c>
      <c r="E53" s="26">
        <v>480</v>
      </c>
      <c r="F53" s="27">
        <v>23</v>
      </c>
      <c r="G53" s="23" t="s">
        <v>199</v>
      </c>
      <c r="H53" s="28" t="s">
        <v>200</v>
      </c>
      <c r="I53" s="23">
        <v>8026739</v>
      </c>
      <c r="J53" s="23"/>
      <c r="K53" s="23" t="s">
        <v>145</v>
      </c>
      <c r="L53" s="23" t="s">
        <v>146</v>
      </c>
      <c r="M53" s="23"/>
      <c r="N53" s="23">
        <v>479</v>
      </c>
      <c r="O53" s="23" t="s">
        <v>72</v>
      </c>
      <c r="P53" s="23"/>
      <c r="Q53" s="23"/>
      <c r="R53" s="23"/>
      <c r="S53" s="23" t="s">
        <v>64</v>
      </c>
      <c r="T53" s="23"/>
      <c r="U53" s="23"/>
      <c r="V53" s="23"/>
      <c r="W53" s="23"/>
      <c r="X53" s="23"/>
      <c r="Y53" s="29">
        <v>58.79</v>
      </c>
      <c r="Z53" s="29">
        <v>61.4</v>
      </c>
      <c r="AA53" s="29">
        <v>0</v>
      </c>
      <c r="AB53" s="29">
        <v>7</v>
      </c>
      <c r="AC53" s="29">
        <v>263.89999999999998</v>
      </c>
      <c r="AD53" s="29">
        <v>300</v>
      </c>
      <c r="AE53" s="29">
        <v>1</v>
      </c>
      <c r="AF53" s="29">
        <v>7</v>
      </c>
      <c r="AG53" s="29" t="s">
        <v>75</v>
      </c>
      <c r="AH53" s="29">
        <v>0</v>
      </c>
      <c r="AI53" s="29">
        <v>5.43</v>
      </c>
      <c r="AJ53" s="29">
        <v>70</v>
      </c>
      <c r="AK53" s="29">
        <v>130</v>
      </c>
      <c r="AL53" s="29">
        <v>85</v>
      </c>
      <c r="AM53" s="29">
        <v>7</v>
      </c>
      <c r="AN53" s="29">
        <v>13</v>
      </c>
      <c r="AO53" s="29" t="s">
        <v>76</v>
      </c>
      <c r="AP53" s="29" t="s">
        <v>68</v>
      </c>
      <c r="AQ53" s="30">
        <v>7</v>
      </c>
      <c r="AR53" s="30" t="s">
        <v>105</v>
      </c>
      <c r="AS53" s="30">
        <v>0</v>
      </c>
      <c r="AT53" s="30">
        <v>0</v>
      </c>
      <c r="AU53" s="30"/>
      <c r="AV53" s="31"/>
      <c r="AW53" s="31" t="s">
        <v>106</v>
      </c>
      <c r="AX53" s="31"/>
      <c r="AY53" s="32">
        <v>100</v>
      </c>
      <c r="AZ53" s="32" t="s">
        <v>70</v>
      </c>
      <c r="BA53" s="32"/>
    </row>
    <row r="54" spans="1:53" x14ac:dyDescent="0.3">
      <c r="A54" s="16" t="s">
        <v>147</v>
      </c>
      <c r="B54" s="17">
        <v>43181</v>
      </c>
      <c r="C54" s="16" t="s">
        <v>201</v>
      </c>
      <c r="D54" s="16">
        <v>13860</v>
      </c>
      <c r="E54" s="19"/>
      <c r="F54" s="19">
        <v>23</v>
      </c>
      <c r="G54" s="16" t="s">
        <v>199</v>
      </c>
      <c r="H54" s="16"/>
      <c r="I54" s="16">
        <v>8026739</v>
      </c>
      <c r="J54" s="16" t="s">
        <v>202</v>
      </c>
      <c r="K54" s="16" t="s">
        <v>145</v>
      </c>
      <c r="L54" s="16" t="s">
        <v>146</v>
      </c>
      <c r="M54" s="16">
        <v>373</v>
      </c>
      <c r="N54" s="16">
        <v>373</v>
      </c>
      <c r="O54" s="16" t="s">
        <v>72</v>
      </c>
      <c r="P54" s="16">
        <v>3</v>
      </c>
      <c r="Q54" s="16" t="s">
        <v>87</v>
      </c>
      <c r="R54" s="16">
        <v>10</v>
      </c>
      <c r="S54" s="16"/>
      <c r="T54" s="16">
        <v>1</v>
      </c>
      <c r="U54" s="16">
        <v>122</v>
      </c>
      <c r="V54" s="16"/>
      <c r="W54" s="16">
        <v>2.25</v>
      </c>
      <c r="X54" s="16">
        <v>1</v>
      </c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</row>
    <row r="55" spans="1:53" x14ac:dyDescent="0.3">
      <c r="A55" s="8" t="s">
        <v>72</v>
      </c>
      <c r="B55" s="9">
        <v>43220</v>
      </c>
      <c r="C55" s="10">
        <v>0.53055555555555556</v>
      </c>
      <c r="D55" s="8">
        <v>13860</v>
      </c>
      <c r="E55" s="11"/>
      <c r="F55" s="11">
        <v>23</v>
      </c>
      <c r="G55" s="8" t="s">
        <v>199</v>
      </c>
      <c r="H55" s="8"/>
      <c r="I55" s="8">
        <v>8026739</v>
      </c>
      <c r="J55" s="8"/>
      <c r="K55" s="8" t="s">
        <v>145</v>
      </c>
      <c r="L55" s="8" t="s">
        <v>146</v>
      </c>
      <c r="M55" s="8">
        <v>406</v>
      </c>
      <c r="N55" s="13">
        <v>406</v>
      </c>
      <c r="O55" s="8" t="s">
        <v>72</v>
      </c>
      <c r="P55" s="8"/>
      <c r="Q55" s="8"/>
      <c r="R55" s="8"/>
      <c r="S55" s="8"/>
      <c r="T55" s="8"/>
      <c r="U55" s="8"/>
      <c r="V55" s="8">
        <v>3</v>
      </c>
      <c r="W55" s="8">
        <v>3.5</v>
      </c>
      <c r="X55" s="8">
        <v>0</v>
      </c>
    </row>
    <row r="56" spans="1:53" x14ac:dyDescent="0.3">
      <c r="A56" s="8" t="s">
        <v>154</v>
      </c>
      <c r="B56" s="9">
        <v>43250</v>
      </c>
      <c r="C56" s="10">
        <v>0.57222222222222219</v>
      </c>
      <c r="D56" s="8">
        <v>13860</v>
      </c>
      <c r="E56" s="11"/>
      <c r="F56" s="11">
        <v>23</v>
      </c>
      <c r="G56" s="8" t="s">
        <v>199</v>
      </c>
      <c r="H56" s="8"/>
      <c r="I56" s="8">
        <v>8026739</v>
      </c>
      <c r="J56" s="8"/>
      <c r="K56" s="8" t="s">
        <v>145</v>
      </c>
      <c r="L56" s="8" t="s">
        <v>146</v>
      </c>
      <c r="M56" s="8">
        <v>469</v>
      </c>
      <c r="N56" s="8"/>
      <c r="O56" s="8" t="s">
        <v>72</v>
      </c>
      <c r="P56" s="8"/>
      <c r="Q56" s="8"/>
      <c r="R56" s="8"/>
      <c r="S56" s="8"/>
      <c r="T56" s="8"/>
      <c r="U56" s="8">
        <v>135</v>
      </c>
      <c r="V56" s="8"/>
      <c r="W56" s="8">
        <v>4</v>
      </c>
      <c r="X56" s="8">
        <v>1</v>
      </c>
    </row>
    <row r="57" spans="1:53" x14ac:dyDescent="0.3">
      <c r="A57" s="23" t="s">
        <v>142</v>
      </c>
      <c r="B57" s="24">
        <v>43256</v>
      </c>
      <c r="C57" s="25">
        <v>0.32571759259259259</v>
      </c>
      <c r="D57" s="23">
        <v>13861</v>
      </c>
      <c r="E57" s="26">
        <v>508</v>
      </c>
      <c r="F57" s="27">
        <v>24</v>
      </c>
      <c r="G57" s="23" t="s">
        <v>203</v>
      </c>
      <c r="H57" s="28" t="s">
        <v>204</v>
      </c>
      <c r="I57" s="23">
        <v>8032195</v>
      </c>
      <c r="J57" s="23"/>
      <c r="K57" s="23" t="s">
        <v>145</v>
      </c>
      <c r="L57" s="23" t="s">
        <v>146</v>
      </c>
      <c r="M57" s="23"/>
      <c r="N57" s="23">
        <v>498</v>
      </c>
      <c r="O57" s="23" t="s">
        <v>72</v>
      </c>
      <c r="P57" s="23"/>
      <c r="Q57" s="23"/>
      <c r="R57" s="23"/>
      <c r="S57" s="23" t="s">
        <v>64</v>
      </c>
      <c r="T57" s="23"/>
      <c r="U57" s="23"/>
      <c r="V57" s="23"/>
      <c r="W57" s="23"/>
      <c r="X57" s="23"/>
      <c r="Y57" s="29">
        <v>61.21</v>
      </c>
      <c r="Z57" s="29">
        <v>63.82</v>
      </c>
      <c r="AA57" s="29">
        <v>0</v>
      </c>
      <c r="AB57" s="29">
        <v>5</v>
      </c>
      <c r="AC57" s="29">
        <v>281.3</v>
      </c>
      <c r="AD57" s="29">
        <v>350</v>
      </c>
      <c r="AE57" s="29">
        <v>1</v>
      </c>
      <c r="AF57" s="29">
        <v>5</v>
      </c>
      <c r="AG57" s="29" t="s">
        <v>75</v>
      </c>
      <c r="AH57" s="29">
        <v>0</v>
      </c>
      <c r="AI57" s="29">
        <v>5.37</v>
      </c>
      <c r="AJ57" s="29">
        <v>84</v>
      </c>
      <c r="AK57" s="29">
        <v>120</v>
      </c>
      <c r="AL57" s="29">
        <v>85</v>
      </c>
      <c r="AM57" s="29">
        <v>7.2</v>
      </c>
      <c r="AN57" s="29">
        <v>13</v>
      </c>
      <c r="AO57" s="29" t="s">
        <v>76</v>
      </c>
      <c r="AP57" s="29" t="s">
        <v>68</v>
      </c>
      <c r="AQ57" s="30">
        <v>35</v>
      </c>
      <c r="AR57" s="30">
        <v>0</v>
      </c>
      <c r="AS57" s="30">
        <v>0</v>
      </c>
      <c r="AT57" s="30">
        <v>0</v>
      </c>
      <c r="AU57" s="30"/>
      <c r="AV57" s="31" t="s">
        <v>108</v>
      </c>
      <c r="AW57" s="31" t="s">
        <v>83</v>
      </c>
      <c r="AX57" s="31"/>
      <c r="AY57" s="32">
        <v>76</v>
      </c>
      <c r="AZ57" s="32" t="s">
        <v>70</v>
      </c>
      <c r="BA57" s="32"/>
    </row>
    <row r="58" spans="1:53" x14ac:dyDescent="0.3">
      <c r="A58" s="16" t="s">
        <v>147</v>
      </c>
      <c r="B58" s="17">
        <v>43181</v>
      </c>
      <c r="C58" s="16" t="s">
        <v>205</v>
      </c>
      <c r="D58" s="16">
        <v>13861</v>
      </c>
      <c r="E58" s="19"/>
      <c r="F58" s="19">
        <v>24</v>
      </c>
      <c r="G58" s="16" t="s">
        <v>203</v>
      </c>
      <c r="H58" s="16"/>
      <c r="I58" s="16">
        <v>8032195</v>
      </c>
      <c r="J58" s="16" t="s">
        <v>206</v>
      </c>
      <c r="K58" s="16" t="s">
        <v>145</v>
      </c>
      <c r="L58" s="16" t="s">
        <v>146</v>
      </c>
      <c r="M58" s="16">
        <v>394</v>
      </c>
      <c r="N58" s="16">
        <v>394</v>
      </c>
      <c r="O58" s="16" t="s">
        <v>72</v>
      </c>
      <c r="P58" s="16">
        <v>1</v>
      </c>
      <c r="Q58" s="16" t="s">
        <v>87</v>
      </c>
      <c r="R58" s="16">
        <v>10</v>
      </c>
      <c r="S58" s="16"/>
      <c r="T58" s="16">
        <v>3</v>
      </c>
      <c r="U58" s="16">
        <v>130</v>
      </c>
      <c r="V58" s="16"/>
      <c r="W58" s="16">
        <v>2.75</v>
      </c>
      <c r="X58" s="16">
        <v>1</v>
      </c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</row>
    <row r="59" spans="1:53" x14ac:dyDescent="0.3">
      <c r="A59" s="8" t="s">
        <v>72</v>
      </c>
      <c r="B59" s="9">
        <v>43220</v>
      </c>
      <c r="C59" s="10">
        <v>0.46875</v>
      </c>
      <c r="D59" s="8">
        <v>13861</v>
      </c>
      <c r="E59" s="11"/>
      <c r="F59" s="11">
        <v>24</v>
      </c>
      <c r="G59" s="8" t="s">
        <v>203</v>
      </c>
      <c r="H59" s="8"/>
      <c r="I59" s="8">
        <v>8032195</v>
      </c>
      <c r="J59" s="8"/>
      <c r="K59" s="8" t="s">
        <v>145</v>
      </c>
      <c r="L59" s="8" t="s">
        <v>146</v>
      </c>
      <c r="M59" s="8">
        <v>447</v>
      </c>
      <c r="N59" s="13">
        <v>447</v>
      </c>
      <c r="O59" s="8" t="s">
        <v>72</v>
      </c>
      <c r="P59" s="8"/>
      <c r="Q59" s="8"/>
      <c r="R59" s="8"/>
      <c r="S59" s="8"/>
      <c r="T59" s="8"/>
      <c r="U59" s="8"/>
      <c r="V59" s="8">
        <v>2</v>
      </c>
      <c r="W59" s="8">
        <v>3</v>
      </c>
      <c r="X59" s="8">
        <v>1</v>
      </c>
    </row>
    <row r="60" spans="1:53" x14ac:dyDescent="0.3">
      <c r="A60" s="8" t="s">
        <v>154</v>
      </c>
      <c r="B60" s="9">
        <v>43250</v>
      </c>
      <c r="C60" s="10">
        <v>0.50763888888888886</v>
      </c>
      <c r="D60" s="8">
        <v>13861</v>
      </c>
      <c r="E60" s="11"/>
      <c r="F60" s="11">
        <v>24</v>
      </c>
      <c r="G60" s="8" t="s">
        <v>203</v>
      </c>
      <c r="H60" s="8"/>
      <c r="I60" s="8">
        <v>8032195</v>
      </c>
      <c r="J60" s="8"/>
      <c r="K60" s="8" t="s">
        <v>145</v>
      </c>
      <c r="L60" s="8" t="s">
        <v>146</v>
      </c>
      <c r="M60" s="8">
        <v>484</v>
      </c>
      <c r="N60" s="8"/>
      <c r="O60" s="8" t="s">
        <v>72</v>
      </c>
      <c r="P60" s="8"/>
      <c r="Q60" s="8"/>
      <c r="R60" s="8"/>
      <c r="S60" s="8"/>
      <c r="T60" s="8"/>
      <c r="U60" s="8">
        <v>136</v>
      </c>
      <c r="V60" s="8"/>
      <c r="W60" s="8">
        <v>4.5</v>
      </c>
      <c r="X60" s="8">
        <v>2</v>
      </c>
    </row>
    <row r="61" spans="1:53" x14ac:dyDescent="0.3">
      <c r="A61" s="23" t="s">
        <v>142</v>
      </c>
      <c r="B61" s="24">
        <v>43256</v>
      </c>
      <c r="C61" s="25">
        <v>0.29211805555555553</v>
      </c>
      <c r="D61" s="23">
        <v>13862</v>
      </c>
      <c r="E61" s="26">
        <v>448</v>
      </c>
      <c r="F61" s="27">
        <v>25</v>
      </c>
      <c r="G61" s="23" t="s">
        <v>207</v>
      </c>
      <c r="H61" s="28" t="s">
        <v>208</v>
      </c>
      <c r="I61" s="23">
        <v>8032360</v>
      </c>
      <c r="J61" s="23"/>
      <c r="K61" s="23" t="s">
        <v>145</v>
      </c>
      <c r="L61" s="23" t="s">
        <v>146</v>
      </c>
      <c r="M61" s="23"/>
      <c r="N61" s="23">
        <v>546</v>
      </c>
      <c r="O61" s="23" t="s">
        <v>72</v>
      </c>
      <c r="P61" s="23"/>
      <c r="Q61" s="23"/>
      <c r="R61" s="23"/>
      <c r="S61" s="23" t="s">
        <v>73</v>
      </c>
      <c r="T61" s="23"/>
      <c r="U61" s="23"/>
      <c r="V61" s="23"/>
      <c r="W61" s="23"/>
      <c r="X61" s="23"/>
      <c r="Y61" s="29">
        <v>56.74</v>
      </c>
      <c r="Z61" s="29">
        <v>59.35</v>
      </c>
      <c r="AA61" s="29">
        <v>0</v>
      </c>
      <c r="AB61" s="29">
        <v>8</v>
      </c>
      <c r="AC61" s="29">
        <v>270.60000000000002</v>
      </c>
      <c r="AD61" s="29">
        <v>230</v>
      </c>
      <c r="AE61" s="29">
        <v>0</v>
      </c>
      <c r="AF61" s="29">
        <v>9</v>
      </c>
      <c r="AG61" s="29" t="s">
        <v>67</v>
      </c>
      <c r="AH61" s="29">
        <v>1</v>
      </c>
      <c r="AI61" s="29">
        <v>5.39</v>
      </c>
      <c r="AJ61" s="29">
        <v>69</v>
      </c>
      <c r="AK61" s="29">
        <v>130</v>
      </c>
      <c r="AL61" s="29">
        <v>95</v>
      </c>
      <c r="AM61" s="29">
        <v>7</v>
      </c>
      <c r="AN61" s="29">
        <v>13</v>
      </c>
      <c r="AO61" s="29" t="s">
        <v>76</v>
      </c>
      <c r="AP61" s="29" t="s">
        <v>68</v>
      </c>
      <c r="AQ61" s="30">
        <v>102</v>
      </c>
      <c r="AR61" s="30">
        <v>0</v>
      </c>
      <c r="AS61" s="30">
        <v>0</v>
      </c>
      <c r="AT61" s="30">
        <v>0</v>
      </c>
      <c r="AU61" s="30"/>
      <c r="AV61" s="31"/>
      <c r="AW61" s="31" t="s">
        <v>70</v>
      </c>
      <c r="AX61" s="31"/>
      <c r="AY61" s="32">
        <v>47</v>
      </c>
      <c r="AZ61" s="32" t="s">
        <v>70</v>
      </c>
      <c r="BA61" s="32"/>
    </row>
    <row r="62" spans="1:53" x14ac:dyDescent="0.3">
      <c r="A62" s="16" t="s">
        <v>147</v>
      </c>
      <c r="B62" s="17">
        <v>43181</v>
      </c>
      <c r="C62" s="16" t="s">
        <v>209</v>
      </c>
      <c r="D62" s="16">
        <v>13862</v>
      </c>
      <c r="E62" s="19"/>
      <c r="F62" s="19">
        <v>25</v>
      </c>
      <c r="G62" s="16" t="s">
        <v>207</v>
      </c>
      <c r="H62" s="16"/>
      <c r="I62" s="16">
        <v>8032360</v>
      </c>
      <c r="J62" s="16" t="s">
        <v>210</v>
      </c>
      <c r="K62" s="16" t="s">
        <v>145</v>
      </c>
      <c r="L62" s="16" t="s">
        <v>146</v>
      </c>
      <c r="M62" s="16">
        <v>386</v>
      </c>
      <c r="N62" s="16">
        <v>386</v>
      </c>
      <c r="O62" s="16" t="s">
        <v>72</v>
      </c>
      <c r="P62" s="16">
        <v>1</v>
      </c>
      <c r="Q62" s="16" t="s">
        <v>61</v>
      </c>
      <c r="R62" s="16">
        <v>3</v>
      </c>
      <c r="S62" s="16"/>
      <c r="T62" s="16">
        <v>5</v>
      </c>
      <c r="U62" s="16">
        <v>137</v>
      </c>
      <c r="V62" s="16"/>
      <c r="W62" s="16">
        <v>3.75</v>
      </c>
      <c r="X62" s="16">
        <v>2</v>
      </c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</row>
    <row r="63" spans="1:53" x14ac:dyDescent="0.3">
      <c r="A63" s="8" t="s">
        <v>72</v>
      </c>
      <c r="B63" s="9">
        <v>43220</v>
      </c>
      <c r="C63" s="10">
        <v>0.54722222222222217</v>
      </c>
      <c r="D63" s="8">
        <v>13862</v>
      </c>
      <c r="E63" s="11"/>
      <c r="F63" s="11">
        <v>25</v>
      </c>
      <c r="G63" s="8" t="s">
        <v>207</v>
      </c>
      <c r="H63" s="8"/>
      <c r="I63" s="8">
        <v>8032360</v>
      </c>
      <c r="J63" s="8"/>
      <c r="K63" s="8" t="s">
        <v>145</v>
      </c>
      <c r="L63" s="8" t="s">
        <v>146</v>
      </c>
      <c r="M63" s="8">
        <v>472</v>
      </c>
      <c r="N63" s="13">
        <v>472</v>
      </c>
      <c r="O63" s="8" t="s">
        <v>72</v>
      </c>
      <c r="P63" s="8"/>
      <c r="Q63" s="8"/>
      <c r="R63" s="8"/>
      <c r="S63" s="8"/>
      <c r="T63" s="8"/>
      <c r="U63" s="8"/>
      <c r="V63" s="8"/>
      <c r="W63" s="8">
        <v>3.5</v>
      </c>
      <c r="X63" s="8">
        <v>0</v>
      </c>
    </row>
    <row r="64" spans="1:53" x14ac:dyDescent="0.3">
      <c r="A64" s="8" t="s">
        <v>154</v>
      </c>
      <c r="B64" s="9">
        <v>43250</v>
      </c>
      <c r="C64" s="10">
        <v>0.62291666666666667</v>
      </c>
      <c r="D64" s="8">
        <v>13862</v>
      </c>
      <c r="E64" s="11"/>
      <c r="F64" s="11">
        <v>25</v>
      </c>
      <c r="G64" s="8" t="s">
        <v>207</v>
      </c>
      <c r="H64" s="8"/>
      <c r="I64" s="8">
        <v>8032360</v>
      </c>
      <c r="J64" s="8"/>
      <c r="K64" s="8" t="s">
        <v>145</v>
      </c>
      <c r="L64" s="8" t="s">
        <v>146</v>
      </c>
      <c r="M64" s="8">
        <v>534</v>
      </c>
      <c r="N64" s="8"/>
      <c r="O64" s="8" t="s">
        <v>72</v>
      </c>
      <c r="P64" s="8"/>
      <c r="Q64" s="8"/>
      <c r="R64" s="8"/>
      <c r="S64" s="8"/>
      <c r="T64" s="8"/>
      <c r="U64" s="8">
        <v>132</v>
      </c>
      <c r="V64" s="8"/>
      <c r="W64" s="8">
        <v>4.5</v>
      </c>
      <c r="X64" s="8">
        <v>2</v>
      </c>
    </row>
    <row r="65" spans="1:53" x14ac:dyDescent="0.3">
      <c r="A65" s="23" t="s">
        <v>142</v>
      </c>
      <c r="B65" s="24">
        <v>43256</v>
      </c>
      <c r="C65" s="25">
        <v>0.32542824074074073</v>
      </c>
      <c r="D65" s="23">
        <v>13864</v>
      </c>
      <c r="E65" s="26">
        <v>505</v>
      </c>
      <c r="F65" s="27">
        <v>27</v>
      </c>
      <c r="G65" s="23" t="s">
        <v>211</v>
      </c>
      <c r="H65" s="28" t="s">
        <v>212</v>
      </c>
      <c r="I65" s="23">
        <v>8027187</v>
      </c>
      <c r="J65" s="23"/>
      <c r="K65" s="23" t="s">
        <v>145</v>
      </c>
      <c r="L65" s="23" t="s">
        <v>146</v>
      </c>
      <c r="M65" s="23"/>
      <c r="N65" s="23">
        <v>503</v>
      </c>
      <c r="O65" s="23" t="s">
        <v>72</v>
      </c>
      <c r="P65" s="23"/>
      <c r="Q65" s="23"/>
      <c r="R65" s="23"/>
      <c r="S65" s="23" t="s">
        <v>64</v>
      </c>
      <c r="T65" s="23"/>
      <c r="U65" s="23"/>
      <c r="V65" s="23"/>
      <c r="W65" s="23"/>
      <c r="X65" s="23"/>
      <c r="Y65" s="29">
        <v>58.82</v>
      </c>
      <c r="Z65" s="29">
        <v>61.43</v>
      </c>
      <c r="AA65" s="29">
        <v>0</v>
      </c>
      <c r="AB65" s="29">
        <v>15</v>
      </c>
      <c r="AC65" s="29">
        <v>276.2</v>
      </c>
      <c r="AD65" s="29">
        <v>370</v>
      </c>
      <c r="AE65" s="29">
        <v>1</v>
      </c>
      <c r="AF65" s="29">
        <v>10</v>
      </c>
      <c r="AG65" s="29" t="s">
        <v>75</v>
      </c>
      <c r="AH65" s="29">
        <v>0</v>
      </c>
      <c r="AI65" s="29">
        <v>5.4</v>
      </c>
      <c r="AJ65" s="29">
        <v>79</v>
      </c>
      <c r="AK65" s="29">
        <v>160</v>
      </c>
      <c r="AL65" s="29">
        <v>85</v>
      </c>
      <c r="AM65" s="29">
        <v>7.6</v>
      </c>
      <c r="AN65" s="29">
        <v>13</v>
      </c>
      <c r="AO65" s="29" t="s">
        <v>76</v>
      </c>
      <c r="AP65" s="29" t="s">
        <v>68</v>
      </c>
      <c r="AQ65" s="30">
        <v>60</v>
      </c>
      <c r="AR65" s="30">
        <v>0</v>
      </c>
      <c r="AS65" s="30">
        <v>0</v>
      </c>
      <c r="AT65" s="30">
        <v>0</v>
      </c>
      <c r="AU65" s="30"/>
      <c r="AV65" s="31"/>
      <c r="AW65" s="31" t="s">
        <v>70</v>
      </c>
      <c r="AX65" s="31"/>
      <c r="AY65" s="32">
        <v>50</v>
      </c>
      <c r="AZ65" s="32" t="s">
        <v>70</v>
      </c>
      <c r="BA65" s="32"/>
    </row>
    <row r="66" spans="1:53" x14ac:dyDescent="0.3">
      <c r="A66" s="16" t="s">
        <v>147</v>
      </c>
      <c r="B66" s="17">
        <v>43181</v>
      </c>
      <c r="C66" s="16" t="s">
        <v>213</v>
      </c>
      <c r="D66" s="16">
        <v>13864</v>
      </c>
      <c r="E66" s="19"/>
      <c r="F66" s="19">
        <v>27</v>
      </c>
      <c r="G66" s="16" t="s">
        <v>211</v>
      </c>
      <c r="H66" s="16"/>
      <c r="I66" s="16">
        <v>8027187</v>
      </c>
      <c r="J66" s="16" t="s">
        <v>214</v>
      </c>
      <c r="K66" s="16" t="s">
        <v>145</v>
      </c>
      <c r="L66" s="16" t="s">
        <v>146</v>
      </c>
      <c r="M66" s="16">
        <v>374</v>
      </c>
      <c r="N66" s="16">
        <v>374</v>
      </c>
      <c r="O66" s="16" t="s">
        <v>72</v>
      </c>
      <c r="P66" s="16">
        <v>4</v>
      </c>
      <c r="Q66" s="16" t="s">
        <v>87</v>
      </c>
      <c r="R66" s="16">
        <v>10</v>
      </c>
      <c r="S66" s="16"/>
      <c r="T66" s="16">
        <v>1</v>
      </c>
      <c r="U66" s="16">
        <v>125</v>
      </c>
      <c r="V66" s="16"/>
      <c r="W66" s="16">
        <v>3.25</v>
      </c>
      <c r="X66" s="16">
        <v>1</v>
      </c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</row>
    <row r="67" spans="1:53" x14ac:dyDescent="0.3">
      <c r="A67" s="8" t="s">
        <v>72</v>
      </c>
      <c r="B67" s="9">
        <v>43220</v>
      </c>
      <c r="C67" s="10">
        <v>0.50347222222222221</v>
      </c>
      <c r="D67" s="8">
        <v>13864</v>
      </c>
      <c r="E67" s="11"/>
      <c r="F67" s="11">
        <v>27</v>
      </c>
      <c r="G67" s="8" t="s">
        <v>211</v>
      </c>
      <c r="H67" s="8"/>
      <c r="I67" s="8">
        <v>8027187</v>
      </c>
      <c r="J67" s="8"/>
      <c r="K67" s="8" t="s">
        <v>145</v>
      </c>
      <c r="L67" s="8" t="s">
        <v>146</v>
      </c>
      <c r="M67" s="8">
        <v>439</v>
      </c>
      <c r="N67" s="13">
        <v>442</v>
      </c>
      <c r="O67" s="8" t="s">
        <v>72</v>
      </c>
      <c r="P67" s="8"/>
      <c r="Q67" s="8"/>
      <c r="R67" s="8"/>
      <c r="S67" s="8"/>
      <c r="T67" s="8"/>
      <c r="U67" s="8"/>
      <c r="V67" s="8"/>
      <c r="W67" s="8">
        <v>3.25</v>
      </c>
      <c r="X67" s="8">
        <v>1</v>
      </c>
    </row>
    <row r="68" spans="1:53" x14ac:dyDescent="0.3">
      <c r="A68" s="8" t="s">
        <v>154</v>
      </c>
      <c r="B68" s="9">
        <v>43250</v>
      </c>
      <c r="C68" s="10">
        <v>0.5493055555555556</v>
      </c>
      <c r="D68" s="8">
        <v>13864</v>
      </c>
      <c r="E68" s="11"/>
      <c r="F68" s="11">
        <v>27</v>
      </c>
      <c r="G68" s="8" t="s">
        <v>211</v>
      </c>
      <c r="H68" s="8"/>
      <c r="I68" s="8">
        <v>8027187</v>
      </c>
      <c r="J68" s="8"/>
      <c r="K68" s="8" t="s">
        <v>145</v>
      </c>
      <c r="L68" s="8" t="s">
        <v>146</v>
      </c>
      <c r="M68" s="8">
        <v>489</v>
      </c>
      <c r="N68" s="8"/>
      <c r="O68" s="8" t="s">
        <v>72</v>
      </c>
      <c r="P68" s="8"/>
      <c r="Q68" s="8"/>
      <c r="R68" s="8"/>
      <c r="S68" s="8"/>
      <c r="T68" s="8"/>
      <c r="U68" s="8">
        <v>136</v>
      </c>
      <c r="V68" s="8"/>
      <c r="W68" s="8">
        <v>4</v>
      </c>
      <c r="X68" s="8">
        <v>2</v>
      </c>
    </row>
    <row r="69" spans="1:53" x14ac:dyDescent="0.3">
      <c r="A69" s="23" t="s">
        <v>142</v>
      </c>
      <c r="B69" s="24">
        <v>43256</v>
      </c>
      <c r="C69" s="25">
        <v>0.32719907407407406</v>
      </c>
      <c r="D69" s="23">
        <v>13866</v>
      </c>
      <c r="E69" s="26">
        <v>507</v>
      </c>
      <c r="F69" s="27">
        <v>29</v>
      </c>
      <c r="G69" s="23" t="s">
        <v>215</v>
      </c>
      <c r="H69" s="28" t="s">
        <v>216</v>
      </c>
      <c r="I69" s="23">
        <v>8032239</v>
      </c>
      <c r="J69" s="23"/>
      <c r="K69" s="23" t="s">
        <v>145</v>
      </c>
      <c r="L69" s="23" t="s">
        <v>146</v>
      </c>
      <c r="M69" s="23"/>
      <c r="N69" s="23">
        <v>524</v>
      </c>
      <c r="O69" s="23" t="s">
        <v>72</v>
      </c>
      <c r="P69" s="23"/>
      <c r="Q69" s="23"/>
      <c r="R69" s="23"/>
      <c r="S69" s="23" t="s">
        <v>88</v>
      </c>
      <c r="T69" s="23"/>
      <c r="U69" s="23"/>
      <c r="V69" s="23"/>
      <c r="W69" s="23"/>
      <c r="X69" s="23"/>
      <c r="Y69" s="29">
        <v>60.18</v>
      </c>
      <c r="Z69" s="29">
        <v>62.79</v>
      </c>
      <c r="AA69" s="29">
        <v>0</v>
      </c>
      <c r="AB69" s="29">
        <v>9</v>
      </c>
      <c r="AC69" s="29">
        <v>246</v>
      </c>
      <c r="AD69" s="29">
        <v>360</v>
      </c>
      <c r="AE69" s="29">
        <v>1</v>
      </c>
      <c r="AF69" s="29">
        <v>9</v>
      </c>
      <c r="AG69" s="29" t="s">
        <v>75</v>
      </c>
      <c r="AH69" s="29">
        <v>0</v>
      </c>
      <c r="AI69" s="29">
        <v>5.4</v>
      </c>
      <c r="AJ69" s="29">
        <v>73</v>
      </c>
      <c r="AK69" s="29">
        <v>120</v>
      </c>
      <c r="AL69" s="29">
        <v>95</v>
      </c>
      <c r="AM69" s="29">
        <v>6.8</v>
      </c>
      <c r="AN69" s="29">
        <v>13</v>
      </c>
      <c r="AO69" s="29" t="s">
        <v>76</v>
      </c>
      <c r="AP69" s="29" t="s">
        <v>68</v>
      </c>
      <c r="AQ69" s="30">
        <v>87</v>
      </c>
      <c r="AR69" s="30">
        <v>0</v>
      </c>
      <c r="AS69" s="30">
        <v>0</v>
      </c>
      <c r="AT69" s="30">
        <v>0</v>
      </c>
      <c r="AU69" s="30"/>
      <c r="AV69" s="31"/>
      <c r="AW69" s="31" t="s">
        <v>70</v>
      </c>
      <c r="AX69" s="31"/>
      <c r="AY69" s="32">
        <v>30</v>
      </c>
      <c r="AZ69" s="32" t="s">
        <v>70</v>
      </c>
      <c r="BA69" s="32"/>
    </row>
    <row r="70" spans="1:53" x14ac:dyDescent="0.3">
      <c r="A70" s="16" t="s">
        <v>147</v>
      </c>
      <c r="B70" s="17">
        <v>43181</v>
      </c>
      <c r="C70" s="16" t="s">
        <v>217</v>
      </c>
      <c r="D70" s="16">
        <v>13866</v>
      </c>
      <c r="E70" s="19"/>
      <c r="F70" s="19">
        <v>29</v>
      </c>
      <c r="G70" s="16" t="s">
        <v>215</v>
      </c>
      <c r="H70" s="16"/>
      <c r="I70" s="16">
        <v>8032239</v>
      </c>
      <c r="J70" s="16" t="s">
        <v>218</v>
      </c>
      <c r="K70" s="16" t="s">
        <v>145</v>
      </c>
      <c r="L70" s="16" t="s">
        <v>146</v>
      </c>
      <c r="M70" s="16">
        <v>414</v>
      </c>
      <c r="N70" s="16">
        <v>414</v>
      </c>
      <c r="O70" s="16" t="s">
        <v>72</v>
      </c>
      <c r="P70" s="16">
        <v>1</v>
      </c>
      <c r="Q70" s="16" t="s">
        <v>109</v>
      </c>
      <c r="R70" s="16">
        <v>7</v>
      </c>
      <c r="S70" s="16"/>
      <c r="T70" s="16">
        <v>2</v>
      </c>
      <c r="U70" s="16">
        <v>119</v>
      </c>
      <c r="V70" s="16"/>
      <c r="W70" s="16">
        <v>3.5</v>
      </c>
      <c r="X70" s="16">
        <v>1</v>
      </c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</row>
    <row r="71" spans="1:53" x14ac:dyDescent="0.3">
      <c r="A71" s="8" t="s">
        <v>72</v>
      </c>
      <c r="B71" s="9">
        <v>43220</v>
      </c>
      <c r="C71" s="10">
        <v>0.55972222222222223</v>
      </c>
      <c r="D71" s="8">
        <v>13866</v>
      </c>
      <c r="E71" s="11"/>
      <c r="F71" s="11">
        <v>29</v>
      </c>
      <c r="G71" s="8" t="s">
        <v>215</v>
      </c>
      <c r="H71" s="8"/>
      <c r="I71" s="8">
        <v>8032239</v>
      </c>
      <c r="J71" s="8"/>
      <c r="K71" s="8" t="s">
        <v>145</v>
      </c>
      <c r="L71" s="8" t="s">
        <v>146</v>
      </c>
      <c r="M71" s="8">
        <v>456</v>
      </c>
      <c r="N71" s="13">
        <v>456</v>
      </c>
      <c r="O71" s="8" t="s">
        <v>72</v>
      </c>
      <c r="P71" s="8"/>
      <c r="Q71" s="8"/>
      <c r="R71" s="8"/>
      <c r="S71" s="8"/>
      <c r="T71" s="8"/>
      <c r="U71" s="8"/>
      <c r="V71" s="8">
        <v>2</v>
      </c>
      <c r="W71" s="8">
        <v>4</v>
      </c>
      <c r="X71" s="8">
        <v>1</v>
      </c>
    </row>
    <row r="72" spans="1:53" x14ac:dyDescent="0.3">
      <c r="A72" s="8" t="s">
        <v>154</v>
      </c>
      <c r="B72" s="9">
        <v>43250</v>
      </c>
      <c r="C72" s="10">
        <v>0.46249999999999997</v>
      </c>
      <c r="D72" s="8">
        <v>13866</v>
      </c>
      <c r="E72" s="11"/>
      <c r="F72" s="11">
        <v>29</v>
      </c>
      <c r="G72" s="8" t="s">
        <v>215</v>
      </c>
      <c r="H72" s="8"/>
      <c r="I72" s="8">
        <v>8032239</v>
      </c>
      <c r="J72" s="8"/>
      <c r="K72" s="8" t="s">
        <v>145</v>
      </c>
      <c r="L72" s="8" t="s">
        <v>146</v>
      </c>
      <c r="M72" s="8">
        <v>510</v>
      </c>
      <c r="N72" s="8"/>
      <c r="O72" s="8" t="s">
        <v>72</v>
      </c>
      <c r="P72" s="8"/>
      <c r="Q72" s="8"/>
      <c r="R72" s="8"/>
      <c r="S72" s="8"/>
      <c r="T72" s="8"/>
      <c r="U72" s="8">
        <v>133</v>
      </c>
      <c r="V72" s="8"/>
      <c r="W72" s="8">
        <v>4</v>
      </c>
      <c r="X72" s="8">
        <v>2</v>
      </c>
    </row>
    <row r="73" spans="1:53" x14ac:dyDescent="0.3">
      <c r="A73" s="23" t="s">
        <v>142</v>
      </c>
      <c r="B73" s="24">
        <v>43256</v>
      </c>
      <c r="C73" s="25">
        <v>0.32526620370370368</v>
      </c>
      <c r="D73" s="23">
        <v>13868</v>
      </c>
      <c r="E73" s="26">
        <v>519</v>
      </c>
      <c r="F73" s="27">
        <v>30</v>
      </c>
      <c r="G73" s="23" t="s">
        <v>219</v>
      </c>
      <c r="H73" s="28" t="s">
        <v>220</v>
      </c>
      <c r="I73" s="23">
        <v>8026962</v>
      </c>
      <c r="J73" s="23"/>
      <c r="K73" s="23" t="s">
        <v>145</v>
      </c>
      <c r="L73" s="23" t="s">
        <v>146</v>
      </c>
      <c r="M73" s="23"/>
      <c r="N73" s="23">
        <v>501</v>
      </c>
      <c r="O73" s="23" t="s">
        <v>72</v>
      </c>
      <c r="P73" s="23"/>
      <c r="Q73" s="23"/>
      <c r="R73" s="23"/>
      <c r="S73" s="23" t="s">
        <v>64</v>
      </c>
      <c r="T73" s="23"/>
      <c r="U73" s="23"/>
      <c r="V73" s="23"/>
      <c r="W73" s="23"/>
      <c r="X73" s="23"/>
      <c r="Y73" s="29">
        <v>54</v>
      </c>
      <c r="Z73" s="29">
        <v>56.61</v>
      </c>
      <c r="AA73" s="29">
        <v>0</v>
      </c>
      <c r="AB73" s="29">
        <v>8</v>
      </c>
      <c r="AC73" s="29">
        <v>246</v>
      </c>
      <c r="AD73" s="29">
        <v>350</v>
      </c>
      <c r="AE73" s="29">
        <v>1</v>
      </c>
      <c r="AF73" s="29">
        <v>6</v>
      </c>
      <c r="AG73" s="29" t="s">
        <v>75</v>
      </c>
      <c r="AH73" s="29">
        <v>0</v>
      </c>
      <c r="AI73" s="29">
        <v>5.5</v>
      </c>
      <c r="AJ73" s="29">
        <v>60</v>
      </c>
      <c r="AK73" s="29">
        <v>190</v>
      </c>
      <c r="AL73" s="29">
        <v>95</v>
      </c>
      <c r="AM73" s="29">
        <v>9.1</v>
      </c>
      <c r="AN73" s="29">
        <v>13</v>
      </c>
      <c r="AO73" s="29" t="s">
        <v>101</v>
      </c>
      <c r="AP73" s="29" t="s">
        <v>68</v>
      </c>
      <c r="AQ73" s="32"/>
      <c r="AR73" s="32"/>
      <c r="AS73" s="32"/>
      <c r="AT73" s="32"/>
      <c r="AU73" s="32"/>
      <c r="AV73" s="32"/>
      <c r="AW73" s="32"/>
      <c r="AX73" s="32"/>
      <c r="AY73" s="32">
        <v>10</v>
      </c>
      <c r="AZ73" s="32" t="s">
        <v>83</v>
      </c>
      <c r="BA73" s="32"/>
    </row>
    <row r="74" spans="1:53" x14ac:dyDescent="0.3">
      <c r="A74" s="16" t="s">
        <v>147</v>
      </c>
      <c r="B74" s="17">
        <v>43181</v>
      </c>
      <c r="C74" s="16" t="s">
        <v>221</v>
      </c>
      <c r="D74" s="16">
        <v>13868</v>
      </c>
      <c r="E74" s="19"/>
      <c r="F74" s="19">
        <v>30</v>
      </c>
      <c r="G74" s="16" t="s">
        <v>219</v>
      </c>
      <c r="H74" s="16"/>
      <c r="I74" s="16">
        <v>8026962</v>
      </c>
      <c r="J74" s="16" t="s">
        <v>222</v>
      </c>
      <c r="K74" s="16" t="s">
        <v>145</v>
      </c>
      <c r="L74" s="16" t="s">
        <v>146</v>
      </c>
      <c r="M74" s="16">
        <v>391</v>
      </c>
      <c r="N74" s="16">
        <v>391</v>
      </c>
      <c r="O74" s="16" t="s">
        <v>72</v>
      </c>
      <c r="P74" s="16">
        <v>1</v>
      </c>
      <c r="Q74" s="16" t="s">
        <v>95</v>
      </c>
      <c r="R74" s="16">
        <v>12</v>
      </c>
      <c r="S74" s="16"/>
      <c r="T74" s="16">
        <v>2</v>
      </c>
      <c r="U74" s="16">
        <v>126</v>
      </c>
      <c r="V74" s="16"/>
      <c r="W74" s="16">
        <v>3.75</v>
      </c>
      <c r="X74" s="16">
        <v>1</v>
      </c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</row>
    <row r="75" spans="1:53" x14ac:dyDescent="0.3">
      <c r="A75" s="8" t="s">
        <v>72</v>
      </c>
      <c r="B75" s="9">
        <v>43220</v>
      </c>
      <c r="C75" s="10">
        <v>0.53680555555555554</v>
      </c>
      <c r="D75" s="8">
        <v>13868</v>
      </c>
      <c r="E75" s="11"/>
      <c r="F75" s="11">
        <v>30</v>
      </c>
      <c r="G75" s="8" t="s">
        <v>219</v>
      </c>
      <c r="H75" s="8"/>
      <c r="I75" s="8">
        <v>8026962</v>
      </c>
      <c r="J75" s="8"/>
      <c r="K75" s="8" t="s">
        <v>145</v>
      </c>
      <c r="L75" s="8" t="s">
        <v>146</v>
      </c>
      <c r="M75" s="8">
        <v>446</v>
      </c>
      <c r="N75" s="13">
        <v>446</v>
      </c>
      <c r="O75" s="8" t="s">
        <v>72</v>
      </c>
      <c r="P75" s="8"/>
      <c r="Q75" s="8"/>
      <c r="R75" s="8"/>
      <c r="S75" s="8"/>
      <c r="T75" s="8"/>
      <c r="U75" s="8"/>
      <c r="V75" s="8"/>
      <c r="W75" s="8">
        <v>3.25</v>
      </c>
      <c r="X75" s="8">
        <v>0</v>
      </c>
    </row>
    <row r="76" spans="1:53" x14ac:dyDescent="0.3">
      <c r="A76" s="8" t="s">
        <v>154</v>
      </c>
      <c r="B76" s="9">
        <v>43250</v>
      </c>
      <c r="C76" s="10">
        <v>0.54305555555555551</v>
      </c>
      <c r="D76" s="8">
        <v>13868</v>
      </c>
      <c r="E76" s="11"/>
      <c r="F76" s="11">
        <v>30</v>
      </c>
      <c r="G76" s="8" t="s">
        <v>219</v>
      </c>
      <c r="H76" s="8"/>
      <c r="I76" s="8">
        <v>8026962</v>
      </c>
      <c r="J76" s="8"/>
      <c r="K76" s="8" t="s">
        <v>145</v>
      </c>
      <c r="L76" s="8" t="s">
        <v>146</v>
      </c>
      <c r="M76" s="8">
        <v>487</v>
      </c>
      <c r="N76" s="8"/>
      <c r="O76" s="8" t="s">
        <v>72</v>
      </c>
      <c r="P76" s="8"/>
      <c r="Q76" s="8"/>
      <c r="R76" s="8"/>
      <c r="S76" s="8"/>
      <c r="T76" s="8"/>
      <c r="U76" s="8">
        <v>135</v>
      </c>
      <c r="V76" s="8"/>
      <c r="W76" s="8">
        <v>4</v>
      </c>
      <c r="X76" s="8">
        <v>1</v>
      </c>
    </row>
    <row r="77" spans="1:53" x14ac:dyDescent="0.3">
      <c r="A77" s="23" t="s">
        <v>142</v>
      </c>
      <c r="B77" s="24">
        <v>43256</v>
      </c>
      <c r="C77" s="25">
        <v>0.29263888888888889</v>
      </c>
      <c r="D77" s="23">
        <v>13872</v>
      </c>
      <c r="E77" s="26">
        <v>462</v>
      </c>
      <c r="F77" s="27">
        <v>32</v>
      </c>
      <c r="G77" s="23" t="s">
        <v>223</v>
      </c>
      <c r="H77" s="28" t="s">
        <v>224</v>
      </c>
      <c r="I77" s="23">
        <v>8032157</v>
      </c>
      <c r="J77" s="23"/>
      <c r="K77" s="23" t="s">
        <v>145</v>
      </c>
      <c r="L77" s="23" t="s">
        <v>146</v>
      </c>
      <c r="M77" s="23"/>
      <c r="N77" s="23">
        <v>451</v>
      </c>
      <c r="O77" s="23" t="s">
        <v>72</v>
      </c>
      <c r="P77" s="23"/>
      <c r="Q77" s="23"/>
      <c r="R77" s="23"/>
      <c r="S77" s="23" t="s">
        <v>88</v>
      </c>
      <c r="T77" s="23"/>
      <c r="U77" s="23"/>
      <c r="V77" s="23"/>
      <c r="W77" s="23"/>
      <c r="X77" s="23"/>
      <c r="Y77" s="29">
        <v>0</v>
      </c>
      <c r="Z77" s="29">
        <v>0</v>
      </c>
      <c r="AA77" s="29">
        <v>0</v>
      </c>
      <c r="AB77" s="29">
        <v>12</v>
      </c>
      <c r="AC77" s="29">
        <v>304.2</v>
      </c>
      <c r="AD77" s="29">
        <v>240</v>
      </c>
      <c r="AE77" s="29">
        <v>0</v>
      </c>
      <c r="AF77" s="29">
        <v>10</v>
      </c>
      <c r="AG77" s="29" t="s">
        <v>101</v>
      </c>
      <c r="AH77" s="29">
        <v>1</v>
      </c>
      <c r="AI77" s="29">
        <v>5.8</v>
      </c>
      <c r="AJ77" s="29">
        <v>87</v>
      </c>
      <c r="AK77" s="29">
        <v>120</v>
      </c>
      <c r="AL77" s="29">
        <v>85</v>
      </c>
      <c r="AM77" s="29">
        <v>7</v>
      </c>
      <c r="AN77" s="29">
        <v>13</v>
      </c>
      <c r="AO77" s="29" t="s">
        <v>76</v>
      </c>
      <c r="AP77" s="29" t="s">
        <v>68</v>
      </c>
      <c r="AQ77" s="30">
        <v>58</v>
      </c>
      <c r="AR77" s="30" t="s">
        <v>105</v>
      </c>
      <c r="AS77" s="30">
        <v>0</v>
      </c>
      <c r="AT77" s="30">
        <v>0</v>
      </c>
      <c r="AU77" s="30"/>
      <c r="AV77" s="31" t="s">
        <v>107</v>
      </c>
      <c r="AW77" s="31" t="s">
        <v>106</v>
      </c>
      <c r="AX77" s="31"/>
      <c r="AY77" s="32">
        <v>82</v>
      </c>
      <c r="AZ77" s="32" t="s">
        <v>70</v>
      </c>
      <c r="BA77" s="32"/>
    </row>
    <row r="78" spans="1:53" x14ac:dyDescent="0.3">
      <c r="A78" s="16" t="s">
        <v>147</v>
      </c>
      <c r="B78" s="17">
        <v>43181</v>
      </c>
      <c r="C78" s="16" t="s">
        <v>225</v>
      </c>
      <c r="D78" s="16">
        <v>13872</v>
      </c>
      <c r="E78" s="19"/>
      <c r="F78" s="19">
        <v>32</v>
      </c>
      <c r="G78" s="16" t="s">
        <v>223</v>
      </c>
      <c r="H78" s="16"/>
      <c r="I78" s="16">
        <v>8032157</v>
      </c>
      <c r="J78" s="16" t="s">
        <v>226</v>
      </c>
      <c r="K78" s="16" t="s">
        <v>145</v>
      </c>
      <c r="L78" s="16" t="s">
        <v>146</v>
      </c>
      <c r="M78" s="16">
        <v>358</v>
      </c>
      <c r="N78" s="16">
        <v>359</v>
      </c>
      <c r="O78" s="16" t="s">
        <v>72</v>
      </c>
      <c r="P78" s="16">
        <v>3</v>
      </c>
      <c r="Q78" s="16" t="s">
        <v>61</v>
      </c>
      <c r="R78" s="16">
        <v>3</v>
      </c>
      <c r="S78" s="16"/>
      <c r="T78" s="16">
        <v>4</v>
      </c>
      <c r="U78" s="16">
        <v>108</v>
      </c>
      <c r="V78" s="16"/>
      <c r="W78" s="16">
        <v>3.5</v>
      </c>
      <c r="X78" s="16">
        <v>1</v>
      </c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</row>
    <row r="79" spans="1:53" x14ac:dyDescent="0.3">
      <c r="A79" s="8" t="s">
        <v>72</v>
      </c>
      <c r="B79" s="9">
        <v>43220</v>
      </c>
      <c r="C79" s="10">
        <v>0.48819444444444443</v>
      </c>
      <c r="D79" s="8">
        <v>13872</v>
      </c>
      <c r="E79" s="11"/>
      <c r="F79" s="11">
        <v>32</v>
      </c>
      <c r="G79" s="8" t="s">
        <v>223</v>
      </c>
      <c r="H79" s="8"/>
      <c r="I79" s="8">
        <v>8032157</v>
      </c>
      <c r="J79" s="8"/>
      <c r="K79" s="8" t="s">
        <v>145</v>
      </c>
      <c r="L79" s="8" t="s">
        <v>146</v>
      </c>
      <c r="M79" s="8">
        <v>401</v>
      </c>
      <c r="N79" s="13">
        <v>401</v>
      </c>
      <c r="O79" s="8" t="s">
        <v>72</v>
      </c>
      <c r="P79" s="8"/>
      <c r="Q79" s="8"/>
      <c r="R79" s="8"/>
      <c r="S79" s="8"/>
      <c r="T79" s="8"/>
      <c r="U79" s="8"/>
      <c r="V79" s="8"/>
      <c r="W79" s="8">
        <v>3.5</v>
      </c>
      <c r="X79" s="8">
        <v>1</v>
      </c>
    </row>
    <row r="80" spans="1:53" x14ac:dyDescent="0.3">
      <c r="A80" s="8" t="s">
        <v>154</v>
      </c>
      <c r="B80" s="9">
        <v>43250</v>
      </c>
      <c r="C80" s="10">
        <v>0.51458333333333328</v>
      </c>
      <c r="D80" s="8">
        <v>13872</v>
      </c>
      <c r="E80" s="11"/>
      <c r="F80" s="11">
        <v>32</v>
      </c>
      <c r="G80" s="8" t="s">
        <v>223</v>
      </c>
      <c r="H80" s="8"/>
      <c r="I80" s="8">
        <v>8032157</v>
      </c>
      <c r="J80" s="8"/>
      <c r="K80" s="8" t="s">
        <v>145</v>
      </c>
      <c r="L80" s="8" t="s">
        <v>146</v>
      </c>
      <c r="M80" s="8">
        <v>440</v>
      </c>
      <c r="N80" s="8"/>
      <c r="O80" s="8" t="s">
        <v>72</v>
      </c>
      <c r="P80" s="8"/>
      <c r="Q80" s="8"/>
      <c r="R80" s="8"/>
      <c r="S80" s="8"/>
      <c r="T80" s="8"/>
      <c r="U80" s="8">
        <v>138</v>
      </c>
      <c r="V80" s="8"/>
      <c r="W80" s="8">
        <v>4.5</v>
      </c>
      <c r="X80" s="8">
        <v>1</v>
      </c>
    </row>
    <row r="81" spans="1:53" x14ac:dyDescent="0.3">
      <c r="A81" s="23" t="s">
        <v>142</v>
      </c>
      <c r="B81" s="24">
        <v>43256</v>
      </c>
      <c r="C81" s="25">
        <v>0.28842592592592592</v>
      </c>
      <c r="D81" s="23">
        <v>13873</v>
      </c>
      <c r="E81" s="26">
        <v>440</v>
      </c>
      <c r="F81" s="27">
        <v>33</v>
      </c>
      <c r="G81" s="23" t="s">
        <v>227</v>
      </c>
      <c r="H81" s="28" t="s">
        <v>228</v>
      </c>
      <c r="I81" s="23">
        <v>8033185</v>
      </c>
      <c r="J81" s="23"/>
      <c r="K81" s="23" t="s">
        <v>145</v>
      </c>
      <c r="L81" s="23" t="s">
        <v>146</v>
      </c>
      <c r="M81" s="23"/>
      <c r="N81" s="23">
        <v>486</v>
      </c>
      <c r="O81" s="23" t="s">
        <v>72</v>
      </c>
      <c r="P81" s="23"/>
      <c r="Q81" s="23"/>
      <c r="R81" s="23"/>
      <c r="S81" s="23" t="s">
        <v>88</v>
      </c>
      <c r="T81" s="23"/>
      <c r="U81" s="23"/>
      <c r="V81" s="23"/>
      <c r="W81" s="23"/>
      <c r="X81" s="23"/>
      <c r="Y81" s="29">
        <v>58</v>
      </c>
      <c r="Z81" s="29">
        <v>60.61</v>
      </c>
      <c r="AA81" s="29">
        <v>0</v>
      </c>
      <c r="AB81" s="29">
        <v>7</v>
      </c>
      <c r="AC81" s="29">
        <v>264</v>
      </c>
      <c r="AD81" s="29">
        <v>330</v>
      </c>
      <c r="AE81" s="29">
        <v>1</v>
      </c>
      <c r="AF81" s="29">
        <v>7</v>
      </c>
      <c r="AG81" s="29" t="s">
        <v>75</v>
      </c>
      <c r="AH81" s="29">
        <v>1</v>
      </c>
      <c r="AI81" s="29">
        <v>5.36</v>
      </c>
      <c r="AJ81" s="29">
        <v>73</v>
      </c>
      <c r="AK81" s="29">
        <v>130</v>
      </c>
      <c r="AL81" s="29">
        <v>95</v>
      </c>
      <c r="AM81" s="29">
        <v>6.8</v>
      </c>
      <c r="AN81" s="29">
        <v>13</v>
      </c>
      <c r="AO81" s="29" t="s">
        <v>76</v>
      </c>
      <c r="AP81" s="29" t="s">
        <v>68</v>
      </c>
      <c r="AQ81" s="30">
        <v>28</v>
      </c>
      <c r="AR81" s="30">
        <v>0</v>
      </c>
      <c r="AS81" s="30">
        <v>0</v>
      </c>
      <c r="AT81" s="30">
        <v>0</v>
      </c>
      <c r="AU81" s="30"/>
      <c r="AV81" s="31"/>
      <c r="AW81" s="31" t="s">
        <v>70</v>
      </c>
      <c r="AX81" s="31"/>
      <c r="AY81" s="32">
        <v>39</v>
      </c>
      <c r="AZ81" s="32" t="s">
        <v>70</v>
      </c>
      <c r="BA81" s="32"/>
    </row>
    <row r="82" spans="1:53" x14ac:dyDescent="0.3">
      <c r="A82" s="16" t="s">
        <v>147</v>
      </c>
      <c r="B82" s="17">
        <v>43181</v>
      </c>
      <c r="C82" s="16" t="s">
        <v>229</v>
      </c>
      <c r="D82" s="16">
        <v>13873</v>
      </c>
      <c r="E82" s="19"/>
      <c r="F82" s="19">
        <v>33</v>
      </c>
      <c r="G82" s="16" t="s">
        <v>227</v>
      </c>
      <c r="H82" s="16"/>
      <c r="I82" s="16">
        <v>8033185</v>
      </c>
      <c r="J82" s="16" t="s">
        <v>230</v>
      </c>
      <c r="K82" s="16" t="s">
        <v>145</v>
      </c>
      <c r="L82" s="16" t="s">
        <v>146</v>
      </c>
      <c r="M82" s="16">
        <v>351</v>
      </c>
      <c r="N82" s="16">
        <v>351</v>
      </c>
      <c r="O82" s="16" t="s">
        <v>72</v>
      </c>
      <c r="P82" s="16">
        <v>1</v>
      </c>
      <c r="Q82" s="16" t="s">
        <v>91</v>
      </c>
      <c r="R82" s="16">
        <v>1</v>
      </c>
      <c r="S82" s="16"/>
      <c r="T82" s="16">
        <v>3</v>
      </c>
      <c r="U82" s="16">
        <v>114</v>
      </c>
      <c r="V82" s="16"/>
      <c r="W82" s="16">
        <v>2.75</v>
      </c>
      <c r="X82" s="16">
        <v>1</v>
      </c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</row>
    <row r="83" spans="1:53" x14ac:dyDescent="0.3">
      <c r="A83" s="8" t="s">
        <v>72</v>
      </c>
      <c r="B83" s="9">
        <v>43220</v>
      </c>
      <c r="C83" s="10">
        <v>0.43958333333333338</v>
      </c>
      <c r="D83" s="8">
        <v>13873</v>
      </c>
      <c r="E83" s="11"/>
      <c r="F83" s="11">
        <v>33</v>
      </c>
      <c r="G83" s="8" t="s">
        <v>227</v>
      </c>
      <c r="H83" s="8"/>
      <c r="I83" s="8">
        <v>8033185</v>
      </c>
      <c r="J83" s="8"/>
      <c r="K83" s="8" t="s">
        <v>145</v>
      </c>
      <c r="L83" s="8" t="s">
        <v>146</v>
      </c>
      <c r="M83" s="8">
        <v>425</v>
      </c>
      <c r="N83" s="13">
        <v>425</v>
      </c>
      <c r="O83" s="8" t="s">
        <v>72</v>
      </c>
      <c r="P83" s="8"/>
      <c r="Q83" s="8"/>
      <c r="R83" s="8"/>
      <c r="S83" s="8"/>
      <c r="T83" s="8"/>
      <c r="U83" s="8"/>
      <c r="V83" s="8"/>
      <c r="W83" s="8">
        <v>4</v>
      </c>
      <c r="X83" s="8">
        <v>0</v>
      </c>
    </row>
    <row r="84" spans="1:53" x14ac:dyDescent="0.3">
      <c r="A84" s="8" t="s">
        <v>154</v>
      </c>
      <c r="B84" s="9">
        <v>43250</v>
      </c>
      <c r="C84" s="10">
        <v>0.54097222222222219</v>
      </c>
      <c r="D84" s="8">
        <v>13873</v>
      </c>
      <c r="E84" s="11"/>
      <c r="F84" s="11">
        <v>33</v>
      </c>
      <c r="G84" s="8" t="s">
        <v>227</v>
      </c>
      <c r="H84" s="8"/>
      <c r="I84" s="8">
        <v>8033185</v>
      </c>
      <c r="J84" s="8"/>
      <c r="K84" s="8" t="s">
        <v>145</v>
      </c>
      <c r="L84" s="8" t="s">
        <v>146</v>
      </c>
      <c r="M84" s="8">
        <v>473</v>
      </c>
      <c r="N84" s="8"/>
      <c r="O84" s="8" t="s">
        <v>72</v>
      </c>
      <c r="P84" s="8"/>
      <c r="Q84" s="8"/>
      <c r="R84" s="8"/>
      <c r="S84" s="8"/>
      <c r="T84" s="8"/>
      <c r="U84" s="8">
        <v>134</v>
      </c>
      <c r="V84" s="8"/>
      <c r="W84" s="8">
        <v>4</v>
      </c>
      <c r="X84" s="8">
        <v>2</v>
      </c>
    </row>
    <row r="85" spans="1:53" x14ac:dyDescent="0.3">
      <c r="A85" s="23" t="s">
        <v>142</v>
      </c>
      <c r="B85" s="24">
        <v>43256</v>
      </c>
      <c r="C85" s="25">
        <v>0.29236111111111113</v>
      </c>
      <c r="D85" s="23">
        <v>13877</v>
      </c>
      <c r="E85" s="26">
        <v>430</v>
      </c>
      <c r="F85" s="27">
        <v>35</v>
      </c>
      <c r="G85" s="23" t="s">
        <v>231</v>
      </c>
      <c r="H85" s="28" t="s">
        <v>232</v>
      </c>
      <c r="I85" s="23">
        <v>8032461</v>
      </c>
      <c r="J85" s="23"/>
      <c r="K85" s="23" t="s">
        <v>233</v>
      </c>
      <c r="L85" s="23" t="s">
        <v>62</v>
      </c>
      <c r="M85" s="23"/>
      <c r="N85" s="23">
        <v>431</v>
      </c>
      <c r="O85" s="23" t="s">
        <v>57</v>
      </c>
      <c r="P85" s="23"/>
      <c r="Q85" s="23"/>
      <c r="R85" s="23"/>
      <c r="S85" s="23" t="s">
        <v>88</v>
      </c>
      <c r="T85" s="23"/>
      <c r="U85" s="23"/>
      <c r="V85" s="23"/>
      <c r="W85" s="23"/>
      <c r="X85" s="23"/>
      <c r="Y85" s="29">
        <v>55.96</v>
      </c>
      <c r="Z85" s="29">
        <v>58.57</v>
      </c>
      <c r="AA85" s="29">
        <v>0</v>
      </c>
      <c r="AB85" s="29">
        <v>6</v>
      </c>
      <c r="AC85" s="29">
        <v>270</v>
      </c>
      <c r="AD85" s="29">
        <v>190</v>
      </c>
      <c r="AE85" s="29">
        <v>0</v>
      </c>
      <c r="AF85" s="29">
        <v>6</v>
      </c>
      <c r="AG85" s="29" t="s">
        <v>75</v>
      </c>
      <c r="AH85" s="29">
        <v>1</v>
      </c>
      <c r="AI85" s="29">
        <v>5.4</v>
      </c>
      <c r="AJ85" s="29">
        <v>69</v>
      </c>
      <c r="AK85" s="29">
        <v>120</v>
      </c>
      <c r="AL85" s="29">
        <v>100</v>
      </c>
      <c r="AM85" s="29">
        <v>7</v>
      </c>
      <c r="AN85" s="29">
        <v>13</v>
      </c>
      <c r="AO85" s="29" t="s">
        <v>76</v>
      </c>
      <c r="AP85" s="29" t="s">
        <v>68</v>
      </c>
      <c r="AQ85" s="30">
        <v>19</v>
      </c>
      <c r="AR85" s="30">
        <v>0</v>
      </c>
      <c r="AS85" s="30">
        <v>0</v>
      </c>
      <c r="AT85" s="30">
        <v>1</v>
      </c>
      <c r="AU85" s="30"/>
      <c r="AV85" s="31"/>
      <c r="AW85" s="31" t="s">
        <v>70</v>
      </c>
      <c r="AX85" s="31"/>
      <c r="AY85" s="32">
        <v>13</v>
      </c>
      <c r="AZ85" s="32" t="s">
        <v>70</v>
      </c>
      <c r="BA85" s="32"/>
    </row>
    <row r="86" spans="1:53" x14ac:dyDescent="0.3">
      <c r="A86" s="16" t="s">
        <v>147</v>
      </c>
      <c r="B86" s="17">
        <v>43181</v>
      </c>
      <c r="C86" s="16" t="s">
        <v>234</v>
      </c>
      <c r="D86" s="16">
        <v>13877</v>
      </c>
      <c r="E86" s="19"/>
      <c r="F86" s="19">
        <v>35</v>
      </c>
      <c r="G86" s="16" t="s">
        <v>231</v>
      </c>
      <c r="H86" s="16"/>
      <c r="I86" s="16">
        <v>8032461</v>
      </c>
      <c r="J86" s="16" t="s">
        <v>235</v>
      </c>
      <c r="K86" s="16" t="s">
        <v>233</v>
      </c>
      <c r="L86" s="16" t="s">
        <v>62</v>
      </c>
      <c r="M86" s="16">
        <v>358</v>
      </c>
      <c r="N86" s="16">
        <v>358</v>
      </c>
      <c r="O86" s="16" t="s">
        <v>57</v>
      </c>
      <c r="P86" s="16">
        <v>1</v>
      </c>
      <c r="Q86" s="16" t="s">
        <v>95</v>
      </c>
      <c r="R86" s="16">
        <v>12</v>
      </c>
      <c r="S86" s="16"/>
      <c r="T86" s="16">
        <v>2</v>
      </c>
      <c r="U86" s="16">
        <v>119</v>
      </c>
      <c r="V86" s="16"/>
      <c r="W86" s="16">
        <v>3.5</v>
      </c>
      <c r="X86" s="16">
        <v>1</v>
      </c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</row>
    <row r="87" spans="1:53" x14ac:dyDescent="0.3">
      <c r="A87" s="8" t="s">
        <v>72</v>
      </c>
      <c r="B87" s="9">
        <v>43220</v>
      </c>
      <c r="C87" s="10">
        <v>0.53541666666666665</v>
      </c>
      <c r="D87" s="8">
        <v>13877</v>
      </c>
      <c r="E87" s="11"/>
      <c r="F87" s="11">
        <v>35</v>
      </c>
      <c r="G87" s="8" t="s">
        <v>231</v>
      </c>
      <c r="H87" s="8"/>
      <c r="I87" s="8">
        <v>8032461</v>
      </c>
      <c r="J87" s="8"/>
      <c r="K87" s="8" t="s">
        <v>233</v>
      </c>
      <c r="L87" s="8" t="s">
        <v>62</v>
      </c>
      <c r="M87" s="8">
        <v>391</v>
      </c>
      <c r="N87" s="13">
        <v>391</v>
      </c>
      <c r="O87" s="8" t="s">
        <v>57</v>
      </c>
      <c r="P87" s="8"/>
      <c r="Q87" s="8"/>
      <c r="R87" s="8"/>
      <c r="S87" s="8"/>
      <c r="T87" s="8"/>
      <c r="U87" s="8"/>
      <c r="V87" s="8"/>
      <c r="W87" s="8">
        <v>3.75</v>
      </c>
      <c r="X87" s="8">
        <v>0</v>
      </c>
    </row>
    <row r="88" spans="1:53" x14ac:dyDescent="0.3">
      <c r="A88" s="8" t="s">
        <v>154</v>
      </c>
      <c r="B88" s="9">
        <v>43250</v>
      </c>
      <c r="C88" s="10">
        <v>0.50624999999999998</v>
      </c>
      <c r="D88" s="8">
        <v>13877</v>
      </c>
      <c r="E88" s="11"/>
      <c r="F88" s="11">
        <v>35</v>
      </c>
      <c r="G88" s="8" t="s">
        <v>231</v>
      </c>
      <c r="H88" s="8"/>
      <c r="I88" s="8">
        <v>8032461</v>
      </c>
      <c r="J88" s="8"/>
      <c r="K88" s="8" t="s">
        <v>233</v>
      </c>
      <c r="L88" s="8" t="s">
        <v>62</v>
      </c>
      <c r="M88" s="8">
        <v>422</v>
      </c>
      <c r="N88" s="8"/>
      <c r="O88" s="8" t="s">
        <v>57</v>
      </c>
      <c r="P88" s="8"/>
      <c r="Q88" s="8"/>
      <c r="R88" s="8"/>
      <c r="S88" s="8"/>
      <c r="T88" s="8"/>
      <c r="U88" s="8">
        <v>127</v>
      </c>
      <c r="V88" s="8"/>
      <c r="W88" s="8">
        <v>4</v>
      </c>
      <c r="X88" s="8">
        <v>2</v>
      </c>
    </row>
    <row r="89" spans="1:53" x14ac:dyDescent="0.3">
      <c r="A89" s="23" t="s">
        <v>142</v>
      </c>
      <c r="B89" s="24">
        <v>43256</v>
      </c>
      <c r="C89" s="25">
        <v>0.306724537037037</v>
      </c>
      <c r="D89" s="23">
        <v>13879</v>
      </c>
      <c r="E89" s="26">
        <v>492</v>
      </c>
      <c r="F89" s="27">
        <v>37</v>
      </c>
      <c r="G89" s="23" t="s">
        <v>236</v>
      </c>
      <c r="H89" s="28" t="s">
        <v>237</v>
      </c>
      <c r="I89" s="23">
        <v>8027772</v>
      </c>
      <c r="J89" s="23"/>
      <c r="K89" s="23" t="s">
        <v>233</v>
      </c>
      <c r="L89" s="23" t="s">
        <v>62</v>
      </c>
      <c r="M89" s="23"/>
      <c r="N89" s="23">
        <v>497</v>
      </c>
      <c r="O89" s="23" t="s">
        <v>57</v>
      </c>
      <c r="P89" s="23"/>
      <c r="Q89" s="23"/>
      <c r="R89" s="23"/>
      <c r="S89" s="23" t="s">
        <v>64</v>
      </c>
      <c r="T89" s="23"/>
      <c r="U89" s="23"/>
      <c r="V89" s="23"/>
      <c r="W89" s="23"/>
      <c r="X89" s="23"/>
      <c r="Y89" s="29">
        <v>57.08</v>
      </c>
      <c r="Z89" s="29">
        <v>59.69</v>
      </c>
      <c r="AA89" s="29">
        <v>0</v>
      </c>
      <c r="AB89" s="29">
        <v>15</v>
      </c>
      <c r="AC89" s="29">
        <v>224.1</v>
      </c>
      <c r="AD89" s="29">
        <v>350</v>
      </c>
      <c r="AE89" s="29">
        <v>1</v>
      </c>
      <c r="AF89" s="29">
        <v>15</v>
      </c>
      <c r="AG89" s="29" t="s">
        <v>75</v>
      </c>
      <c r="AH89" s="29">
        <v>1</v>
      </c>
      <c r="AI89" s="29">
        <v>5.33</v>
      </c>
      <c r="AJ89" s="29">
        <v>66</v>
      </c>
      <c r="AK89" s="29">
        <v>170</v>
      </c>
      <c r="AL89" s="29">
        <v>85</v>
      </c>
      <c r="AM89" s="29">
        <v>7.2</v>
      </c>
      <c r="AN89" s="29">
        <v>13</v>
      </c>
      <c r="AO89" s="29" t="s">
        <v>76</v>
      </c>
      <c r="AP89" s="29" t="s">
        <v>68</v>
      </c>
      <c r="AQ89" s="30">
        <v>13</v>
      </c>
      <c r="AR89" s="30">
        <v>0</v>
      </c>
      <c r="AS89" s="30">
        <v>0</v>
      </c>
      <c r="AT89" s="30">
        <v>0</v>
      </c>
      <c r="AU89" s="30" t="s">
        <v>105</v>
      </c>
      <c r="AV89" s="31" t="s">
        <v>112</v>
      </c>
      <c r="AW89" s="31" t="s">
        <v>83</v>
      </c>
      <c r="AX89" s="31"/>
      <c r="AY89" s="32">
        <v>115</v>
      </c>
      <c r="AZ89" s="32" t="s">
        <v>70</v>
      </c>
      <c r="BA89" s="32"/>
    </row>
    <row r="90" spans="1:53" x14ac:dyDescent="0.3">
      <c r="A90" s="16" t="s">
        <v>147</v>
      </c>
      <c r="B90" s="17">
        <v>43181</v>
      </c>
      <c r="C90" s="16" t="s">
        <v>238</v>
      </c>
      <c r="D90" s="16">
        <v>13879</v>
      </c>
      <c r="E90" s="19"/>
      <c r="F90" s="19">
        <v>37</v>
      </c>
      <c r="G90" s="16" t="s">
        <v>236</v>
      </c>
      <c r="H90" s="16"/>
      <c r="I90" s="16">
        <v>8027772</v>
      </c>
      <c r="J90" s="16" t="s">
        <v>239</v>
      </c>
      <c r="K90" s="16" t="s">
        <v>233</v>
      </c>
      <c r="L90" s="16" t="s">
        <v>62</v>
      </c>
      <c r="M90" s="16">
        <v>386</v>
      </c>
      <c r="N90" s="16">
        <v>386</v>
      </c>
      <c r="O90" s="16" t="s">
        <v>57</v>
      </c>
      <c r="P90" s="16">
        <v>1</v>
      </c>
      <c r="Q90" s="16" t="s">
        <v>95</v>
      </c>
      <c r="R90" s="16">
        <v>12</v>
      </c>
      <c r="S90" s="16"/>
      <c r="T90" s="16">
        <v>2</v>
      </c>
      <c r="U90" s="16">
        <v>118</v>
      </c>
      <c r="V90" s="16"/>
      <c r="W90" s="16">
        <v>4</v>
      </c>
      <c r="X90" s="16">
        <v>2</v>
      </c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</row>
    <row r="91" spans="1:53" x14ac:dyDescent="0.3">
      <c r="A91" s="8" t="s">
        <v>72</v>
      </c>
      <c r="B91" s="9">
        <v>43220</v>
      </c>
      <c r="C91" s="10">
        <v>0.52916666666666667</v>
      </c>
      <c r="D91" s="8">
        <v>13879</v>
      </c>
      <c r="E91" s="11"/>
      <c r="F91" s="11">
        <v>37</v>
      </c>
      <c r="G91" s="8" t="s">
        <v>236</v>
      </c>
      <c r="H91" s="8"/>
      <c r="I91" s="8">
        <v>8027772</v>
      </c>
      <c r="J91" s="8"/>
      <c r="K91" s="8" t="s">
        <v>233</v>
      </c>
      <c r="L91" s="8" t="s">
        <v>62</v>
      </c>
      <c r="M91" s="8">
        <v>445</v>
      </c>
      <c r="N91" s="13">
        <v>445</v>
      </c>
      <c r="O91" s="8" t="s">
        <v>57</v>
      </c>
      <c r="P91" s="8"/>
      <c r="Q91" s="8"/>
      <c r="R91" s="8"/>
      <c r="S91" s="8"/>
      <c r="T91" s="8"/>
      <c r="U91" s="8"/>
      <c r="V91" s="8"/>
      <c r="W91" s="8">
        <v>4</v>
      </c>
      <c r="X91" s="8">
        <v>1</v>
      </c>
    </row>
    <row r="92" spans="1:53" x14ac:dyDescent="0.3">
      <c r="A92" s="8" t="s">
        <v>154</v>
      </c>
      <c r="B92" s="9">
        <v>43250</v>
      </c>
      <c r="C92" s="10">
        <v>0.61041666666666672</v>
      </c>
      <c r="D92" s="8">
        <v>13879</v>
      </c>
      <c r="E92" s="11"/>
      <c r="F92" s="11">
        <v>37</v>
      </c>
      <c r="G92" s="8" t="s">
        <v>236</v>
      </c>
      <c r="H92" s="8"/>
      <c r="I92" s="8">
        <v>8027772</v>
      </c>
      <c r="J92" s="8"/>
      <c r="K92" s="8" t="s">
        <v>233</v>
      </c>
      <c r="L92" s="8" t="s">
        <v>62</v>
      </c>
      <c r="M92" s="8">
        <v>484</v>
      </c>
      <c r="N92" s="8"/>
      <c r="O92" s="8" t="s">
        <v>57</v>
      </c>
      <c r="P92" s="8"/>
      <c r="Q92" s="8"/>
      <c r="R92" s="8"/>
      <c r="S92" s="8"/>
      <c r="T92" s="8"/>
      <c r="U92" s="8">
        <v>128</v>
      </c>
      <c r="V92" s="8"/>
      <c r="W92" s="8">
        <v>4</v>
      </c>
      <c r="X92" s="8">
        <v>2</v>
      </c>
    </row>
    <row r="93" spans="1:53" x14ac:dyDescent="0.3">
      <c r="A93" s="23" t="s">
        <v>142</v>
      </c>
      <c r="B93" s="24">
        <v>43256</v>
      </c>
      <c r="C93" s="25">
        <v>0.2966550925925926</v>
      </c>
      <c r="D93" s="23">
        <v>13880</v>
      </c>
      <c r="E93" s="26">
        <v>491</v>
      </c>
      <c r="F93" s="27">
        <v>38</v>
      </c>
      <c r="G93" s="23" t="s">
        <v>240</v>
      </c>
      <c r="H93" s="28" t="s">
        <v>241</v>
      </c>
      <c r="I93" s="23">
        <v>8026276</v>
      </c>
      <c r="J93" s="23"/>
      <c r="K93" s="23" t="s">
        <v>233</v>
      </c>
      <c r="L93" s="23" t="s">
        <v>62</v>
      </c>
      <c r="M93" s="23"/>
      <c r="N93" s="23">
        <v>478</v>
      </c>
      <c r="O93" s="23" t="s">
        <v>57</v>
      </c>
      <c r="P93" s="23"/>
      <c r="Q93" s="23"/>
      <c r="R93" s="23"/>
      <c r="S93" s="23" t="s">
        <v>64</v>
      </c>
      <c r="T93" s="23"/>
      <c r="U93" s="23"/>
      <c r="V93" s="23"/>
      <c r="W93" s="23"/>
      <c r="X93" s="23"/>
      <c r="Y93" s="29">
        <v>54.81</v>
      </c>
      <c r="Z93" s="29">
        <v>57.42</v>
      </c>
      <c r="AA93" s="29">
        <v>0</v>
      </c>
      <c r="AB93" s="29">
        <v>7</v>
      </c>
      <c r="AC93" s="29">
        <v>255.6</v>
      </c>
      <c r="AD93" s="29">
        <v>200</v>
      </c>
      <c r="AE93" s="29">
        <v>0</v>
      </c>
      <c r="AF93" s="29">
        <v>5</v>
      </c>
      <c r="AG93" s="29" t="s">
        <v>66</v>
      </c>
      <c r="AH93" s="29">
        <v>2</v>
      </c>
      <c r="AI93" s="29">
        <v>5.44</v>
      </c>
      <c r="AJ93" s="29">
        <v>74</v>
      </c>
      <c r="AK93" s="29">
        <v>190</v>
      </c>
      <c r="AL93" s="29">
        <v>70</v>
      </c>
      <c r="AM93" s="29">
        <v>8.3000000000000007</v>
      </c>
      <c r="AN93" s="29">
        <v>13</v>
      </c>
      <c r="AO93" s="29" t="s">
        <v>67</v>
      </c>
      <c r="AP93" s="29" t="s">
        <v>68</v>
      </c>
      <c r="AQ93" s="30">
        <v>50</v>
      </c>
      <c r="AR93" s="30">
        <v>0</v>
      </c>
      <c r="AS93" s="30">
        <v>0</v>
      </c>
      <c r="AT93" s="30">
        <v>0</v>
      </c>
      <c r="AU93" s="30"/>
      <c r="AV93" s="31" t="s">
        <v>69</v>
      </c>
      <c r="AW93" s="31" t="s">
        <v>70</v>
      </c>
      <c r="AX93" s="31"/>
      <c r="AY93" s="32">
        <v>51</v>
      </c>
      <c r="AZ93" s="32" t="s">
        <v>70</v>
      </c>
      <c r="BA93" s="32"/>
    </row>
    <row r="94" spans="1:53" x14ac:dyDescent="0.3">
      <c r="A94" s="16" t="s">
        <v>147</v>
      </c>
      <c r="B94" s="17">
        <v>43181</v>
      </c>
      <c r="C94" s="16" t="s">
        <v>242</v>
      </c>
      <c r="D94" s="16">
        <v>13880</v>
      </c>
      <c r="E94" s="19"/>
      <c r="F94" s="19">
        <v>38</v>
      </c>
      <c r="G94" s="16" t="s">
        <v>240</v>
      </c>
      <c r="H94" s="16"/>
      <c r="I94" s="16">
        <v>8026276</v>
      </c>
      <c r="J94" s="16" t="s">
        <v>243</v>
      </c>
      <c r="K94" s="16" t="s">
        <v>233</v>
      </c>
      <c r="L94" s="16" t="s">
        <v>62</v>
      </c>
      <c r="M94" s="16">
        <v>417</v>
      </c>
      <c r="N94" s="16">
        <v>412</v>
      </c>
      <c r="O94" s="16" t="s">
        <v>57</v>
      </c>
      <c r="P94" s="16">
        <v>2</v>
      </c>
      <c r="Q94" s="16" t="s">
        <v>71</v>
      </c>
      <c r="R94" s="16">
        <v>4</v>
      </c>
      <c r="S94" s="16"/>
      <c r="T94" s="16">
        <v>3</v>
      </c>
      <c r="U94" s="16">
        <v>118</v>
      </c>
      <c r="V94" s="16"/>
      <c r="W94" s="16">
        <v>3.5</v>
      </c>
      <c r="X94" s="16">
        <v>1</v>
      </c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</row>
    <row r="95" spans="1:53" x14ac:dyDescent="0.3">
      <c r="A95" s="8" t="s">
        <v>72</v>
      </c>
      <c r="B95" s="9">
        <v>43220</v>
      </c>
      <c r="C95" s="10">
        <v>0.5395833333333333</v>
      </c>
      <c r="D95" s="8">
        <v>13880</v>
      </c>
      <c r="E95" s="11"/>
      <c r="F95" s="11">
        <v>38</v>
      </c>
      <c r="G95" s="8" t="s">
        <v>240</v>
      </c>
      <c r="H95" s="8"/>
      <c r="I95" s="8">
        <v>8026276</v>
      </c>
      <c r="J95" s="8"/>
      <c r="K95" s="8" t="s">
        <v>233</v>
      </c>
      <c r="L95" s="8" t="s">
        <v>62</v>
      </c>
      <c r="M95" s="8">
        <v>422</v>
      </c>
      <c r="N95" s="13">
        <v>422</v>
      </c>
      <c r="O95" s="8" t="s">
        <v>57</v>
      </c>
      <c r="P95" s="8"/>
      <c r="Q95" s="8"/>
      <c r="R95" s="8"/>
      <c r="S95" s="8"/>
      <c r="T95" s="8"/>
      <c r="U95" s="8"/>
      <c r="V95" s="8"/>
      <c r="W95" s="8">
        <v>3.5</v>
      </c>
      <c r="X95" s="8">
        <v>0</v>
      </c>
    </row>
    <row r="96" spans="1:53" x14ac:dyDescent="0.3">
      <c r="A96" s="8" t="s">
        <v>154</v>
      </c>
      <c r="B96" s="9">
        <v>43250</v>
      </c>
      <c r="C96" s="10">
        <v>0.59722222222222221</v>
      </c>
      <c r="D96" s="8">
        <v>13880</v>
      </c>
      <c r="E96" s="11"/>
      <c r="F96" s="11">
        <v>38</v>
      </c>
      <c r="G96" s="8" t="s">
        <v>240</v>
      </c>
      <c r="H96" s="8"/>
      <c r="I96" s="8">
        <v>8026276</v>
      </c>
      <c r="J96" s="8"/>
      <c r="K96" s="8" t="s">
        <v>233</v>
      </c>
      <c r="L96" s="8" t="s">
        <v>62</v>
      </c>
      <c r="M96" s="8">
        <v>466</v>
      </c>
      <c r="N96" s="8"/>
      <c r="O96" s="8" t="s">
        <v>57</v>
      </c>
      <c r="P96" s="8"/>
      <c r="Q96" s="8"/>
      <c r="R96" s="8"/>
      <c r="S96" s="8"/>
      <c r="T96" s="8"/>
      <c r="U96" s="8">
        <v>133</v>
      </c>
      <c r="V96" s="8"/>
      <c r="W96" s="8">
        <v>4</v>
      </c>
      <c r="X96" s="8">
        <v>1</v>
      </c>
    </row>
    <row r="97" spans="1:53" x14ac:dyDescent="0.3">
      <c r="A97" s="23" t="s">
        <v>142</v>
      </c>
      <c r="B97" s="24">
        <v>43256</v>
      </c>
      <c r="C97" s="25">
        <v>0.29900462962962965</v>
      </c>
      <c r="D97" s="23">
        <v>13882</v>
      </c>
      <c r="E97" s="26">
        <v>467</v>
      </c>
      <c r="F97" s="27">
        <v>40</v>
      </c>
      <c r="G97" s="23" t="s">
        <v>244</v>
      </c>
      <c r="H97" s="28" t="s">
        <v>245</v>
      </c>
      <c r="I97" s="23">
        <v>8032139</v>
      </c>
      <c r="J97" s="23"/>
      <c r="K97" s="23" t="s">
        <v>233</v>
      </c>
      <c r="L97" s="23" t="s">
        <v>62</v>
      </c>
      <c r="M97" s="23"/>
      <c r="N97" s="23">
        <v>407</v>
      </c>
      <c r="O97" s="23" t="s">
        <v>57</v>
      </c>
      <c r="P97" s="23"/>
      <c r="Q97" s="23"/>
      <c r="R97" s="23"/>
      <c r="S97" s="23" t="s">
        <v>88</v>
      </c>
      <c r="T97" s="23"/>
      <c r="U97" s="23"/>
      <c r="V97" s="23"/>
      <c r="W97" s="23"/>
      <c r="X97" s="23"/>
      <c r="Y97" s="29">
        <v>60.33</v>
      </c>
      <c r="Z97" s="29">
        <v>62.94</v>
      </c>
      <c r="AA97" s="29">
        <v>0</v>
      </c>
      <c r="AB97" s="29">
        <v>5</v>
      </c>
      <c r="AC97" s="29">
        <v>251.1</v>
      </c>
      <c r="AD97" s="29">
        <v>350</v>
      </c>
      <c r="AE97" s="29">
        <v>1</v>
      </c>
      <c r="AF97" s="29">
        <v>5</v>
      </c>
      <c r="AG97" s="29" t="s">
        <v>75</v>
      </c>
      <c r="AH97" s="29">
        <v>0</v>
      </c>
      <c r="AI97" s="29">
        <v>5.39</v>
      </c>
      <c r="AJ97" s="29">
        <v>70</v>
      </c>
      <c r="AK97" s="29">
        <v>130</v>
      </c>
      <c r="AL97" s="29">
        <v>75</v>
      </c>
      <c r="AM97" s="29">
        <v>6.9</v>
      </c>
      <c r="AN97" s="29">
        <v>13</v>
      </c>
      <c r="AO97" s="29" t="s">
        <v>76</v>
      </c>
      <c r="AP97" s="29" t="s">
        <v>68</v>
      </c>
      <c r="AQ97" s="30">
        <v>63</v>
      </c>
      <c r="AR97" s="30">
        <v>0</v>
      </c>
      <c r="AS97" s="30">
        <v>0</v>
      </c>
      <c r="AT97" s="30">
        <v>0</v>
      </c>
      <c r="AU97" s="30"/>
      <c r="AV97" s="31" t="s">
        <v>90</v>
      </c>
      <c r="AW97" s="31" t="s">
        <v>70</v>
      </c>
      <c r="AX97" s="31"/>
      <c r="AY97" s="32">
        <v>97</v>
      </c>
      <c r="AZ97" s="32" t="s">
        <v>70</v>
      </c>
      <c r="BA97" s="32"/>
    </row>
    <row r="98" spans="1:53" x14ac:dyDescent="0.3">
      <c r="A98" s="16" t="s">
        <v>147</v>
      </c>
      <c r="B98" s="17">
        <v>43181</v>
      </c>
      <c r="C98" s="16" t="s">
        <v>246</v>
      </c>
      <c r="D98" s="16">
        <v>13882</v>
      </c>
      <c r="E98" s="19"/>
      <c r="F98" s="19">
        <v>40</v>
      </c>
      <c r="G98" s="16" t="s">
        <v>244</v>
      </c>
      <c r="H98" s="16"/>
      <c r="I98" s="16">
        <v>8032139</v>
      </c>
      <c r="J98" s="16" t="s">
        <v>247</v>
      </c>
      <c r="K98" s="16" t="s">
        <v>233</v>
      </c>
      <c r="L98" s="16" t="s">
        <v>62</v>
      </c>
      <c r="M98" s="16">
        <v>345</v>
      </c>
      <c r="N98" s="16">
        <v>345</v>
      </c>
      <c r="O98" s="16" t="s">
        <v>57</v>
      </c>
      <c r="P98" s="16">
        <v>2</v>
      </c>
      <c r="Q98" s="16" t="s">
        <v>91</v>
      </c>
      <c r="R98" s="16">
        <v>1</v>
      </c>
      <c r="S98" s="16"/>
      <c r="T98" s="16">
        <v>4</v>
      </c>
      <c r="U98" s="16">
        <v>120</v>
      </c>
      <c r="V98" s="16"/>
      <c r="W98" s="16">
        <v>2.25</v>
      </c>
      <c r="X98" s="16">
        <v>1</v>
      </c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</row>
    <row r="99" spans="1:53" x14ac:dyDescent="0.3">
      <c r="A99" s="8" t="s">
        <v>72</v>
      </c>
      <c r="B99" s="9">
        <v>43220</v>
      </c>
      <c r="C99" s="10">
        <v>0.56111111111111112</v>
      </c>
      <c r="D99" s="8">
        <v>13882</v>
      </c>
      <c r="E99" s="11"/>
      <c r="F99" s="11">
        <v>40</v>
      </c>
      <c r="G99" s="8" t="s">
        <v>244</v>
      </c>
      <c r="H99" s="8"/>
      <c r="I99" s="8">
        <v>8032139</v>
      </c>
      <c r="J99" s="8"/>
      <c r="K99" s="8" t="s">
        <v>233</v>
      </c>
      <c r="L99" s="8" t="s">
        <v>62</v>
      </c>
      <c r="M99" s="8">
        <v>376</v>
      </c>
      <c r="N99" s="13">
        <v>376</v>
      </c>
      <c r="O99" s="8" t="s">
        <v>57</v>
      </c>
      <c r="P99" s="8"/>
      <c r="Q99" s="8"/>
      <c r="R99" s="8"/>
      <c r="S99" s="8"/>
      <c r="T99" s="8"/>
      <c r="U99" s="8"/>
      <c r="V99" s="8"/>
      <c r="W99" s="8">
        <v>3.75</v>
      </c>
      <c r="X99" s="8">
        <v>0</v>
      </c>
    </row>
    <row r="100" spans="1:53" x14ac:dyDescent="0.3">
      <c r="A100" s="8" t="s">
        <v>154</v>
      </c>
      <c r="B100" s="9">
        <v>43250</v>
      </c>
      <c r="C100" s="10">
        <v>0.57500000000000007</v>
      </c>
      <c r="D100" s="8">
        <v>13882</v>
      </c>
      <c r="E100" s="11"/>
      <c r="F100" s="11">
        <v>40</v>
      </c>
      <c r="G100" s="8" t="s">
        <v>244</v>
      </c>
      <c r="H100" s="8"/>
      <c r="I100" s="8">
        <v>8032139</v>
      </c>
      <c r="J100" s="8"/>
      <c r="K100" s="8" t="s">
        <v>233</v>
      </c>
      <c r="L100" s="8" t="s">
        <v>62</v>
      </c>
      <c r="M100" s="8">
        <v>396</v>
      </c>
      <c r="N100" s="8"/>
      <c r="O100" s="8" t="s">
        <v>57</v>
      </c>
      <c r="P100" s="8"/>
      <c r="Q100" s="8"/>
      <c r="R100" s="8"/>
      <c r="S100" s="8"/>
      <c r="T100" s="8"/>
      <c r="U100" s="8">
        <v>130</v>
      </c>
      <c r="V100" s="8"/>
      <c r="W100" s="8">
        <v>4</v>
      </c>
      <c r="X100" s="8">
        <v>2</v>
      </c>
    </row>
    <row r="101" spans="1:53" x14ac:dyDescent="0.3">
      <c r="A101" s="23" t="s">
        <v>142</v>
      </c>
      <c r="B101" s="24">
        <v>43256</v>
      </c>
      <c r="C101" s="25">
        <v>0.31260416666666663</v>
      </c>
      <c r="D101" s="23">
        <v>13883</v>
      </c>
      <c r="E101" s="26">
        <v>445</v>
      </c>
      <c r="F101" s="27">
        <v>41</v>
      </c>
      <c r="G101" s="23" t="s">
        <v>248</v>
      </c>
      <c r="H101" s="28" t="s">
        <v>249</v>
      </c>
      <c r="I101" s="23">
        <v>8032173</v>
      </c>
      <c r="J101" s="23"/>
      <c r="K101" s="23" t="s">
        <v>233</v>
      </c>
      <c r="L101" s="23" t="s">
        <v>62</v>
      </c>
      <c r="M101" s="23"/>
      <c r="N101" s="23">
        <v>434</v>
      </c>
      <c r="O101" s="23" t="s">
        <v>57</v>
      </c>
      <c r="P101" s="23"/>
      <c r="Q101" s="23"/>
      <c r="R101" s="23"/>
      <c r="S101" s="23" t="s">
        <v>88</v>
      </c>
      <c r="T101" s="23"/>
      <c r="U101" s="23"/>
      <c r="V101" s="23"/>
      <c r="W101" s="23"/>
      <c r="X101" s="23"/>
      <c r="Y101" s="29">
        <v>54.41</v>
      </c>
      <c r="Z101" s="29">
        <v>57.02</v>
      </c>
      <c r="AA101" s="29">
        <v>0</v>
      </c>
      <c r="AB101" s="29">
        <v>7</v>
      </c>
      <c r="AC101" s="29">
        <v>295.10000000000002</v>
      </c>
      <c r="AD101" s="29">
        <v>290</v>
      </c>
      <c r="AE101" s="29">
        <v>0</v>
      </c>
      <c r="AF101" s="29">
        <v>7</v>
      </c>
      <c r="AG101" s="29" t="s">
        <v>67</v>
      </c>
      <c r="AH101" s="29">
        <v>1</v>
      </c>
      <c r="AI101" s="29">
        <v>5.51</v>
      </c>
      <c r="AJ101" s="29">
        <v>79</v>
      </c>
      <c r="AK101" s="29">
        <v>190</v>
      </c>
      <c r="AL101" s="29">
        <v>95</v>
      </c>
      <c r="AM101" s="29">
        <v>7</v>
      </c>
      <c r="AN101" s="29">
        <v>13</v>
      </c>
      <c r="AO101" s="29" t="s">
        <v>76</v>
      </c>
      <c r="AP101" s="29" t="s">
        <v>68</v>
      </c>
      <c r="AQ101" s="30">
        <v>17</v>
      </c>
      <c r="AR101" s="30" t="s">
        <v>105</v>
      </c>
      <c r="AS101" s="30">
        <v>0</v>
      </c>
      <c r="AT101" s="30">
        <v>1</v>
      </c>
      <c r="AU101" s="30"/>
      <c r="AV101" s="31"/>
      <c r="AW101" s="31" t="s">
        <v>106</v>
      </c>
      <c r="AX101" s="31"/>
      <c r="AY101" s="32">
        <v>66</v>
      </c>
      <c r="AZ101" s="32" t="s">
        <v>70</v>
      </c>
      <c r="BA101" s="32"/>
    </row>
    <row r="102" spans="1:53" x14ac:dyDescent="0.3">
      <c r="A102" s="16" t="s">
        <v>147</v>
      </c>
      <c r="B102" s="17">
        <v>43181</v>
      </c>
      <c r="C102" s="16" t="s">
        <v>250</v>
      </c>
      <c r="D102" s="16">
        <v>13883</v>
      </c>
      <c r="E102" s="19"/>
      <c r="F102" s="19">
        <v>41</v>
      </c>
      <c r="G102" s="16" t="s">
        <v>248</v>
      </c>
      <c r="H102" s="16"/>
      <c r="I102" s="16">
        <v>8032173</v>
      </c>
      <c r="J102" s="16" t="s">
        <v>251</v>
      </c>
      <c r="K102" s="16" t="s">
        <v>233</v>
      </c>
      <c r="L102" s="16" t="s">
        <v>62</v>
      </c>
      <c r="M102" s="16">
        <v>345</v>
      </c>
      <c r="N102" s="16">
        <v>345</v>
      </c>
      <c r="O102" s="16" t="s">
        <v>57</v>
      </c>
      <c r="P102" s="16">
        <v>2</v>
      </c>
      <c r="Q102" s="16" t="s">
        <v>95</v>
      </c>
      <c r="R102" s="16">
        <v>12</v>
      </c>
      <c r="S102" s="16"/>
      <c r="T102" s="16">
        <v>2</v>
      </c>
      <c r="U102" s="16">
        <v>114</v>
      </c>
      <c r="V102" s="16"/>
      <c r="W102" s="16">
        <v>2.75</v>
      </c>
      <c r="X102" s="16">
        <v>1</v>
      </c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</row>
    <row r="103" spans="1:53" x14ac:dyDescent="0.3">
      <c r="A103" s="8" t="s">
        <v>72</v>
      </c>
      <c r="B103" s="9">
        <v>43220</v>
      </c>
      <c r="C103" s="10">
        <v>0.51874999999999993</v>
      </c>
      <c r="D103" s="8">
        <v>13883</v>
      </c>
      <c r="E103" s="11"/>
      <c r="F103" s="11">
        <v>41</v>
      </c>
      <c r="G103" s="8" t="s">
        <v>248</v>
      </c>
      <c r="H103" s="8"/>
      <c r="I103" s="8">
        <v>8032173</v>
      </c>
      <c r="J103" s="8"/>
      <c r="K103" s="8" t="s">
        <v>233</v>
      </c>
      <c r="L103" s="8" t="s">
        <v>62</v>
      </c>
      <c r="M103" s="8">
        <v>381</v>
      </c>
      <c r="N103" s="13">
        <v>381</v>
      </c>
      <c r="O103" s="8" t="s">
        <v>57</v>
      </c>
      <c r="P103" s="8"/>
      <c r="Q103" s="8"/>
      <c r="R103" s="8"/>
      <c r="S103" s="8"/>
      <c r="T103" s="8"/>
      <c r="U103" s="8"/>
      <c r="V103" s="8"/>
      <c r="W103" s="8">
        <v>4</v>
      </c>
      <c r="X103" s="8">
        <v>0</v>
      </c>
    </row>
    <row r="104" spans="1:53" x14ac:dyDescent="0.3">
      <c r="A104" s="8" t="s">
        <v>154</v>
      </c>
      <c r="B104" s="9">
        <v>43250</v>
      </c>
      <c r="C104" s="10">
        <v>0.57708333333333328</v>
      </c>
      <c r="D104" s="8">
        <v>13883</v>
      </c>
      <c r="E104" s="11"/>
      <c r="F104" s="11">
        <v>41</v>
      </c>
      <c r="G104" s="8" t="s">
        <v>248</v>
      </c>
      <c r="H104" s="8"/>
      <c r="I104" s="8">
        <v>8032173</v>
      </c>
      <c r="J104" s="8"/>
      <c r="K104" s="8" t="s">
        <v>233</v>
      </c>
      <c r="L104" s="8" t="s">
        <v>62</v>
      </c>
      <c r="M104" s="8">
        <v>423</v>
      </c>
      <c r="N104" s="8"/>
      <c r="O104" s="8" t="s">
        <v>57</v>
      </c>
      <c r="P104" s="8"/>
      <c r="Q104" s="8"/>
      <c r="R104" s="8"/>
      <c r="S104" s="8"/>
      <c r="T104" s="8"/>
      <c r="U104" s="8">
        <v>127</v>
      </c>
      <c r="V104" s="8"/>
      <c r="W104" s="8">
        <v>4</v>
      </c>
      <c r="X104" s="8">
        <v>1</v>
      </c>
    </row>
    <row r="105" spans="1:53" x14ac:dyDescent="0.3">
      <c r="A105" s="23" t="s">
        <v>142</v>
      </c>
      <c r="B105" s="24">
        <v>43256</v>
      </c>
      <c r="C105" s="25">
        <v>0.30608796296296298</v>
      </c>
      <c r="D105" s="23">
        <v>13884</v>
      </c>
      <c r="E105" s="26">
        <v>428</v>
      </c>
      <c r="F105" s="27">
        <v>42</v>
      </c>
      <c r="G105" s="23" t="s">
        <v>252</v>
      </c>
      <c r="H105" s="28" t="s">
        <v>253</v>
      </c>
      <c r="I105" s="23">
        <v>8026539</v>
      </c>
      <c r="J105" s="23"/>
      <c r="K105" s="23" t="s">
        <v>233</v>
      </c>
      <c r="L105" s="23" t="s">
        <v>62</v>
      </c>
      <c r="M105" s="23"/>
      <c r="N105" s="23">
        <v>503</v>
      </c>
      <c r="O105" s="23" t="s">
        <v>57</v>
      </c>
      <c r="P105" s="23"/>
      <c r="Q105" s="23"/>
      <c r="R105" s="23"/>
      <c r="S105" s="23" t="s">
        <v>64</v>
      </c>
      <c r="T105" s="23"/>
      <c r="U105" s="23"/>
      <c r="V105" s="23"/>
      <c r="W105" s="23"/>
      <c r="X105" s="23"/>
      <c r="Y105" s="29">
        <v>60.46</v>
      </c>
      <c r="Z105" s="29">
        <v>63.07</v>
      </c>
      <c r="AA105" s="29">
        <v>0</v>
      </c>
      <c r="AB105" s="29">
        <v>8</v>
      </c>
      <c r="AC105" s="29">
        <v>239.9</v>
      </c>
      <c r="AD105" s="29">
        <v>300</v>
      </c>
      <c r="AE105" s="29">
        <v>1</v>
      </c>
      <c r="AF105" s="29">
        <v>8</v>
      </c>
      <c r="AG105" s="29" t="s">
        <v>67</v>
      </c>
      <c r="AH105" s="29">
        <v>1</v>
      </c>
      <c r="AI105" s="29">
        <v>5.39</v>
      </c>
      <c r="AJ105" s="29">
        <v>70</v>
      </c>
      <c r="AK105" s="29">
        <v>130</v>
      </c>
      <c r="AL105" s="29">
        <v>70</v>
      </c>
      <c r="AM105" s="29">
        <v>6.8</v>
      </c>
      <c r="AN105" s="29">
        <v>13</v>
      </c>
      <c r="AO105" s="29" t="s">
        <v>76</v>
      </c>
      <c r="AP105" s="29" t="s">
        <v>68</v>
      </c>
      <c r="AQ105" s="30">
        <v>68</v>
      </c>
      <c r="AR105" s="30">
        <v>0</v>
      </c>
      <c r="AS105" s="30">
        <v>0</v>
      </c>
      <c r="AT105" s="30">
        <v>1</v>
      </c>
      <c r="AU105" s="30" t="s">
        <v>100</v>
      </c>
      <c r="AV105" s="31"/>
      <c r="AW105" s="31" t="s">
        <v>70</v>
      </c>
      <c r="AX105" s="31"/>
      <c r="AY105" s="32">
        <v>59</v>
      </c>
      <c r="AZ105" s="32" t="s">
        <v>83</v>
      </c>
      <c r="BA105" s="32"/>
    </row>
    <row r="106" spans="1:53" x14ac:dyDescent="0.3">
      <c r="A106" s="16" t="s">
        <v>147</v>
      </c>
      <c r="B106" s="17">
        <v>43181</v>
      </c>
      <c r="C106" s="16" t="s">
        <v>254</v>
      </c>
      <c r="D106" s="16">
        <v>13884</v>
      </c>
      <c r="E106" s="19"/>
      <c r="F106" s="19">
        <v>42</v>
      </c>
      <c r="G106" s="16" t="s">
        <v>252</v>
      </c>
      <c r="H106" s="16"/>
      <c r="I106" s="16">
        <v>8026539</v>
      </c>
      <c r="J106" s="16" t="s">
        <v>255</v>
      </c>
      <c r="K106" s="16" t="s">
        <v>233</v>
      </c>
      <c r="L106" s="16" t="s">
        <v>62</v>
      </c>
      <c r="M106" s="16">
        <v>399</v>
      </c>
      <c r="N106" s="16">
        <v>399</v>
      </c>
      <c r="O106" s="16" t="s">
        <v>57</v>
      </c>
      <c r="P106" s="16">
        <v>1</v>
      </c>
      <c r="Q106" s="16" t="s">
        <v>61</v>
      </c>
      <c r="R106" s="16">
        <v>3</v>
      </c>
      <c r="S106" s="16"/>
      <c r="T106" s="16">
        <v>3</v>
      </c>
      <c r="U106" s="16">
        <v>120</v>
      </c>
      <c r="V106" s="16"/>
      <c r="W106" s="16">
        <v>3.5</v>
      </c>
      <c r="X106" s="16">
        <v>1</v>
      </c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</row>
    <row r="107" spans="1:53" x14ac:dyDescent="0.3">
      <c r="A107" s="8" t="s">
        <v>72</v>
      </c>
      <c r="B107" s="9">
        <v>43220</v>
      </c>
      <c r="C107" s="10">
        <v>0.54097222222222219</v>
      </c>
      <c r="D107" s="8">
        <v>13884</v>
      </c>
      <c r="E107" s="11"/>
      <c r="F107" s="11">
        <v>42</v>
      </c>
      <c r="G107" s="8" t="s">
        <v>252</v>
      </c>
      <c r="H107" s="8"/>
      <c r="I107" s="8">
        <v>8026539</v>
      </c>
      <c r="J107" s="8"/>
      <c r="K107" s="8" t="s">
        <v>233</v>
      </c>
      <c r="L107" s="8" t="s">
        <v>62</v>
      </c>
      <c r="M107" s="8">
        <v>459</v>
      </c>
      <c r="N107" s="13">
        <v>459</v>
      </c>
      <c r="O107" s="8" t="s">
        <v>57</v>
      </c>
      <c r="P107" s="8"/>
      <c r="Q107" s="8"/>
      <c r="R107" s="8"/>
      <c r="S107" s="8"/>
      <c r="T107" s="8"/>
      <c r="U107" s="8"/>
      <c r="V107" s="8"/>
      <c r="W107" s="8">
        <v>4</v>
      </c>
      <c r="X107" s="8">
        <v>1</v>
      </c>
    </row>
    <row r="108" spans="1:53" x14ac:dyDescent="0.3">
      <c r="A108" s="8" t="s">
        <v>154</v>
      </c>
      <c r="B108" s="9">
        <v>43250</v>
      </c>
      <c r="C108" s="10">
        <v>0.56527777777777777</v>
      </c>
      <c r="D108" s="8">
        <v>13884</v>
      </c>
      <c r="E108" s="11"/>
      <c r="F108" s="11">
        <v>42</v>
      </c>
      <c r="G108" s="8" t="s">
        <v>252</v>
      </c>
      <c r="H108" s="8"/>
      <c r="I108" s="8">
        <v>8026539</v>
      </c>
      <c r="J108" s="8"/>
      <c r="K108" s="8" t="s">
        <v>233</v>
      </c>
      <c r="L108" s="8" t="s">
        <v>62</v>
      </c>
      <c r="M108" s="8">
        <v>490</v>
      </c>
      <c r="N108" s="8"/>
      <c r="O108" s="8" t="s">
        <v>57</v>
      </c>
      <c r="P108" s="8"/>
      <c r="Q108" s="8"/>
      <c r="R108" s="8"/>
      <c r="S108" s="8"/>
      <c r="T108" s="8"/>
      <c r="U108" s="8">
        <v>132</v>
      </c>
      <c r="V108" s="8"/>
      <c r="W108" s="8">
        <v>4.5</v>
      </c>
      <c r="X108" s="8">
        <v>1</v>
      </c>
    </row>
    <row r="109" spans="1:53" x14ac:dyDescent="0.3">
      <c r="A109" s="23" t="s">
        <v>142</v>
      </c>
      <c r="B109" s="24">
        <v>43256</v>
      </c>
      <c r="C109" s="25">
        <v>0.28922453703703704</v>
      </c>
      <c r="D109" s="23">
        <v>13885</v>
      </c>
      <c r="E109" s="26">
        <v>446</v>
      </c>
      <c r="F109" s="27">
        <v>43</v>
      </c>
      <c r="G109" s="23" t="s">
        <v>256</v>
      </c>
      <c r="H109" s="28" t="s">
        <v>257</v>
      </c>
      <c r="I109" s="23">
        <v>8027687</v>
      </c>
      <c r="J109" s="23"/>
      <c r="K109" s="23" t="s">
        <v>233</v>
      </c>
      <c r="L109" s="23" t="s">
        <v>62</v>
      </c>
      <c r="M109" s="23"/>
      <c r="N109" s="23">
        <v>515</v>
      </c>
      <c r="O109" s="23" t="s">
        <v>57</v>
      </c>
      <c r="P109" s="23"/>
      <c r="Q109" s="23"/>
      <c r="R109" s="23"/>
      <c r="S109" s="23" t="s">
        <v>73</v>
      </c>
      <c r="T109" s="23"/>
      <c r="U109" s="23"/>
      <c r="V109" s="23"/>
      <c r="W109" s="23"/>
      <c r="X109" s="23"/>
      <c r="Y109" s="29">
        <v>60.49</v>
      </c>
      <c r="Z109" s="29">
        <v>63.1</v>
      </c>
      <c r="AA109" s="29">
        <v>2</v>
      </c>
      <c r="AB109" s="29">
        <v>12</v>
      </c>
      <c r="AC109" s="29">
        <v>256.8</v>
      </c>
      <c r="AD109" s="29">
        <v>330</v>
      </c>
      <c r="AE109" s="29">
        <v>1</v>
      </c>
      <c r="AF109" s="29">
        <v>9</v>
      </c>
      <c r="AG109" s="29" t="s">
        <v>67</v>
      </c>
      <c r="AH109" s="29">
        <v>1</v>
      </c>
      <c r="AI109" s="29">
        <v>5.38</v>
      </c>
      <c r="AJ109" s="29">
        <v>69</v>
      </c>
      <c r="AK109" s="29">
        <v>120</v>
      </c>
      <c r="AL109" s="29">
        <v>90</v>
      </c>
      <c r="AM109" s="29">
        <v>6.8</v>
      </c>
      <c r="AN109" s="29">
        <v>13</v>
      </c>
      <c r="AO109" s="29" t="s">
        <v>76</v>
      </c>
      <c r="AP109" s="29" t="s">
        <v>68</v>
      </c>
      <c r="AQ109" s="30">
        <v>77</v>
      </c>
      <c r="AR109" s="30" t="s">
        <v>105</v>
      </c>
      <c r="AS109" s="30">
        <v>0</v>
      </c>
      <c r="AT109" s="30">
        <v>0</v>
      </c>
      <c r="AU109" s="30"/>
      <c r="AV109" s="31" t="s">
        <v>122</v>
      </c>
      <c r="AW109" s="31" t="s">
        <v>83</v>
      </c>
      <c r="AX109" s="31"/>
      <c r="AY109" s="32">
        <v>88</v>
      </c>
      <c r="AZ109" s="32" t="s">
        <v>70</v>
      </c>
      <c r="BA109" s="32"/>
    </row>
    <row r="110" spans="1:53" x14ac:dyDescent="0.3">
      <c r="A110" s="16" t="s">
        <v>147</v>
      </c>
      <c r="B110" s="17">
        <v>43181</v>
      </c>
      <c r="C110" s="16" t="s">
        <v>258</v>
      </c>
      <c r="D110" s="16">
        <v>13885</v>
      </c>
      <c r="E110" s="19"/>
      <c r="F110" s="19">
        <v>43</v>
      </c>
      <c r="G110" s="16" t="s">
        <v>256</v>
      </c>
      <c r="H110" s="16"/>
      <c r="I110" s="16">
        <v>8027687</v>
      </c>
      <c r="J110" s="16" t="s">
        <v>259</v>
      </c>
      <c r="K110" s="16" t="s">
        <v>233</v>
      </c>
      <c r="L110" s="16" t="s">
        <v>62</v>
      </c>
      <c r="M110" s="16">
        <v>379</v>
      </c>
      <c r="N110" s="16">
        <v>379</v>
      </c>
      <c r="O110" s="16" t="s">
        <v>57</v>
      </c>
      <c r="P110" s="16">
        <v>2</v>
      </c>
      <c r="Q110" s="16" t="s">
        <v>71</v>
      </c>
      <c r="R110" s="16">
        <v>4</v>
      </c>
      <c r="S110" s="16"/>
      <c r="T110" s="16">
        <v>3</v>
      </c>
      <c r="U110" s="16">
        <v>121</v>
      </c>
      <c r="V110" s="16"/>
      <c r="W110" s="16">
        <v>2.5</v>
      </c>
      <c r="X110" s="16">
        <v>1</v>
      </c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</row>
    <row r="111" spans="1:53" x14ac:dyDescent="0.3">
      <c r="A111" s="8" t="s">
        <v>72</v>
      </c>
      <c r="B111" s="9">
        <v>43220</v>
      </c>
      <c r="C111" s="10">
        <v>0.45208333333333334</v>
      </c>
      <c r="D111" s="8">
        <v>13885</v>
      </c>
      <c r="E111" s="11"/>
      <c r="F111" s="11">
        <v>43</v>
      </c>
      <c r="G111" s="8" t="s">
        <v>256</v>
      </c>
      <c r="H111" s="8"/>
      <c r="I111" s="8">
        <v>8027687</v>
      </c>
      <c r="J111" s="8"/>
      <c r="K111" s="8" t="s">
        <v>233</v>
      </c>
      <c r="L111" s="8" t="s">
        <v>62</v>
      </c>
      <c r="M111" s="8">
        <v>445</v>
      </c>
      <c r="N111" s="13">
        <v>445</v>
      </c>
      <c r="O111" s="8" t="s">
        <v>57</v>
      </c>
      <c r="P111" s="8"/>
      <c r="Q111" s="8"/>
      <c r="R111" s="8"/>
      <c r="S111" s="8"/>
      <c r="T111" s="8"/>
      <c r="U111" s="8"/>
      <c r="V111" s="8"/>
      <c r="W111" s="8">
        <v>3.5</v>
      </c>
      <c r="X111" s="8">
        <v>1</v>
      </c>
    </row>
    <row r="112" spans="1:53" x14ac:dyDescent="0.3">
      <c r="A112" s="8" t="s">
        <v>154</v>
      </c>
      <c r="B112" s="9">
        <v>43250</v>
      </c>
      <c r="C112" s="10">
        <v>0.45208333333333334</v>
      </c>
      <c r="D112" s="8">
        <v>13885</v>
      </c>
      <c r="E112" s="11"/>
      <c r="F112" s="11">
        <v>43</v>
      </c>
      <c r="G112" s="8" t="s">
        <v>256</v>
      </c>
      <c r="H112" s="8"/>
      <c r="I112" s="8">
        <v>8027687</v>
      </c>
      <c r="J112" s="8"/>
      <c r="K112" s="8" t="s">
        <v>233</v>
      </c>
      <c r="L112" s="8" t="s">
        <v>62</v>
      </c>
      <c r="M112" s="8">
        <v>502</v>
      </c>
      <c r="N112" s="8"/>
      <c r="O112" s="8" t="s">
        <v>57</v>
      </c>
      <c r="P112" s="8"/>
      <c r="Q112" s="8"/>
      <c r="R112" s="8"/>
      <c r="S112" s="8"/>
      <c r="T112" s="8"/>
      <c r="U112" s="8" t="s">
        <v>260</v>
      </c>
      <c r="V112" s="8"/>
      <c r="W112" s="8">
        <v>4.5</v>
      </c>
      <c r="X112" s="8">
        <v>2</v>
      </c>
    </row>
    <row r="113" spans="1:53" x14ac:dyDescent="0.3">
      <c r="A113" s="23" t="s">
        <v>142</v>
      </c>
      <c r="B113" s="24">
        <v>43256</v>
      </c>
      <c r="C113" s="25">
        <v>0.30506944444444445</v>
      </c>
      <c r="D113" s="23">
        <v>13887</v>
      </c>
      <c r="E113" s="26">
        <v>426</v>
      </c>
      <c r="F113" s="27">
        <v>45</v>
      </c>
      <c r="G113" s="23" t="s">
        <v>261</v>
      </c>
      <c r="H113" s="28" t="s">
        <v>262</v>
      </c>
      <c r="I113" s="23">
        <v>8032424</v>
      </c>
      <c r="J113" s="23"/>
      <c r="K113" s="23" t="s">
        <v>233</v>
      </c>
      <c r="L113" s="23" t="s">
        <v>62</v>
      </c>
      <c r="M113" s="23"/>
      <c r="N113" s="23">
        <v>438</v>
      </c>
      <c r="O113" s="23" t="s">
        <v>57</v>
      </c>
      <c r="P113" s="23"/>
      <c r="Q113" s="23"/>
      <c r="R113" s="23"/>
      <c r="S113" s="23" t="s">
        <v>73</v>
      </c>
      <c r="T113" s="23"/>
      <c r="U113" s="23"/>
      <c r="V113" s="23"/>
      <c r="W113" s="23"/>
      <c r="X113" s="23"/>
      <c r="Y113" s="29">
        <v>57.45</v>
      </c>
      <c r="Z113" s="29">
        <v>60.06</v>
      </c>
      <c r="AA113" s="29">
        <v>0</v>
      </c>
      <c r="AB113" s="29">
        <v>14</v>
      </c>
      <c r="AC113" s="29">
        <v>253.8</v>
      </c>
      <c r="AD113" s="29">
        <v>300</v>
      </c>
      <c r="AE113" s="29">
        <v>1</v>
      </c>
      <c r="AF113" s="29">
        <v>10</v>
      </c>
      <c r="AG113" s="29" t="s">
        <v>75</v>
      </c>
      <c r="AH113" s="29">
        <v>1</v>
      </c>
      <c r="AI113" s="29">
        <v>5.43</v>
      </c>
      <c r="AJ113" s="29">
        <v>68</v>
      </c>
      <c r="AK113" s="29">
        <v>150</v>
      </c>
      <c r="AL113" s="29">
        <v>85</v>
      </c>
      <c r="AM113" s="29">
        <v>6.5</v>
      </c>
      <c r="AN113" s="29">
        <v>13</v>
      </c>
      <c r="AO113" s="29" t="s">
        <v>76</v>
      </c>
      <c r="AP113" s="29" t="s">
        <v>68</v>
      </c>
      <c r="AQ113" s="30">
        <v>45</v>
      </c>
      <c r="AR113" s="30">
        <v>0</v>
      </c>
      <c r="AS113" s="30">
        <v>0</v>
      </c>
      <c r="AT113" s="30">
        <v>1</v>
      </c>
      <c r="AU113" s="30"/>
      <c r="AV113" s="31"/>
      <c r="AW113" s="31" t="s">
        <v>70</v>
      </c>
      <c r="AX113" s="31"/>
      <c r="AY113" s="32">
        <v>7</v>
      </c>
      <c r="AZ113" s="32" t="s">
        <v>70</v>
      </c>
      <c r="BA113" s="32"/>
    </row>
    <row r="114" spans="1:53" x14ac:dyDescent="0.3">
      <c r="A114" s="16" t="s">
        <v>147</v>
      </c>
      <c r="B114" s="17">
        <v>43181</v>
      </c>
      <c r="C114" s="16" t="s">
        <v>263</v>
      </c>
      <c r="D114" s="16">
        <v>13887</v>
      </c>
      <c r="E114" s="19"/>
      <c r="F114" s="19">
        <v>45</v>
      </c>
      <c r="G114" s="16" t="s">
        <v>261</v>
      </c>
      <c r="H114" s="16"/>
      <c r="I114" s="16">
        <v>8032424</v>
      </c>
      <c r="J114" s="16" t="s">
        <v>264</v>
      </c>
      <c r="K114" s="16" t="s">
        <v>233</v>
      </c>
      <c r="L114" s="16" t="s">
        <v>62</v>
      </c>
      <c r="M114" s="16">
        <v>365</v>
      </c>
      <c r="N114" s="16">
        <v>365</v>
      </c>
      <c r="O114" s="16" t="s">
        <v>57</v>
      </c>
      <c r="P114" s="16">
        <v>2</v>
      </c>
      <c r="Q114" s="16" t="s">
        <v>95</v>
      </c>
      <c r="R114" s="16">
        <v>12</v>
      </c>
      <c r="S114" s="16"/>
      <c r="T114" s="16">
        <v>2</v>
      </c>
      <c r="U114" s="16">
        <v>120</v>
      </c>
      <c r="V114" s="16"/>
      <c r="W114" s="16">
        <v>3.5</v>
      </c>
      <c r="X114" s="16">
        <v>2</v>
      </c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</row>
    <row r="115" spans="1:53" x14ac:dyDescent="0.3">
      <c r="A115" s="8" t="s">
        <v>72</v>
      </c>
      <c r="B115" s="9">
        <v>43220</v>
      </c>
      <c r="C115" s="10">
        <v>0.50208333333333333</v>
      </c>
      <c r="D115" s="8">
        <v>13887</v>
      </c>
      <c r="E115" s="11"/>
      <c r="F115" s="11">
        <v>45</v>
      </c>
      <c r="G115" s="8" t="s">
        <v>261</v>
      </c>
      <c r="H115" s="8"/>
      <c r="I115" s="8">
        <v>8032424</v>
      </c>
      <c r="J115" s="8"/>
      <c r="K115" s="8" t="s">
        <v>233</v>
      </c>
      <c r="L115" s="8" t="s">
        <v>62</v>
      </c>
      <c r="M115" s="8">
        <v>388</v>
      </c>
      <c r="N115" s="13">
        <v>388</v>
      </c>
      <c r="O115" s="8" t="s">
        <v>57</v>
      </c>
      <c r="P115" s="8"/>
      <c r="Q115" s="8"/>
      <c r="R115" s="8"/>
      <c r="S115" s="8"/>
      <c r="T115" s="8"/>
      <c r="U115" s="8"/>
      <c r="V115" s="8"/>
      <c r="W115" s="8">
        <v>3.5</v>
      </c>
      <c r="X115" s="8">
        <v>0</v>
      </c>
    </row>
    <row r="116" spans="1:53" x14ac:dyDescent="0.3">
      <c r="A116" s="8" t="s">
        <v>154</v>
      </c>
      <c r="B116" s="9">
        <v>43250</v>
      </c>
      <c r="C116" s="10">
        <v>0.49791666666666662</v>
      </c>
      <c r="D116" s="8">
        <v>13887</v>
      </c>
      <c r="E116" s="11"/>
      <c r="F116" s="11">
        <v>45</v>
      </c>
      <c r="G116" s="8" t="s">
        <v>261</v>
      </c>
      <c r="H116" s="8"/>
      <c r="I116" s="8">
        <v>8032424</v>
      </c>
      <c r="J116" s="8"/>
      <c r="K116" s="8" t="s">
        <v>233</v>
      </c>
      <c r="L116" s="8" t="s">
        <v>62</v>
      </c>
      <c r="M116" s="8">
        <v>428</v>
      </c>
      <c r="N116" s="8"/>
      <c r="O116" s="8" t="s">
        <v>57</v>
      </c>
      <c r="P116" s="8"/>
      <c r="Q116" s="8"/>
      <c r="R116" s="8"/>
      <c r="S116" s="8"/>
      <c r="T116" s="8"/>
      <c r="U116" s="8">
        <v>127</v>
      </c>
      <c r="V116" s="8"/>
      <c r="W116" s="8">
        <v>4</v>
      </c>
      <c r="X116" s="8">
        <v>2</v>
      </c>
    </row>
    <row r="117" spans="1:53" x14ac:dyDescent="0.3">
      <c r="A117" s="23" t="s">
        <v>142</v>
      </c>
      <c r="B117" s="24">
        <v>43256</v>
      </c>
      <c r="C117" s="25">
        <v>0.29253472222222221</v>
      </c>
      <c r="D117" s="23">
        <v>13888</v>
      </c>
      <c r="E117" s="26">
        <v>468</v>
      </c>
      <c r="F117" s="27">
        <v>46</v>
      </c>
      <c r="G117" s="23" t="s">
        <v>265</v>
      </c>
      <c r="H117" s="28" t="s">
        <v>266</v>
      </c>
      <c r="I117" s="23">
        <v>8026433</v>
      </c>
      <c r="J117" s="23"/>
      <c r="K117" s="23" t="s">
        <v>233</v>
      </c>
      <c r="L117" s="23" t="s">
        <v>62</v>
      </c>
      <c r="M117" s="23"/>
      <c r="N117" s="23">
        <v>446</v>
      </c>
      <c r="O117" s="23" t="s">
        <v>57</v>
      </c>
      <c r="P117" s="23"/>
      <c r="Q117" s="23"/>
      <c r="R117" s="23"/>
      <c r="S117" s="23" t="s">
        <v>64</v>
      </c>
      <c r="T117" s="23"/>
      <c r="U117" s="23"/>
      <c r="V117" s="23"/>
      <c r="W117" s="23"/>
      <c r="X117" s="23"/>
      <c r="Y117" s="29">
        <v>58.97</v>
      </c>
      <c r="Z117" s="29">
        <v>61.58</v>
      </c>
      <c r="AA117" s="29">
        <v>0</v>
      </c>
      <c r="AB117" s="29">
        <v>5</v>
      </c>
      <c r="AC117" s="29">
        <v>226.4</v>
      </c>
      <c r="AD117" s="29">
        <v>330</v>
      </c>
      <c r="AE117" s="29">
        <v>1</v>
      </c>
      <c r="AF117" s="29">
        <v>5</v>
      </c>
      <c r="AG117" s="29" t="s">
        <v>75</v>
      </c>
      <c r="AH117" s="29">
        <v>0</v>
      </c>
      <c r="AI117" s="29">
        <v>5.37</v>
      </c>
      <c r="AJ117" s="29">
        <v>69</v>
      </c>
      <c r="AK117" s="29">
        <v>130</v>
      </c>
      <c r="AL117" s="29">
        <v>80</v>
      </c>
      <c r="AM117" s="29">
        <v>7.1</v>
      </c>
      <c r="AN117" s="29">
        <v>13</v>
      </c>
      <c r="AO117" s="29" t="s">
        <v>76</v>
      </c>
      <c r="AP117" s="29" t="s">
        <v>68</v>
      </c>
      <c r="AQ117" s="30">
        <v>107</v>
      </c>
      <c r="AR117" s="30">
        <v>0</v>
      </c>
      <c r="AS117" s="30">
        <v>0</v>
      </c>
      <c r="AT117" s="30">
        <v>0</v>
      </c>
      <c r="AU117" s="30"/>
      <c r="AV117" s="31"/>
      <c r="AW117" s="31" t="s">
        <v>70</v>
      </c>
      <c r="AX117" s="31"/>
      <c r="AY117" s="32">
        <v>61</v>
      </c>
      <c r="AZ117" s="32" t="s">
        <v>70</v>
      </c>
      <c r="BA117" s="32"/>
    </row>
    <row r="118" spans="1:53" x14ac:dyDescent="0.3">
      <c r="A118" s="16" t="s">
        <v>147</v>
      </c>
      <c r="B118" s="17">
        <v>43181</v>
      </c>
      <c r="C118" s="16" t="s">
        <v>267</v>
      </c>
      <c r="D118" s="16">
        <v>13888</v>
      </c>
      <c r="E118" s="19"/>
      <c r="F118" s="19">
        <v>46</v>
      </c>
      <c r="G118" s="16" t="s">
        <v>265</v>
      </c>
      <c r="H118" s="16"/>
      <c r="I118" s="16">
        <v>8026433</v>
      </c>
      <c r="J118" s="16" t="s">
        <v>268</v>
      </c>
      <c r="K118" s="16" t="s">
        <v>233</v>
      </c>
      <c r="L118" s="16" t="s">
        <v>62</v>
      </c>
      <c r="M118" s="16">
        <v>351</v>
      </c>
      <c r="N118" s="16">
        <v>351</v>
      </c>
      <c r="O118" s="16" t="s">
        <v>57</v>
      </c>
      <c r="P118" s="16">
        <v>4</v>
      </c>
      <c r="Q118" s="16" t="s">
        <v>95</v>
      </c>
      <c r="R118" s="16">
        <v>12</v>
      </c>
      <c r="S118" s="16"/>
      <c r="T118" s="16">
        <v>2</v>
      </c>
      <c r="U118" s="16">
        <v>117</v>
      </c>
      <c r="V118" s="16"/>
      <c r="W118" s="16">
        <v>3.5</v>
      </c>
      <c r="X118" s="16">
        <v>1</v>
      </c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</row>
    <row r="119" spans="1:53" x14ac:dyDescent="0.3">
      <c r="A119" s="8" t="s">
        <v>72</v>
      </c>
      <c r="B119" s="9">
        <v>43220</v>
      </c>
      <c r="C119" s="10">
        <v>0.55138888888888882</v>
      </c>
      <c r="D119" s="8">
        <v>13888</v>
      </c>
      <c r="E119" s="11"/>
      <c r="F119" s="11">
        <v>46</v>
      </c>
      <c r="G119" s="8" t="s">
        <v>265</v>
      </c>
      <c r="H119" s="8"/>
      <c r="I119" s="8">
        <v>8026433</v>
      </c>
      <c r="J119" s="8"/>
      <c r="K119" s="8" t="s">
        <v>233</v>
      </c>
      <c r="L119" s="8" t="s">
        <v>62</v>
      </c>
      <c r="M119" s="8">
        <v>408</v>
      </c>
      <c r="N119" s="13">
        <v>408</v>
      </c>
      <c r="O119" s="8" t="s">
        <v>57</v>
      </c>
      <c r="P119" s="8"/>
      <c r="Q119" s="8"/>
      <c r="R119" s="8"/>
      <c r="S119" s="8"/>
      <c r="T119" s="8"/>
      <c r="U119" s="8"/>
      <c r="V119" s="8"/>
      <c r="W119" s="8">
        <v>4</v>
      </c>
      <c r="X119" s="8">
        <v>0</v>
      </c>
    </row>
    <row r="120" spans="1:53" x14ac:dyDescent="0.3">
      <c r="A120" s="8" t="s">
        <v>154</v>
      </c>
      <c r="B120" s="9">
        <v>43250</v>
      </c>
      <c r="C120" s="10">
        <v>8.2638888888888887E-2</v>
      </c>
      <c r="D120" s="8">
        <v>13888</v>
      </c>
      <c r="E120" s="11"/>
      <c r="F120" s="11">
        <v>46</v>
      </c>
      <c r="G120" s="8" t="s">
        <v>265</v>
      </c>
      <c r="H120" s="8"/>
      <c r="I120" s="8">
        <v>8026433</v>
      </c>
      <c r="J120" s="8"/>
      <c r="K120" s="8" t="s">
        <v>233</v>
      </c>
      <c r="L120" s="8" t="s">
        <v>62</v>
      </c>
      <c r="M120" s="8">
        <v>434</v>
      </c>
      <c r="N120" s="8"/>
      <c r="O120" s="8" t="s">
        <v>57</v>
      </c>
      <c r="P120" s="8"/>
      <c r="Q120" s="8"/>
      <c r="R120" s="8"/>
      <c r="S120" s="8"/>
      <c r="T120" s="8"/>
      <c r="U120" s="8">
        <v>128</v>
      </c>
      <c r="V120" s="8"/>
      <c r="W120" s="8">
        <v>4.5</v>
      </c>
      <c r="X120" s="8">
        <v>1</v>
      </c>
    </row>
    <row r="121" spans="1:53" x14ac:dyDescent="0.3">
      <c r="A121" s="23" t="s">
        <v>142</v>
      </c>
      <c r="B121" s="24">
        <v>43256</v>
      </c>
      <c r="C121" s="25">
        <v>0.29888888888888893</v>
      </c>
      <c r="D121" s="23">
        <v>13890</v>
      </c>
      <c r="E121" s="26">
        <v>454</v>
      </c>
      <c r="F121" s="27">
        <v>48</v>
      </c>
      <c r="G121" s="23" t="s">
        <v>269</v>
      </c>
      <c r="H121" s="28" t="s">
        <v>270</v>
      </c>
      <c r="I121" s="23">
        <v>8026424</v>
      </c>
      <c r="J121" s="23"/>
      <c r="K121" s="23" t="s">
        <v>233</v>
      </c>
      <c r="L121" s="23" t="s">
        <v>62</v>
      </c>
      <c r="M121" s="23"/>
      <c r="N121" s="23">
        <v>467</v>
      </c>
      <c r="O121" s="23" t="s">
        <v>57</v>
      </c>
      <c r="P121" s="23"/>
      <c r="Q121" s="23"/>
      <c r="R121" s="23"/>
      <c r="S121" s="23" t="s">
        <v>73</v>
      </c>
      <c r="T121" s="23"/>
      <c r="U121" s="23"/>
      <c r="V121" s="23"/>
      <c r="W121" s="23"/>
      <c r="X121" s="23"/>
      <c r="Y121" s="29">
        <v>58.03</v>
      </c>
      <c r="Z121" s="29">
        <v>60.64</v>
      </c>
      <c r="AA121" s="29">
        <v>0</v>
      </c>
      <c r="AB121" s="29">
        <v>12</v>
      </c>
      <c r="AC121" s="29">
        <v>273.5</v>
      </c>
      <c r="AD121" s="29">
        <v>300</v>
      </c>
      <c r="AE121" s="29">
        <v>1</v>
      </c>
      <c r="AF121" s="29">
        <v>10</v>
      </c>
      <c r="AG121" s="29" t="s">
        <v>75</v>
      </c>
      <c r="AH121" s="29">
        <v>1</v>
      </c>
      <c r="AI121" s="29">
        <v>5.41</v>
      </c>
      <c r="AJ121" s="29">
        <v>79</v>
      </c>
      <c r="AK121" s="29">
        <v>130</v>
      </c>
      <c r="AL121" s="29">
        <v>95</v>
      </c>
      <c r="AM121" s="29">
        <v>6.8</v>
      </c>
      <c r="AN121" s="29">
        <v>13</v>
      </c>
      <c r="AO121" s="29" t="s">
        <v>76</v>
      </c>
      <c r="AP121" s="29" t="s">
        <v>68</v>
      </c>
      <c r="AQ121" s="30">
        <v>100</v>
      </c>
      <c r="AR121" s="30">
        <v>0</v>
      </c>
      <c r="AS121" s="30">
        <v>0</v>
      </c>
      <c r="AT121" s="30">
        <v>0</v>
      </c>
      <c r="AU121" s="30"/>
      <c r="AV121" s="31"/>
      <c r="AW121" s="31" t="s">
        <v>83</v>
      </c>
      <c r="AX121" s="31"/>
      <c r="AY121" s="32">
        <v>103</v>
      </c>
      <c r="AZ121" s="32" t="s">
        <v>70</v>
      </c>
      <c r="BA121" s="32"/>
    </row>
    <row r="122" spans="1:53" x14ac:dyDescent="0.3">
      <c r="A122" s="16" t="s">
        <v>147</v>
      </c>
      <c r="B122" s="17">
        <v>43181</v>
      </c>
      <c r="C122" s="16" t="s">
        <v>271</v>
      </c>
      <c r="D122" s="16">
        <v>13890</v>
      </c>
      <c r="E122" s="19"/>
      <c r="F122" s="19">
        <v>48</v>
      </c>
      <c r="G122" s="16" t="s">
        <v>269</v>
      </c>
      <c r="H122" s="16"/>
      <c r="I122" s="16">
        <v>8026424</v>
      </c>
      <c r="J122" s="16" t="s">
        <v>272</v>
      </c>
      <c r="K122" s="16" t="s">
        <v>233</v>
      </c>
      <c r="L122" s="16" t="s">
        <v>62</v>
      </c>
      <c r="M122" s="16">
        <v>365</v>
      </c>
      <c r="N122" s="16">
        <v>365</v>
      </c>
      <c r="O122" s="16" t="s">
        <v>57</v>
      </c>
      <c r="P122" s="16">
        <v>2</v>
      </c>
      <c r="Q122" s="16" t="s">
        <v>95</v>
      </c>
      <c r="R122" s="16">
        <v>12</v>
      </c>
      <c r="S122" s="16"/>
      <c r="T122" s="16">
        <v>2</v>
      </c>
      <c r="U122" s="16">
        <v>122</v>
      </c>
      <c r="V122" s="16"/>
      <c r="W122" s="16">
        <v>3.75</v>
      </c>
      <c r="X122" s="16">
        <v>2</v>
      </c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</row>
    <row r="123" spans="1:53" x14ac:dyDescent="0.3">
      <c r="A123" s="8" t="s">
        <v>72</v>
      </c>
      <c r="B123" s="9">
        <v>43220</v>
      </c>
      <c r="C123" s="10">
        <v>0.47361111111111115</v>
      </c>
      <c r="D123" s="8">
        <v>13890</v>
      </c>
      <c r="E123" s="11"/>
      <c r="F123" s="11">
        <v>48</v>
      </c>
      <c r="G123" s="8" t="s">
        <v>269</v>
      </c>
      <c r="H123" s="8"/>
      <c r="I123" s="8">
        <v>8026424</v>
      </c>
      <c r="J123" s="8"/>
      <c r="K123" s="8" t="s">
        <v>233</v>
      </c>
      <c r="L123" s="8" t="s">
        <v>62</v>
      </c>
      <c r="M123" s="8">
        <v>417</v>
      </c>
      <c r="N123" s="13">
        <v>417</v>
      </c>
      <c r="O123" s="8" t="s">
        <v>57</v>
      </c>
      <c r="P123" s="8"/>
      <c r="Q123" s="8"/>
      <c r="R123" s="8"/>
      <c r="S123" s="8"/>
      <c r="T123" s="8"/>
      <c r="U123" s="8"/>
      <c r="V123" s="8"/>
      <c r="W123" s="8">
        <v>3.75</v>
      </c>
      <c r="X123" s="8">
        <v>1</v>
      </c>
    </row>
    <row r="124" spans="1:53" x14ac:dyDescent="0.3">
      <c r="A124" s="8" t="s">
        <v>154</v>
      </c>
      <c r="B124" s="9">
        <v>43250</v>
      </c>
      <c r="C124" s="10">
        <v>0.56041666666666667</v>
      </c>
      <c r="D124" s="8">
        <v>13890</v>
      </c>
      <c r="E124" s="11"/>
      <c r="F124" s="11">
        <v>48</v>
      </c>
      <c r="G124" s="8" t="s">
        <v>269</v>
      </c>
      <c r="H124" s="8"/>
      <c r="I124" s="8">
        <v>8026424</v>
      </c>
      <c r="J124" s="8"/>
      <c r="K124" s="8" t="s">
        <v>233</v>
      </c>
      <c r="L124" s="8" t="s">
        <v>62</v>
      </c>
      <c r="M124" s="8">
        <v>455</v>
      </c>
      <c r="N124" s="8"/>
      <c r="O124" s="8" t="s">
        <v>57</v>
      </c>
      <c r="P124" s="8"/>
      <c r="Q124" s="8"/>
      <c r="R124" s="8"/>
      <c r="S124" s="8"/>
      <c r="T124" s="8"/>
      <c r="U124" s="8">
        <v>130</v>
      </c>
      <c r="V124" s="8"/>
      <c r="W124" s="8">
        <v>4.5</v>
      </c>
      <c r="X124" s="8">
        <v>1</v>
      </c>
    </row>
    <row r="125" spans="1:53" x14ac:dyDescent="0.3">
      <c r="A125" s="23" t="s">
        <v>142</v>
      </c>
      <c r="B125" s="24">
        <v>43256</v>
      </c>
      <c r="C125" s="25">
        <v>0.32494212962962959</v>
      </c>
      <c r="D125" s="23">
        <v>13891</v>
      </c>
      <c r="E125" s="26">
        <v>513</v>
      </c>
      <c r="F125" s="27">
        <v>49</v>
      </c>
      <c r="G125" s="23" t="s">
        <v>273</v>
      </c>
      <c r="H125" s="28" t="s">
        <v>274</v>
      </c>
      <c r="I125" s="23">
        <v>8026266</v>
      </c>
      <c r="J125" s="23"/>
      <c r="K125" s="23" t="s">
        <v>233</v>
      </c>
      <c r="L125" s="23" t="s">
        <v>62</v>
      </c>
      <c r="M125" s="23"/>
      <c r="N125" s="23">
        <v>432</v>
      </c>
      <c r="O125" s="23" t="s">
        <v>57</v>
      </c>
      <c r="P125" s="23"/>
      <c r="Q125" s="23"/>
      <c r="R125" s="23"/>
      <c r="S125" s="23" t="s">
        <v>73</v>
      </c>
      <c r="T125" s="23"/>
      <c r="U125" s="23"/>
      <c r="V125" s="23"/>
      <c r="W125" s="23"/>
      <c r="X125" s="23"/>
      <c r="Y125" s="29">
        <v>60.4</v>
      </c>
      <c r="Z125" s="29">
        <v>63.01</v>
      </c>
      <c r="AA125" s="29">
        <v>2</v>
      </c>
      <c r="AB125" s="29">
        <v>8</v>
      </c>
      <c r="AC125" s="29">
        <v>255.7</v>
      </c>
      <c r="AD125" s="29">
        <v>340</v>
      </c>
      <c r="AE125" s="29">
        <v>1</v>
      </c>
      <c r="AF125" s="29">
        <v>8</v>
      </c>
      <c r="AG125" s="29" t="s">
        <v>67</v>
      </c>
      <c r="AH125" s="29">
        <v>0</v>
      </c>
      <c r="AI125" s="29">
        <v>5.4</v>
      </c>
      <c r="AJ125" s="29">
        <v>79</v>
      </c>
      <c r="AK125" s="29">
        <v>120</v>
      </c>
      <c r="AL125" s="29">
        <v>85</v>
      </c>
      <c r="AM125" s="29">
        <v>6.8</v>
      </c>
      <c r="AN125" s="29">
        <v>13</v>
      </c>
      <c r="AO125" s="29" t="s">
        <v>76</v>
      </c>
      <c r="AP125" s="29" t="s">
        <v>68</v>
      </c>
      <c r="AQ125" s="30">
        <v>110</v>
      </c>
      <c r="AR125" s="30">
        <v>0</v>
      </c>
      <c r="AS125" s="30">
        <v>0</v>
      </c>
      <c r="AT125" s="30">
        <v>0</v>
      </c>
      <c r="AU125" s="30"/>
      <c r="AV125" s="31"/>
      <c r="AW125" s="31" t="s">
        <v>70</v>
      </c>
      <c r="AX125" s="31"/>
      <c r="AY125" s="32">
        <v>37</v>
      </c>
      <c r="AZ125" s="32" t="s">
        <v>70</v>
      </c>
      <c r="BA125" s="32"/>
    </row>
    <row r="126" spans="1:53" x14ac:dyDescent="0.3">
      <c r="A126" s="16" t="s">
        <v>147</v>
      </c>
      <c r="B126" s="17">
        <v>43181</v>
      </c>
      <c r="C126" s="16" t="s">
        <v>275</v>
      </c>
      <c r="D126" s="16">
        <v>13891</v>
      </c>
      <c r="E126" s="19"/>
      <c r="F126" s="19">
        <v>49</v>
      </c>
      <c r="G126" s="16" t="s">
        <v>273</v>
      </c>
      <c r="H126" s="16"/>
      <c r="I126" s="16">
        <v>8026266</v>
      </c>
      <c r="J126" s="16" t="s">
        <v>276</v>
      </c>
      <c r="K126" s="16" t="s">
        <v>233</v>
      </c>
      <c r="L126" s="16" t="s">
        <v>62</v>
      </c>
      <c r="M126" s="16">
        <v>343</v>
      </c>
      <c r="N126" s="16">
        <v>343</v>
      </c>
      <c r="O126" s="16" t="s">
        <v>57</v>
      </c>
      <c r="P126" s="16">
        <v>2</v>
      </c>
      <c r="Q126" s="16" t="s">
        <v>95</v>
      </c>
      <c r="R126" s="16">
        <v>12</v>
      </c>
      <c r="S126" s="16"/>
      <c r="T126" s="16">
        <v>3</v>
      </c>
      <c r="U126" s="16">
        <v>123</v>
      </c>
      <c r="V126" s="16"/>
      <c r="W126" s="16">
        <v>3.75</v>
      </c>
      <c r="X126" s="16">
        <v>1</v>
      </c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</row>
    <row r="127" spans="1:53" x14ac:dyDescent="0.3">
      <c r="A127" s="8" t="s">
        <v>72</v>
      </c>
      <c r="B127" s="9">
        <v>43220</v>
      </c>
      <c r="C127" s="10">
        <v>0.48194444444444445</v>
      </c>
      <c r="D127" s="8">
        <v>13891</v>
      </c>
      <c r="E127" s="11"/>
      <c r="F127" s="11">
        <v>49</v>
      </c>
      <c r="G127" s="8" t="s">
        <v>273</v>
      </c>
      <c r="H127" s="8"/>
      <c r="I127" s="8">
        <v>8026266</v>
      </c>
      <c r="J127" s="8"/>
      <c r="K127" s="8" t="s">
        <v>233</v>
      </c>
      <c r="L127" s="8" t="s">
        <v>62</v>
      </c>
      <c r="M127" s="8">
        <v>387</v>
      </c>
      <c r="N127" s="13">
        <v>387</v>
      </c>
      <c r="O127" s="8" t="s">
        <v>57</v>
      </c>
      <c r="P127" s="8"/>
      <c r="Q127" s="8"/>
      <c r="R127" s="8"/>
      <c r="S127" s="8"/>
      <c r="T127" s="8"/>
      <c r="U127" s="8"/>
      <c r="V127" s="8"/>
      <c r="W127" s="8">
        <v>3.5</v>
      </c>
      <c r="X127" s="8">
        <v>1</v>
      </c>
    </row>
    <row r="128" spans="1:53" x14ac:dyDescent="0.3">
      <c r="A128" s="8" t="s">
        <v>154</v>
      </c>
      <c r="B128" s="9">
        <v>43250</v>
      </c>
      <c r="C128" s="10">
        <v>0.51250000000000007</v>
      </c>
      <c r="D128" s="8">
        <v>13891</v>
      </c>
      <c r="E128" s="11"/>
      <c r="F128" s="11">
        <v>49</v>
      </c>
      <c r="G128" s="8" t="s">
        <v>273</v>
      </c>
      <c r="H128" s="8"/>
      <c r="I128" s="8">
        <v>8026266</v>
      </c>
      <c r="J128" s="8"/>
      <c r="K128" s="8" t="s">
        <v>233</v>
      </c>
      <c r="L128" s="8" t="s">
        <v>62</v>
      </c>
      <c r="M128" s="8">
        <v>420</v>
      </c>
      <c r="N128" s="8"/>
      <c r="O128" s="8" t="s">
        <v>57</v>
      </c>
      <c r="P128" s="8"/>
      <c r="Q128" s="8"/>
      <c r="R128" s="8"/>
      <c r="S128" s="8"/>
      <c r="T128" s="8"/>
      <c r="U128" s="8">
        <v>126</v>
      </c>
      <c r="V128" s="8"/>
      <c r="W128" s="8">
        <v>4</v>
      </c>
      <c r="X128" s="8">
        <v>1</v>
      </c>
    </row>
    <row r="129" spans="1:53" x14ac:dyDescent="0.3">
      <c r="A129" s="23" t="s">
        <v>142</v>
      </c>
      <c r="B129" s="24">
        <v>43256</v>
      </c>
      <c r="C129" s="25">
        <v>0.30478009259259259</v>
      </c>
      <c r="D129" s="23">
        <v>13892</v>
      </c>
      <c r="E129" s="26">
        <v>479</v>
      </c>
      <c r="F129" s="27">
        <v>50</v>
      </c>
      <c r="G129" s="23" t="s">
        <v>277</v>
      </c>
      <c r="H129" s="28" t="s">
        <v>278</v>
      </c>
      <c r="I129" s="23">
        <v>8032133</v>
      </c>
      <c r="J129" s="23"/>
      <c r="K129" s="23" t="s">
        <v>233</v>
      </c>
      <c r="L129" s="23" t="s">
        <v>62</v>
      </c>
      <c r="M129" s="23"/>
      <c r="N129" s="23">
        <v>478</v>
      </c>
      <c r="O129" s="23" t="s">
        <v>57</v>
      </c>
      <c r="P129" s="23"/>
      <c r="Q129" s="23"/>
      <c r="R129" s="23"/>
      <c r="S129" s="23" t="s">
        <v>73</v>
      </c>
      <c r="T129" s="23"/>
      <c r="U129" s="23"/>
      <c r="V129" s="23"/>
      <c r="W129" s="23"/>
      <c r="X129" s="23"/>
      <c r="Y129" s="29">
        <v>53.37</v>
      </c>
      <c r="Z129" s="29">
        <v>55.98</v>
      </c>
      <c r="AA129" s="29">
        <v>0</v>
      </c>
      <c r="AB129" s="29">
        <v>12</v>
      </c>
      <c r="AC129" s="29">
        <v>253.9</v>
      </c>
      <c r="AD129" s="29">
        <v>190</v>
      </c>
      <c r="AE129" s="29">
        <v>0</v>
      </c>
      <c r="AF129" s="29">
        <v>10</v>
      </c>
      <c r="AG129" s="29" t="s">
        <v>75</v>
      </c>
      <c r="AH129" s="29">
        <v>1</v>
      </c>
      <c r="AI129" s="29">
        <v>5.43</v>
      </c>
      <c r="AJ129" s="29">
        <v>69</v>
      </c>
      <c r="AK129" s="29">
        <v>130</v>
      </c>
      <c r="AL129" s="29">
        <v>115</v>
      </c>
      <c r="AM129" s="29">
        <v>7.4</v>
      </c>
      <c r="AN129" s="29">
        <v>13</v>
      </c>
      <c r="AO129" s="29" t="s">
        <v>76</v>
      </c>
      <c r="AP129" s="29" t="s">
        <v>68</v>
      </c>
      <c r="AQ129" s="30">
        <v>12</v>
      </c>
      <c r="AR129" s="30">
        <v>0</v>
      </c>
      <c r="AS129" s="30">
        <v>0</v>
      </c>
      <c r="AT129" s="30">
        <v>1</v>
      </c>
      <c r="AU129" s="30" t="s">
        <v>100</v>
      </c>
      <c r="AV129" s="31"/>
      <c r="AW129" s="31" t="s">
        <v>70</v>
      </c>
      <c r="AX129" s="31"/>
      <c r="AY129" s="32">
        <v>69</v>
      </c>
      <c r="AZ129" s="32" t="s">
        <v>70</v>
      </c>
      <c r="BA129" s="32"/>
    </row>
    <row r="130" spans="1:53" x14ac:dyDescent="0.3">
      <c r="A130" s="16" t="s">
        <v>147</v>
      </c>
      <c r="B130" s="17">
        <v>43181</v>
      </c>
      <c r="C130" s="16" t="s">
        <v>279</v>
      </c>
      <c r="D130" s="16">
        <v>13892</v>
      </c>
      <c r="E130" s="19"/>
      <c r="F130" s="19">
        <v>50</v>
      </c>
      <c r="G130" s="16" t="s">
        <v>277</v>
      </c>
      <c r="H130" s="16"/>
      <c r="I130" s="16">
        <v>8032133</v>
      </c>
      <c r="J130" s="16" t="s">
        <v>280</v>
      </c>
      <c r="K130" s="16" t="s">
        <v>233</v>
      </c>
      <c r="L130" s="16" t="s">
        <v>62</v>
      </c>
      <c r="M130" s="16">
        <v>387</v>
      </c>
      <c r="N130" s="16">
        <v>387</v>
      </c>
      <c r="O130" s="16" t="s">
        <v>57</v>
      </c>
      <c r="P130" s="16">
        <v>2</v>
      </c>
      <c r="Q130" s="16" t="s">
        <v>87</v>
      </c>
      <c r="R130" s="16">
        <v>10</v>
      </c>
      <c r="S130" s="16"/>
      <c r="T130" s="16">
        <v>1</v>
      </c>
      <c r="U130" s="16">
        <v>121</v>
      </c>
      <c r="V130" s="16"/>
      <c r="W130" s="16">
        <v>3.75</v>
      </c>
      <c r="X130" s="16">
        <v>1</v>
      </c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</row>
    <row r="131" spans="1:53" x14ac:dyDescent="0.3">
      <c r="A131" s="8" t="s">
        <v>72</v>
      </c>
      <c r="B131" s="9">
        <v>43220</v>
      </c>
      <c r="C131" s="10">
        <v>0.55763888888888891</v>
      </c>
      <c r="D131" s="8">
        <v>13892</v>
      </c>
      <c r="E131" s="11"/>
      <c r="F131" s="11">
        <v>50</v>
      </c>
      <c r="G131" s="8" t="s">
        <v>277</v>
      </c>
      <c r="H131" s="8"/>
      <c r="I131" s="8">
        <v>8032133</v>
      </c>
      <c r="J131" s="8"/>
      <c r="K131" s="8" t="s">
        <v>233</v>
      </c>
      <c r="L131" s="8" t="s">
        <v>62</v>
      </c>
      <c r="M131" s="8">
        <v>429</v>
      </c>
      <c r="N131" s="13">
        <v>429</v>
      </c>
      <c r="O131" s="8" t="s">
        <v>57</v>
      </c>
      <c r="P131" s="8"/>
      <c r="Q131" s="8"/>
      <c r="R131" s="8"/>
      <c r="S131" s="8"/>
      <c r="T131" s="8"/>
      <c r="U131" s="8"/>
      <c r="V131" s="8"/>
      <c r="W131" s="8">
        <v>4</v>
      </c>
      <c r="X131" s="8">
        <v>1</v>
      </c>
    </row>
    <row r="132" spans="1:53" x14ac:dyDescent="0.3">
      <c r="A132" s="8" t="s">
        <v>154</v>
      </c>
      <c r="B132" s="9">
        <v>43250</v>
      </c>
      <c r="C132" s="10">
        <v>0.61944444444444446</v>
      </c>
      <c r="D132" s="8">
        <v>13892</v>
      </c>
      <c r="E132" s="11"/>
      <c r="F132" s="11">
        <v>50</v>
      </c>
      <c r="G132" s="8" t="s">
        <v>277</v>
      </c>
      <c r="H132" s="8"/>
      <c r="I132" s="8">
        <v>8032133</v>
      </c>
      <c r="J132" s="8"/>
      <c r="K132" s="8" t="s">
        <v>233</v>
      </c>
      <c r="L132" s="8" t="s">
        <v>62</v>
      </c>
      <c r="M132" s="8">
        <v>475</v>
      </c>
      <c r="N132" s="8"/>
      <c r="O132" s="8" t="s">
        <v>57</v>
      </c>
      <c r="P132" s="8"/>
      <c r="Q132" s="8"/>
      <c r="R132" s="8"/>
      <c r="S132" s="8"/>
      <c r="T132" s="8"/>
      <c r="U132" s="8">
        <v>128</v>
      </c>
      <c r="V132" s="8"/>
      <c r="W132" s="8">
        <v>4</v>
      </c>
      <c r="X132" s="8">
        <v>2</v>
      </c>
    </row>
    <row r="133" spans="1:53" x14ac:dyDescent="0.3">
      <c r="A133" s="23" t="s">
        <v>72</v>
      </c>
      <c r="B133" s="24">
        <v>43220</v>
      </c>
      <c r="C133" s="25">
        <v>0.48055555555555557</v>
      </c>
      <c r="D133" s="23">
        <v>13894</v>
      </c>
      <c r="E133" s="27"/>
      <c r="F133" s="27">
        <v>52</v>
      </c>
      <c r="G133" s="23" t="s">
        <v>281</v>
      </c>
      <c r="H133" s="23"/>
      <c r="I133" s="23">
        <v>8026586</v>
      </c>
      <c r="J133" s="23"/>
      <c r="K133" s="23" t="s">
        <v>233</v>
      </c>
      <c r="L133" s="23"/>
      <c r="M133" s="23">
        <v>372</v>
      </c>
      <c r="N133" s="34">
        <v>372</v>
      </c>
      <c r="O133" s="23" t="s">
        <v>57</v>
      </c>
      <c r="P133" s="23"/>
      <c r="Q133" s="23"/>
      <c r="R133" s="23"/>
      <c r="S133" s="23" t="s">
        <v>58</v>
      </c>
      <c r="T133" s="23"/>
      <c r="U133" s="23"/>
      <c r="V133" s="23"/>
      <c r="W133" s="23">
        <v>2.75</v>
      </c>
      <c r="X133" s="23">
        <v>0</v>
      </c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</row>
    <row r="134" spans="1:53" s="32" customFormat="1" x14ac:dyDescent="0.3">
      <c r="A134" s="16" t="s">
        <v>147</v>
      </c>
      <c r="B134" s="17">
        <v>43181</v>
      </c>
      <c r="C134" s="16" t="s">
        <v>282</v>
      </c>
      <c r="D134" s="16">
        <v>13894</v>
      </c>
      <c r="E134" s="19"/>
      <c r="F134" s="19">
        <v>52</v>
      </c>
      <c r="G134" s="16" t="s">
        <v>281</v>
      </c>
      <c r="H134" s="16"/>
      <c r="I134" s="16">
        <v>8026586</v>
      </c>
      <c r="J134" s="16" t="s">
        <v>283</v>
      </c>
      <c r="K134" s="16" t="s">
        <v>233</v>
      </c>
      <c r="L134" s="16"/>
      <c r="M134" s="16">
        <v>352</v>
      </c>
      <c r="N134" s="16">
        <v>352</v>
      </c>
      <c r="O134" s="16" t="s">
        <v>57</v>
      </c>
      <c r="P134" s="16">
        <v>2</v>
      </c>
      <c r="Q134" s="16" t="s">
        <v>63</v>
      </c>
      <c r="R134" s="16">
        <v>14</v>
      </c>
      <c r="S134" s="16"/>
      <c r="T134" s="16">
        <v>3</v>
      </c>
      <c r="U134" s="16">
        <v>122</v>
      </c>
      <c r="V134" s="16"/>
      <c r="W134" s="16">
        <v>3.75</v>
      </c>
      <c r="X134" s="16">
        <v>1</v>
      </c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</row>
    <row r="135" spans="1:53" x14ac:dyDescent="0.3">
      <c r="A135" s="8" t="s">
        <v>154</v>
      </c>
      <c r="B135" s="9">
        <v>43250</v>
      </c>
      <c r="C135" s="10">
        <v>0.51666666666666672</v>
      </c>
      <c r="D135" s="8">
        <v>13894</v>
      </c>
      <c r="E135" s="11"/>
      <c r="F135" s="11">
        <v>52</v>
      </c>
      <c r="G135" s="8" t="s">
        <v>281</v>
      </c>
      <c r="H135" s="8"/>
      <c r="I135" s="8">
        <v>8026586</v>
      </c>
      <c r="J135" s="8"/>
      <c r="K135" s="8" t="s">
        <v>233</v>
      </c>
      <c r="L135" s="8"/>
      <c r="M135" s="8">
        <v>383</v>
      </c>
      <c r="N135" s="8"/>
      <c r="O135" s="8" t="s">
        <v>57</v>
      </c>
      <c r="P135" s="8"/>
      <c r="Q135" s="8"/>
      <c r="R135" s="8"/>
      <c r="S135" s="8"/>
      <c r="T135" s="8"/>
      <c r="U135" s="8">
        <v>130</v>
      </c>
      <c r="V135" s="8"/>
      <c r="W135" s="8">
        <v>3.5</v>
      </c>
      <c r="X135" s="8">
        <v>1</v>
      </c>
    </row>
    <row r="136" spans="1:53" x14ac:dyDescent="0.3">
      <c r="A136" s="8" t="s">
        <v>142</v>
      </c>
      <c r="B136" s="9" t="s">
        <v>284</v>
      </c>
      <c r="C136" s="9" t="s">
        <v>284</v>
      </c>
      <c r="D136" s="8">
        <v>13894</v>
      </c>
      <c r="E136" s="11" t="s">
        <v>284</v>
      </c>
      <c r="F136" s="11">
        <v>52</v>
      </c>
      <c r="G136" s="8" t="s">
        <v>281</v>
      </c>
      <c r="H136" s="12" t="s">
        <v>284</v>
      </c>
      <c r="I136" s="8">
        <v>8026586</v>
      </c>
      <c r="J136" s="8"/>
      <c r="K136" s="8" t="s">
        <v>233</v>
      </c>
      <c r="L136" s="8"/>
      <c r="M136" s="8"/>
      <c r="N136" s="8"/>
      <c r="O136" s="8" t="s">
        <v>57</v>
      </c>
      <c r="P136" s="8"/>
      <c r="Q136" s="8"/>
      <c r="R136" s="8"/>
      <c r="S136" s="8"/>
      <c r="T136" s="8"/>
      <c r="U136" s="8"/>
      <c r="V136" s="8"/>
      <c r="W136" s="8"/>
      <c r="X136" s="8"/>
      <c r="Y136" s="7" t="s">
        <v>284</v>
      </c>
      <c r="Z136" s="7" t="s">
        <v>284</v>
      </c>
      <c r="AA136" s="7" t="s">
        <v>284</v>
      </c>
      <c r="AB136" s="7" t="s">
        <v>284</v>
      </c>
      <c r="AC136" s="7" t="s">
        <v>284</v>
      </c>
      <c r="AD136" s="7" t="s">
        <v>284</v>
      </c>
      <c r="AE136" s="7" t="s">
        <v>284</v>
      </c>
      <c r="AF136" s="7" t="s">
        <v>284</v>
      </c>
      <c r="AG136" s="7" t="s">
        <v>284</v>
      </c>
      <c r="AH136" s="7" t="s">
        <v>284</v>
      </c>
      <c r="AI136" s="7" t="s">
        <v>284</v>
      </c>
      <c r="AJ136" s="7" t="s">
        <v>284</v>
      </c>
      <c r="AK136" s="7" t="s">
        <v>284</v>
      </c>
      <c r="AL136" s="7" t="s">
        <v>284</v>
      </c>
      <c r="AM136" s="7" t="s">
        <v>284</v>
      </c>
      <c r="AN136" s="7" t="s">
        <v>284</v>
      </c>
      <c r="AO136" s="7" t="s">
        <v>284</v>
      </c>
      <c r="AP136" s="7" t="s">
        <v>284</v>
      </c>
      <c r="AQ136" s="7" t="s">
        <v>284</v>
      </c>
      <c r="AR136" s="7" t="s">
        <v>284</v>
      </c>
      <c r="AS136" s="7" t="s">
        <v>284</v>
      </c>
      <c r="AT136" s="7" t="s">
        <v>284</v>
      </c>
      <c r="AU136" s="7" t="s">
        <v>284</v>
      </c>
      <c r="AV136" s="7" t="s">
        <v>284</v>
      </c>
      <c r="AW136" s="7" t="s">
        <v>284</v>
      </c>
      <c r="AX136" s="7" t="s">
        <v>284</v>
      </c>
      <c r="AY136" s="7" t="s">
        <v>284</v>
      </c>
      <c r="AZ136" s="7" t="s">
        <v>284</v>
      </c>
      <c r="BA136" s="7" t="s">
        <v>284</v>
      </c>
    </row>
    <row r="137" spans="1:53" x14ac:dyDescent="0.3">
      <c r="A137" s="23" t="s">
        <v>142</v>
      </c>
      <c r="B137" s="24">
        <v>43256</v>
      </c>
      <c r="C137" s="25">
        <v>0.29217592592592595</v>
      </c>
      <c r="D137" s="23">
        <v>13895</v>
      </c>
      <c r="E137" s="26">
        <v>455</v>
      </c>
      <c r="F137" s="27">
        <v>53</v>
      </c>
      <c r="G137" s="23" t="s">
        <v>285</v>
      </c>
      <c r="H137" s="28" t="s">
        <v>286</v>
      </c>
      <c r="I137" s="23">
        <v>8026985</v>
      </c>
      <c r="J137" s="23"/>
      <c r="K137" s="23" t="s">
        <v>233</v>
      </c>
      <c r="L137" s="23" t="s">
        <v>62</v>
      </c>
      <c r="M137" s="23"/>
      <c r="N137" s="23">
        <v>457</v>
      </c>
      <c r="O137" s="23" t="s">
        <v>57</v>
      </c>
      <c r="P137" s="23"/>
      <c r="Q137" s="23"/>
      <c r="R137" s="23"/>
      <c r="S137" s="23" t="s">
        <v>79</v>
      </c>
      <c r="T137" s="23"/>
      <c r="U137" s="23"/>
      <c r="V137" s="23"/>
      <c r="W137" s="23"/>
      <c r="X137" s="23"/>
      <c r="Y137" s="29">
        <v>53.46</v>
      </c>
      <c r="Z137" s="29">
        <v>56.07</v>
      </c>
      <c r="AA137" s="29">
        <v>0</v>
      </c>
      <c r="AB137" s="29">
        <v>11</v>
      </c>
      <c r="AC137" s="29">
        <v>264.89999999999998</v>
      </c>
      <c r="AD137" s="29">
        <v>240</v>
      </c>
      <c r="AE137" s="29">
        <v>0</v>
      </c>
      <c r="AF137" s="29">
        <v>5</v>
      </c>
      <c r="AG137" s="29" t="s">
        <v>75</v>
      </c>
      <c r="AH137" s="29">
        <v>2</v>
      </c>
      <c r="AI137" s="29">
        <v>5.41</v>
      </c>
      <c r="AJ137" s="29">
        <v>71</v>
      </c>
      <c r="AK137" s="29">
        <v>130</v>
      </c>
      <c r="AL137" s="29">
        <v>150</v>
      </c>
      <c r="AM137" s="29">
        <v>8.1</v>
      </c>
      <c r="AN137" s="29">
        <v>13</v>
      </c>
      <c r="AO137" s="29" t="s">
        <v>67</v>
      </c>
      <c r="AP137" s="29" t="s">
        <v>68</v>
      </c>
      <c r="AQ137" s="30">
        <v>30</v>
      </c>
      <c r="AR137" s="30" t="s">
        <v>105</v>
      </c>
      <c r="AS137" s="30">
        <v>0</v>
      </c>
      <c r="AT137" s="30">
        <v>1</v>
      </c>
      <c r="AU137" s="30"/>
      <c r="AV137" s="31" t="s">
        <v>82</v>
      </c>
      <c r="AW137" s="31" t="s">
        <v>83</v>
      </c>
      <c r="AX137" s="31"/>
      <c r="AY137" s="32">
        <v>46</v>
      </c>
      <c r="AZ137" s="32" t="s">
        <v>70</v>
      </c>
      <c r="BA137" s="32"/>
    </row>
    <row r="138" spans="1:53" x14ac:dyDescent="0.3">
      <c r="A138" s="16" t="s">
        <v>147</v>
      </c>
      <c r="B138" s="17">
        <v>43181</v>
      </c>
      <c r="C138" s="16" t="s">
        <v>287</v>
      </c>
      <c r="D138" s="16">
        <v>13895</v>
      </c>
      <c r="E138" s="19"/>
      <c r="F138" s="19">
        <v>53</v>
      </c>
      <c r="G138" s="16" t="s">
        <v>285</v>
      </c>
      <c r="H138" s="16"/>
      <c r="I138" s="16">
        <v>8026985</v>
      </c>
      <c r="J138" s="16" t="s">
        <v>288</v>
      </c>
      <c r="K138" s="16" t="s">
        <v>233</v>
      </c>
      <c r="L138" s="16" t="s">
        <v>62</v>
      </c>
      <c r="M138" s="16">
        <v>351</v>
      </c>
      <c r="N138" s="16">
        <v>351</v>
      </c>
      <c r="O138" s="16" t="s">
        <v>57</v>
      </c>
      <c r="P138" s="16">
        <v>3</v>
      </c>
      <c r="Q138" s="16" t="s">
        <v>63</v>
      </c>
      <c r="R138" s="16">
        <v>14</v>
      </c>
      <c r="S138" s="16"/>
      <c r="T138" s="16">
        <v>3</v>
      </c>
      <c r="U138" s="16">
        <v>119</v>
      </c>
      <c r="V138" s="16"/>
      <c r="W138" s="16">
        <v>3.75</v>
      </c>
      <c r="X138" s="16">
        <v>2</v>
      </c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</row>
    <row r="139" spans="1:53" x14ac:dyDescent="0.3">
      <c r="A139" s="8" t="s">
        <v>72</v>
      </c>
      <c r="B139" s="9">
        <v>43220</v>
      </c>
      <c r="C139" s="10">
        <v>0.5444444444444444</v>
      </c>
      <c r="D139" s="8">
        <v>13895</v>
      </c>
      <c r="E139" s="11"/>
      <c r="F139" s="11">
        <v>53</v>
      </c>
      <c r="G139" s="8" t="s">
        <v>285</v>
      </c>
      <c r="H139" s="8"/>
      <c r="I139" s="8">
        <v>8026985</v>
      </c>
      <c r="J139" s="8"/>
      <c r="K139" s="8" t="s">
        <v>233</v>
      </c>
      <c r="L139" s="8" t="s">
        <v>62</v>
      </c>
      <c r="M139" s="8">
        <v>408</v>
      </c>
      <c r="N139" s="13">
        <v>410</v>
      </c>
      <c r="O139" s="8" t="s">
        <v>57</v>
      </c>
      <c r="P139" s="8"/>
      <c r="Q139" s="8"/>
      <c r="R139" s="8"/>
      <c r="S139" s="8"/>
      <c r="T139" s="8"/>
      <c r="U139" s="8"/>
      <c r="V139" s="8"/>
      <c r="W139" s="8">
        <v>4</v>
      </c>
      <c r="X139" s="8">
        <v>0</v>
      </c>
    </row>
    <row r="140" spans="1:53" x14ac:dyDescent="0.3">
      <c r="A140" s="8" t="s">
        <v>154</v>
      </c>
      <c r="B140" s="9">
        <v>43250</v>
      </c>
      <c r="C140" s="10">
        <v>0.51736111111111105</v>
      </c>
      <c r="D140" s="8">
        <v>13895</v>
      </c>
      <c r="E140" s="11"/>
      <c r="F140" s="11">
        <v>53</v>
      </c>
      <c r="G140" s="8" t="s">
        <v>285</v>
      </c>
      <c r="H140" s="8"/>
      <c r="I140" s="8">
        <v>8026985</v>
      </c>
      <c r="J140" s="8"/>
      <c r="K140" s="8" t="s">
        <v>233</v>
      </c>
      <c r="L140" s="8" t="s">
        <v>62</v>
      </c>
      <c r="M140" s="8">
        <v>445</v>
      </c>
      <c r="N140" s="8"/>
      <c r="O140" s="8" t="s">
        <v>57</v>
      </c>
      <c r="P140" s="8"/>
      <c r="Q140" s="8"/>
      <c r="R140" s="8"/>
      <c r="S140" s="8"/>
      <c r="T140" s="8"/>
      <c r="U140" s="8">
        <v>130</v>
      </c>
      <c r="V140" s="8"/>
      <c r="W140" s="8">
        <v>4.5</v>
      </c>
      <c r="X140" s="8">
        <v>2</v>
      </c>
    </row>
    <row r="141" spans="1:53" x14ac:dyDescent="0.3">
      <c r="A141" s="23" t="s">
        <v>142</v>
      </c>
      <c r="B141" s="24">
        <v>43256</v>
      </c>
      <c r="C141" s="25">
        <v>0.30628472222222219</v>
      </c>
      <c r="D141" s="23">
        <v>13896</v>
      </c>
      <c r="E141" s="26">
        <v>476</v>
      </c>
      <c r="F141" s="27">
        <v>54</v>
      </c>
      <c r="G141" s="23" t="s">
        <v>289</v>
      </c>
      <c r="H141" s="28" t="s">
        <v>290</v>
      </c>
      <c r="I141" s="23">
        <v>8027207</v>
      </c>
      <c r="J141" s="23"/>
      <c r="K141" s="23" t="s">
        <v>233</v>
      </c>
      <c r="L141" s="23" t="s">
        <v>62</v>
      </c>
      <c r="M141" s="23"/>
      <c r="N141" s="23">
        <v>423</v>
      </c>
      <c r="O141" s="23" t="s">
        <v>57</v>
      </c>
      <c r="P141" s="23"/>
      <c r="Q141" s="23"/>
      <c r="R141" s="23"/>
      <c r="S141" s="23" t="s">
        <v>73</v>
      </c>
      <c r="T141" s="23"/>
      <c r="U141" s="23"/>
      <c r="V141" s="23"/>
      <c r="W141" s="23"/>
      <c r="X141" s="23"/>
      <c r="Y141" s="29">
        <v>60.49</v>
      </c>
      <c r="Z141" s="29">
        <v>63.1</v>
      </c>
      <c r="AA141" s="29">
        <v>0</v>
      </c>
      <c r="AB141" s="29">
        <v>5</v>
      </c>
      <c r="AC141" s="29">
        <v>285.89999999999998</v>
      </c>
      <c r="AD141" s="29">
        <v>380</v>
      </c>
      <c r="AE141" s="29">
        <v>1</v>
      </c>
      <c r="AF141" s="29">
        <v>5</v>
      </c>
      <c r="AG141" s="29" t="s">
        <v>66</v>
      </c>
      <c r="AH141" s="29">
        <v>1</v>
      </c>
      <c r="AI141" s="29">
        <v>5.39</v>
      </c>
      <c r="AJ141" s="29">
        <v>68</v>
      </c>
      <c r="AK141" s="29">
        <v>120</v>
      </c>
      <c r="AL141" s="29">
        <v>95</v>
      </c>
      <c r="AM141" s="29">
        <v>6.8</v>
      </c>
      <c r="AN141" s="29">
        <v>13</v>
      </c>
      <c r="AO141" s="29" t="s">
        <v>76</v>
      </c>
      <c r="AP141" s="29" t="s">
        <v>68</v>
      </c>
      <c r="AQ141" s="30">
        <v>16</v>
      </c>
      <c r="AR141" s="30">
        <v>0</v>
      </c>
      <c r="AS141" s="30">
        <v>0</v>
      </c>
      <c r="AT141" s="30">
        <v>2</v>
      </c>
      <c r="AU141" s="30" t="s">
        <v>100</v>
      </c>
      <c r="AV141" s="31"/>
      <c r="AW141" s="31" t="s">
        <v>83</v>
      </c>
      <c r="AX141" s="31"/>
      <c r="AY141" s="32">
        <v>32</v>
      </c>
      <c r="AZ141" s="32" t="s">
        <v>70</v>
      </c>
      <c r="BA141" s="32"/>
    </row>
    <row r="142" spans="1:53" x14ac:dyDescent="0.3">
      <c r="A142" s="16" t="s">
        <v>147</v>
      </c>
      <c r="B142" s="17">
        <v>43181</v>
      </c>
      <c r="C142" s="16" t="s">
        <v>291</v>
      </c>
      <c r="D142" s="16">
        <v>13896</v>
      </c>
      <c r="E142" s="19"/>
      <c r="F142" s="19">
        <v>54</v>
      </c>
      <c r="G142" s="16" t="s">
        <v>289</v>
      </c>
      <c r="H142" s="16"/>
      <c r="I142" s="16">
        <v>8027207</v>
      </c>
      <c r="J142" s="16" t="s">
        <v>292</v>
      </c>
      <c r="K142" s="16" t="s">
        <v>233</v>
      </c>
      <c r="L142" s="16" t="s">
        <v>62</v>
      </c>
      <c r="M142" s="16">
        <v>350</v>
      </c>
      <c r="N142" s="16">
        <v>350</v>
      </c>
      <c r="O142" s="16" t="s">
        <v>57</v>
      </c>
      <c r="P142" s="16">
        <v>3.5</v>
      </c>
      <c r="Q142" s="16" t="s">
        <v>94</v>
      </c>
      <c r="R142" s="16">
        <v>2</v>
      </c>
      <c r="S142" s="16"/>
      <c r="T142" s="16">
        <v>3</v>
      </c>
      <c r="U142" s="16">
        <v>120</v>
      </c>
      <c r="V142" s="16"/>
      <c r="W142" s="16">
        <v>3.75</v>
      </c>
      <c r="X142" s="16">
        <v>1</v>
      </c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</row>
    <row r="143" spans="1:53" x14ac:dyDescent="0.3">
      <c r="A143" s="8" t="s">
        <v>72</v>
      </c>
      <c r="B143" s="9">
        <v>43220</v>
      </c>
      <c r="C143" s="10">
        <v>0.51944444444444449</v>
      </c>
      <c r="D143" s="8">
        <v>13896</v>
      </c>
      <c r="E143" s="11"/>
      <c r="F143" s="11">
        <v>54</v>
      </c>
      <c r="G143" s="8" t="s">
        <v>289</v>
      </c>
      <c r="H143" s="8"/>
      <c r="I143" s="8">
        <v>8027207</v>
      </c>
      <c r="J143" s="8"/>
      <c r="K143" s="8" t="s">
        <v>233</v>
      </c>
      <c r="L143" s="8" t="s">
        <v>62</v>
      </c>
      <c r="M143" s="8">
        <v>382</v>
      </c>
      <c r="N143" s="13">
        <v>382</v>
      </c>
      <c r="O143" s="8" t="s">
        <v>57</v>
      </c>
      <c r="P143" s="8"/>
      <c r="Q143" s="8"/>
      <c r="R143" s="8"/>
      <c r="S143" s="8"/>
      <c r="T143" s="8"/>
      <c r="U143" s="8"/>
      <c r="V143" s="8"/>
      <c r="W143" s="8">
        <v>3.25</v>
      </c>
      <c r="X143" s="8">
        <v>1</v>
      </c>
    </row>
    <row r="144" spans="1:53" x14ac:dyDescent="0.3">
      <c r="A144" s="8" t="s">
        <v>154</v>
      </c>
      <c r="B144" s="9">
        <v>43250</v>
      </c>
      <c r="C144" s="10">
        <v>0.57986111111111105</v>
      </c>
      <c r="D144" s="8">
        <v>13896</v>
      </c>
      <c r="E144" s="11"/>
      <c r="F144" s="11">
        <v>54</v>
      </c>
      <c r="G144" s="8" t="s">
        <v>289</v>
      </c>
      <c r="H144" s="8"/>
      <c r="I144" s="8">
        <v>8027207</v>
      </c>
      <c r="J144" s="8"/>
      <c r="K144" s="8" t="s">
        <v>233</v>
      </c>
      <c r="L144" s="8" t="s">
        <v>62</v>
      </c>
      <c r="M144" s="8">
        <v>412</v>
      </c>
      <c r="N144" s="8"/>
      <c r="O144" s="8" t="s">
        <v>57</v>
      </c>
      <c r="P144" s="8"/>
      <c r="Q144" s="8"/>
      <c r="R144" s="8"/>
      <c r="S144" s="8"/>
      <c r="T144" s="8"/>
      <c r="U144" s="8">
        <v>132</v>
      </c>
      <c r="V144" s="8"/>
      <c r="W144" s="8">
        <v>4</v>
      </c>
      <c r="X144" s="8">
        <v>1</v>
      </c>
    </row>
    <row r="145" spans="1:53" x14ac:dyDescent="0.3">
      <c r="A145" s="23" t="s">
        <v>142</v>
      </c>
      <c r="B145" s="24">
        <v>43256</v>
      </c>
      <c r="C145" s="25">
        <v>0.3170486111111111</v>
      </c>
      <c r="D145" s="23">
        <v>13898</v>
      </c>
      <c r="E145" s="26">
        <v>463</v>
      </c>
      <c r="F145" s="27">
        <v>56</v>
      </c>
      <c r="G145" s="23" t="s">
        <v>293</v>
      </c>
      <c r="H145" s="28" t="s">
        <v>294</v>
      </c>
      <c r="I145" s="23">
        <v>8026934</v>
      </c>
      <c r="J145" s="23"/>
      <c r="K145" s="23" t="s">
        <v>295</v>
      </c>
      <c r="L145" s="23" t="s">
        <v>56</v>
      </c>
      <c r="M145" s="23"/>
      <c r="N145" s="23">
        <v>470</v>
      </c>
      <c r="O145" s="23" t="s">
        <v>57</v>
      </c>
      <c r="P145" s="23"/>
      <c r="Q145" s="23"/>
      <c r="R145" s="23"/>
      <c r="S145" s="23" t="s">
        <v>64</v>
      </c>
      <c r="T145" s="23"/>
      <c r="U145" s="23"/>
      <c r="V145" s="23"/>
      <c r="W145" s="23"/>
      <c r="X145" s="23"/>
      <c r="Y145" s="29">
        <v>54.1</v>
      </c>
      <c r="Z145" s="29">
        <v>56.71</v>
      </c>
      <c r="AA145" s="29">
        <v>0</v>
      </c>
      <c r="AB145" s="29">
        <v>12</v>
      </c>
      <c r="AC145" s="29">
        <v>297</v>
      </c>
      <c r="AD145" s="29">
        <v>380</v>
      </c>
      <c r="AE145" s="29">
        <v>1</v>
      </c>
      <c r="AF145" s="29">
        <v>10</v>
      </c>
      <c r="AG145" s="29" t="s">
        <v>75</v>
      </c>
      <c r="AH145" s="29">
        <v>1</v>
      </c>
      <c r="AI145" s="29">
        <v>5.4</v>
      </c>
      <c r="AJ145" s="29">
        <v>79</v>
      </c>
      <c r="AK145" s="29">
        <v>170</v>
      </c>
      <c r="AL145" s="29">
        <v>125</v>
      </c>
      <c r="AM145" s="29">
        <v>8.6999999999999993</v>
      </c>
      <c r="AN145" s="29">
        <v>13</v>
      </c>
      <c r="AO145" s="29" t="s">
        <v>101</v>
      </c>
      <c r="AP145" s="29" t="s">
        <v>68</v>
      </c>
      <c r="AQ145" s="30">
        <v>59</v>
      </c>
      <c r="AR145" s="30">
        <v>0</v>
      </c>
      <c r="AS145" s="30">
        <v>0</v>
      </c>
      <c r="AT145" s="30">
        <v>0</v>
      </c>
      <c r="AU145" s="30"/>
      <c r="AV145" s="31"/>
      <c r="AW145" s="31" t="s">
        <v>70</v>
      </c>
      <c r="AX145" s="31"/>
      <c r="AY145" s="32">
        <v>48</v>
      </c>
      <c r="AZ145" s="32" t="s">
        <v>70</v>
      </c>
      <c r="BA145" s="32"/>
    </row>
    <row r="146" spans="1:53" x14ac:dyDescent="0.3">
      <c r="A146" s="16" t="s">
        <v>147</v>
      </c>
      <c r="B146" s="17">
        <v>43181</v>
      </c>
      <c r="C146" s="16" t="s">
        <v>296</v>
      </c>
      <c r="D146" s="16">
        <v>13898</v>
      </c>
      <c r="E146" s="19"/>
      <c r="F146" s="19">
        <v>56</v>
      </c>
      <c r="G146" s="16" t="s">
        <v>293</v>
      </c>
      <c r="H146" s="16"/>
      <c r="I146" s="16">
        <v>8026934</v>
      </c>
      <c r="J146" s="16" t="s">
        <v>297</v>
      </c>
      <c r="K146" s="16" t="s">
        <v>295</v>
      </c>
      <c r="L146" s="16" t="s">
        <v>56</v>
      </c>
      <c r="M146" s="16">
        <v>379</v>
      </c>
      <c r="N146" s="16">
        <v>378</v>
      </c>
      <c r="O146" s="16" t="s">
        <v>57</v>
      </c>
      <c r="P146" s="16">
        <v>4</v>
      </c>
      <c r="Q146" s="16" t="s">
        <v>63</v>
      </c>
      <c r="R146" s="16">
        <v>14</v>
      </c>
      <c r="S146" s="16"/>
      <c r="T146" s="16">
        <v>3</v>
      </c>
      <c r="U146" s="16">
        <v>126</v>
      </c>
      <c r="V146" s="16"/>
      <c r="W146" s="16">
        <v>3.5</v>
      </c>
      <c r="X146" s="16">
        <v>1</v>
      </c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</row>
    <row r="147" spans="1:53" x14ac:dyDescent="0.3">
      <c r="A147" s="8" t="s">
        <v>72</v>
      </c>
      <c r="B147" s="9">
        <v>43220</v>
      </c>
      <c r="C147" s="10">
        <v>0.50763888888888886</v>
      </c>
      <c r="D147" s="8">
        <v>13898</v>
      </c>
      <c r="E147" s="11"/>
      <c r="F147" s="11">
        <v>56</v>
      </c>
      <c r="G147" s="8" t="s">
        <v>293</v>
      </c>
      <c r="H147" s="8"/>
      <c r="I147" s="8">
        <v>8026934</v>
      </c>
      <c r="J147" s="8"/>
      <c r="K147" s="8" t="s">
        <v>295</v>
      </c>
      <c r="L147" s="8" t="s">
        <v>56</v>
      </c>
      <c r="M147" s="8">
        <v>407</v>
      </c>
      <c r="N147" s="13">
        <v>407</v>
      </c>
      <c r="O147" s="8" t="s">
        <v>57</v>
      </c>
      <c r="P147" s="8"/>
      <c r="Q147" s="8"/>
      <c r="R147" s="8"/>
      <c r="S147" s="8"/>
      <c r="T147" s="8"/>
      <c r="U147" s="8"/>
      <c r="V147" s="8"/>
      <c r="W147" s="8">
        <v>3.5</v>
      </c>
      <c r="X147" s="8">
        <v>1</v>
      </c>
    </row>
    <row r="148" spans="1:53" x14ac:dyDescent="0.3">
      <c r="A148" s="8" t="s">
        <v>154</v>
      </c>
      <c r="B148" s="9">
        <v>43250</v>
      </c>
      <c r="C148" s="10"/>
      <c r="D148" s="8">
        <v>13898</v>
      </c>
      <c r="E148" s="11"/>
      <c r="F148" s="11">
        <v>56</v>
      </c>
      <c r="G148" s="8" t="s">
        <v>293</v>
      </c>
      <c r="H148" s="8"/>
      <c r="I148" s="8">
        <v>8026934</v>
      </c>
      <c r="J148" s="8"/>
      <c r="K148" s="8" t="s">
        <v>295</v>
      </c>
      <c r="L148" s="8" t="s">
        <v>56</v>
      </c>
      <c r="M148" s="8"/>
      <c r="N148" s="8"/>
      <c r="O148" s="8" t="s">
        <v>57</v>
      </c>
      <c r="P148" s="8"/>
      <c r="Q148" s="8"/>
      <c r="R148" s="8"/>
      <c r="S148" s="8"/>
      <c r="T148" s="8"/>
      <c r="U148" s="8"/>
      <c r="V148" s="8"/>
      <c r="W148" s="8"/>
      <c r="X148" s="8"/>
    </row>
    <row r="149" spans="1:53" x14ac:dyDescent="0.3">
      <c r="A149" s="23" t="s">
        <v>142</v>
      </c>
      <c r="B149" s="24">
        <v>43256</v>
      </c>
      <c r="C149" s="25">
        <v>0.30054398148148148</v>
      </c>
      <c r="D149" s="23">
        <v>13899</v>
      </c>
      <c r="E149" s="26">
        <v>487</v>
      </c>
      <c r="F149" s="27">
        <v>57</v>
      </c>
      <c r="G149" s="23" t="s">
        <v>298</v>
      </c>
      <c r="H149" s="28" t="s">
        <v>299</v>
      </c>
      <c r="I149" s="23">
        <v>8027752</v>
      </c>
      <c r="J149" s="23"/>
      <c r="K149" s="23" t="s">
        <v>295</v>
      </c>
      <c r="L149" s="23" t="s">
        <v>56</v>
      </c>
      <c r="M149" s="23"/>
      <c r="N149" s="23">
        <v>415</v>
      </c>
      <c r="O149" s="23" t="s">
        <v>57</v>
      </c>
      <c r="P149" s="23"/>
      <c r="Q149" s="23"/>
      <c r="R149" s="23"/>
      <c r="S149" s="23" t="s">
        <v>92</v>
      </c>
      <c r="T149" s="23"/>
      <c r="U149" s="23"/>
      <c r="V149" s="23"/>
      <c r="W149" s="23"/>
      <c r="X149" s="23"/>
      <c r="Y149" s="29">
        <v>58.73</v>
      </c>
      <c r="Z149" s="29">
        <v>61.34</v>
      </c>
      <c r="AA149" s="29">
        <v>0</v>
      </c>
      <c r="AB149" s="29">
        <v>5</v>
      </c>
      <c r="AC149" s="29">
        <v>275.10000000000002</v>
      </c>
      <c r="AD149" s="29">
        <v>300</v>
      </c>
      <c r="AE149" s="29">
        <v>1</v>
      </c>
      <c r="AF149" s="29">
        <v>5</v>
      </c>
      <c r="AG149" s="29" t="s">
        <v>75</v>
      </c>
      <c r="AH149" s="29">
        <v>1</v>
      </c>
      <c r="AI149" s="29">
        <v>5.51</v>
      </c>
      <c r="AJ149" s="29">
        <v>70</v>
      </c>
      <c r="AK149" s="29">
        <v>110</v>
      </c>
      <c r="AL149" s="29">
        <v>100</v>
      </c>
      <c r="AM149" s="29">
        <v>7.2</v>
      </c>
      <c r="AN149" s="29">
        <v>13</v>
      </c>
      <c r="AO149" s="29" t="s">
        <v>76</v>
      </c>
      <c r="AP149" s="29" t="s">
        <v>68</v>
      </c>
      <c r="AQ149" s="30">
        <v>92</v>
      </c>
      <c r="AR149" s="30">
        <v>0</v>
      </c>
      <c r="AS149" s="30">
        <v>0</v>
      </c>
      <c r="AT149" s="30">
        <v>0</v>
      </c>
      <c r="AU149" s="30"/>
      <c r="AV149" s="31"/>
      <c r="AW149" s="31" t="s">
        <v>70</v>
      </c>
      <c r="AX149" s="31"/>
      <c r="AY149" s="32">
        <v>112</v>
      </c>
      <c r="AZ149" s="32" t="s">
        <v>70</v>
      </c>
      <c r="BA149" s="32"/>
    </row>
    <row r="150" spans="1:53" x14ac:dyDescent="0.3">
      <c r="A150" s="16" t="s">
        <v>147</v>
      </c>
      <c r="B150" s="17">
        <v>43181</v>
      </c>
      <c r="C150" s="16" t="s">
        <v>300</v>
      </c>
      <c r="D150" s="16">
        <v>13899</v>
      </c>
      <c r="E150" s="19"/>
      <c r="F150" s="19">
        <v>57</v>
      </c>
      <c r="G150" s="16" t="s">
        <v>298</v>
      </c>
      <c r="H150" s="16"/>
      <c r="I150" s="16">
        <v>8027752</v>
      </c>
      <c r="J150" s="16" t="s">
        <v>301</v>
      </c>
      <c r="K150" s="16" t="s">
        <v>295</v>
      </c>
      <c r="L150" s="16" t="s">
        <v>56</v>
      </c>
      <c r="M150" s="16">
        <v>349</v>
      </c>
      <c r="N150" s="16">
        <v>349</v>
      </c>
      <c r="O150" s="16" t="s">
        <v>57</v>
      </c>
      <c r="P150" s="16">
        <v>3</v>
      </c>
      <c r="Q150" s="16" t="s">
        <v>94</v>
      </c>
      <c r="R150" s="16">
        <v>2</v>
      </c>
      <c r="S150" s="16"/>
      <c r="T150" s="16">
        <v>3</v>
      </c>
      <c r="U150" s="16">
        <v>122</v>
      </c>
      <c r="V150" s="16"/>
      <c r="W150" s="16">
        <v>3.25</v>
      </c>
      <c r="X150" s="16">
        <v>1</v>
      </c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</row>
    <row r="151" spans="1:53" x14ac:dyDescent="0.3">
      <c r="A151" s="8" t="s">
        <v>72</v>
      </c>
      <c r="B151" s="9">
        <v>43220</v>
      </c>
      <c r="C151" s="10">
        <v>0.52708333333333335</v>
      </c>
      <c r="D151" s="8">
        <v>13899</v>
      </c>
      <c r="E151" s="11"/>
      <c r="F151" s="11">
        <v>57</v>
      </c>
      <c r="G151" s="8" t="s">
        <v>298</v>
      </c>
      <c r="H151" s="8"/>
      <c r="I151" s="8">
        <v>8027752</v>
      </c>
      <c r="J151" s="8"/>
      <c r="K151" s="8" t="s">
        <v>295</v>
      </c>
      <c r="L151" s="8" t="s">
        <v>56</v>
      </c>
      <c r="M151" s="8">
        <v>364</v>
      </c>
      <c r="N151" s="13">
        <v>364</v>
      </c>
      <c r="O151" s="8" t="s">
        <v>57</v>
      </c>
      <c r="P151" s="8"/>
      <c r="Q151" s="8"/>
      <c r="R151" s="8"/>
      <c r="S151" s="8"/>
      <c r="T151" s="8"/>
      <c r="U151" s="8"/>
      <c r="V151" s="8"/>
      <c r="W151" s="8">
        <v>3.25</v>
      </c>
      <c r="X151" s="8">
        <v>0</v>
      </c>
    </row>
    <row r="152" spans="1:53" x14ac:dyDescent="0.3">
      <c r="A152" s="8" t="s">
        <v>154</v>
      </c>
      <c r="B152" s="9">
        <v>43250</v>
      </c>
      <c r="C152" s="10">
        <v>0.50069444444444444</v>
      </c>
      <c r="D152" s="8">
        <v>13899</v>
      </c>
      <c r="E152" s="11"/>
      <c r="F152" s="11">
        <v>57</v>
      </c>
      <c r="G152" s="8" t="s">
        <v>298</v>
      </c>
      <c r="H152" s="8"/>
      <c r="I152" s="8">
        <v>8027752</v>
      </c>
      <c r="J152" s="8"/>
      <c r="K152" s="8" t="s">
        <v>295</v>
      </c>
      <c r="L152" s="8" t="s">
        <v>56</v>
      </c>
      <c r="M152" s="8">
        <v>404</v>
      </c>
      <c r="N152" s="8"/>
      <c r="O152" s="8" t="s">
        <v>57</v>
      </c>
      <c r="P152" s="8"/>
      <c r="Q152" s="8"/>
      <c r="R152" s="8"/>
      <c r="S152" s="8"/>
      <c r="T152" s="8"/>
      <c r="U152" s="8">
        <v>134</v>
      </c>
      <c r="V152" s="8"/>
      <c r="W152" s="8">
        <v>4</v>
      </c>
      <c r="X152" s="8">
        <v>1</v>
      </c>
    </row>
    <row r="153" spans="1:53" x14ac:dyDescent="0.3">
      <c r="A153" s="23" t="s">
        <v>142</v>
      </c>
      <c r="B153" s="24">
        <v>43256</v>
      </c>
      <c r="C153" s="25">
        <v>0.32476851851851851</v>
      </c>
      <c r="D153" s="23">
        <v>13901</v>
      </c>
      <c r="E153" s="26">
        <v>511</v>
      </c>
      <c r="F153" s="27">
        <v>59</v>
      </c>
      <c r="G153" s="23" t="s">
        <v>302</v>
      </c>
      <c r="H153" s="28" t="s">
        <v>303</v>
      </c>
      <c r="I153" s="23">
        <v>8026657</v>
      </c>
      <c r="J153" s="23"/>
      <c r="K153" s="23" t="s">
        <v>295</v>
      </c>
      <c r="L153" s="23" t="s">
        <v>56</v>
      </c>
      <c r="M153" s="23"/>
      <c r="N153" s="23">
        <v>478</v>
      </c>
      <c r="O153" s="23" t="s">
        <v>72</v>
      </c>
      <c r="P153" s="23"/>
      <c r="Q153" s="23"/>
      <c r="R153" s="23"/>
      <c r="S153" s="23" t="s">
        <v>96</v>
      </c>
      <c r="T153" s="23"/>
      <c r="U153" s="23"/>
      <c r="V153" s="23"/>
      <c r="W153" s="23"/>
      <c r="X153" s="23"/>
      <c r="Y153" s="29">
        <v>61.2</v>
      </c>
      <c r="Z153" s="29">
        <v>63.81</v>
      </c>
      <c r="AA153" s="29">
        <v>0</v>
      </c>
      <c r="AB153" s="29">
        <v>14</v>
      </c>
      <c r="AC153" s="29">
        <v>266</v>
      </c>
      <c r="AD153" s="29">
        <v>380</v>
      </c>
      <c r="AE153" s="29">
        <v>1</v>
      </c>
      <c r="AF153" s="29">
        <v>8</v>
      </c>
      <c r="AG153" s="29" t="s">
        <v>75</v>
      </c>
      <c r="AH153" s="29">
        <v>1</v>
      </c>
      <c r="AI153" s="29">
        <v>5.36</v>
      </c>
      <c r="AJ153" s="29">
        <v>65</v>
      </c>
      <c r="AK153" s="29">
        <v>120</v>
      </c>
      <c r="AL153" s="29">
        <v>85</v>
      </c>
      <c r="AM153" s="29">
        <v>7</v>
      </c>
      <c r="AN153" s="29">
        <v>13</v>
      </c>
      <c r="AO153" s="29" t="s">
        <v>76</v>
      </c>
      <c r="AP153" s="29" t="s">
        <v>68</v>
      </c>
      <c r="AQ153" s="30">
        <v>88</v>
      </c>
      <c r="AR153" s="30">
        <v>0</v>
      </c>
      <c r="AS153" s="30">
        <v>0</v>
      </c>
      <c r="AT153" s="30">
        <v>1</v>
      </c>
      <c r="AU153" s="30"/>
      <c r="AV153" s="31"/>
      <c r="AW153" s="31" t="s">
        <v>70</v>
      </c>
      <c r="AX153" s="31"/>
      <c r="AY153" s="32">
        <v>9</v>
      </c>
      <c r="AZ153" s="32" t="s">
        <v>70</v>
      </c>
      <c r="BA153" s="32"/>
    </row>
    <row r="154" spans="1:53" x14ac:dyDescent="0.3">
      <c r="A154" s="16" t="s">
        <v>147</v>
      </c>
      <c r="B154" s="17">
        <v>43181</v>
      </c>
      <c r="C154" s="16" t="s">
        <v>304</v>
      </c>
      <c r="D154" s="16">
        <v>13901</v>
      </c>
      <c r="E154" s="19"/>
      <c r="F154" s="19">
        <v>59</v>
      </c>
      <c r="G154" s="16" t="s">
        <v>302</v>
      </c>
      <c r="H154" s="16"/>
      <c r="I154" s="16">
        <v>8026657</v>
      </c>
      <c r="J154" s="16" t="s">
        <v>305</v>
      </c>
      <c r="K154" s="16" t="s">
        <v>295</v>
      </c>
      <c r="L154" s="16" t="s">
        <v>56</v>
      </c>
      <c r="M154" s="16">
        <v>396</v>
      </c>
      <c r="N154" s="16">
        <v>396</v>
      </c>
      <c r="O154" s="16" t="s">
        <v>72</v>
      </c>
      <c r="P154" s="16">
        <v>1</v>
      </c>
      <c r="Q154" s="16" t="s">
        <v>98</v>
      </c>
      <c r="R154" s="16">
        <v>8</v>
      </c>
      <c r="S154" s="16"/>
      <c r="T154" s="16">
        <v>3</v>
      </c>
      <c r="U154" s="16">
        <v>125</v>
      </c>
      <c r="V154" s="16"/>
      <c r="W154" s="16">
        <v>3.25</v>
      </c>
      <c r="X154" s="16">
        <v>1</v>
      </c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</row>
    <row r="155" spans="1:53" x14ac:dyDescent="0.3">
      <c r="A155" s="8" t="s">
        <v>72</v>
      </c>
      <c r="B155" s="9">
        <v>43220</v>
      </c>
      <c r="C155" s="10">
        <v>0.4861111111111111</v>
      </c>
      <c r="D155" s="8">
        <v>13901</v>
      </c>
      <c r="E155" s="11"/>
      <c r="F155" s="11">
        <v>59</v>
      </c>
      <c r="G155" s="8" t="s">
        <v>302</v>
      </c>
      <c r="H155" s="8"/>
      <c r="I155" s="8">
        <v>8026657</v>
      </c>
      <c r="J155" s="8"/>
      <c r="K155" s="8" t="s">
        <v>295</v>
      </c>
      <c r="L155" s="8" t="s">
        <v>56</v>
      </c>
      <c r="M155" s="8">
        <v>408</v>
      </c>
      <c r="N155" s="13">
        <v>408</v>
      </c>
      <c r="O155" s="8" t="s">
        <v>72</v>
      </c>
      <c r="P155" s="8"/>
      <c r="Q155" s="8"/>
      <c r="R155" s="8"/>
      <c r="S155" s="8"/>
      <c r="T155" s="8"/>
      <c r="U155" s="8"/>
      <c r="V155" s="8">
        <v>1</v>
      </c>
      <c r="W155" s="8">
        <v>3</v>
      </c>
      <c r="X155" s="8">
        <v>1</v>
      </c>
    </row>
    <row r="156" spans="1:53" x14ac:dyDescent="0.3">
      <c r="A156" s="8" t="s">
        <v>154</v>
      </c>
      <c r="B156" s="9">
        <v>43250</v>
      </c>
      <c r="C156" s="10">
        <v>0.46388888888888885</v>
      </c>
      <c r="D156" s="8">
        <v>13901</v>
      </c>
      <c r="E156" s="11"/>
      <c r="F156" s="11">
        <v>59</v>
      </c>
      <c r="G156" s="8" t="s">
        <v>302</v>
      </c>
      <c r="H156" s="8"/>
      <c r="I156" s="8">
        <v>8026657</v>
      </c>
      <c r="J156" s="8"/>
      <c r="K156" s="8" t="s">
        <v>295</v>
      </c>
      <c r="L156" s="8" t="s">
        <v>56</v>
      </c>
      <c r="M156" s="8">
        <v>465</v>
      </c>
      <c r="N156" s="8"/>
      <c r="O156" s="8" t="s">
        <v>72</v>
      </c>
      <c r="P156" s="8"/>
      <c r="Q156" s="8"/>
      <c r="R156" s="8"/>
      <c r="S156" s="8"/>
      <c r="T156" s="8"/>
      <c r="U156" s="8"/>
      <c r="V156" s="8"/>
      <c r="W156" s="8">
        <v>4</v>
      </c>
      <c r="X156" s="8">
        <v>1</v>
      </c>
    </row>
    <row r="157" spans="1:53" x14ac:dyDescent="0.3">
      <c r="A157" s="23" t="s">
        <v>142</v>
      </c>
      <c r="B157" s="24">
        <v>43256</v>
      </c>
      <c r="C157" s="25">
        <v>0.30516203703703704</v>
      </c>
      <c r="D157" s="23">
        <v>13902</v>
      </c>
      <c r="E157" s="26">
        <v>483</v>
      </c>
      <c r="F157" s="27">
        <v>60</v>
      </c>
      <c r="G157" s="23" t="s">
        <v>306</v>
      </c>
      <c r="H157" s="28" t="s">
        <v>307</v>
      </c>
      <c r="I157" s="23">
        <v>8032098</v>
      </c>
      <c r="J157" s="23"/>
      <c r="K157" s="23" t="s">
        <v>295</v>
      </c>
      <c r="L157" s="23" t="s">
        <v>56</v>
      </c>
      <c r="M157" s="23"/>
      <c r="N157" s="23">
        <v>461</v>
      </c>
      <c r="O157" s="23" t="s">
        <v>72</v>
      </c>
      <c r="P157" s="23"/>
      <c r="Q157" s="23"/>
      <c r="R157" s="23"/>
      <c r="S157" s="23" t="s">
        <v>88</v>
      </c>
      <c r="T157" s="23"/>
      <c r="U157" s="23"/>
      <c r="V157" s="23"/>
      <c r="W157" s="23"/>
      <c r="X157" s="23"/>
      <c r="Y157" s="29">
        <v>60.31</v>
      </c>
      <c r="Z157" s="29">
        <v>62.92</v>
      </c>
      <c r="AA157" s="29">
        <v>0</v>
      </c>
      <c r="AB157" s="29">
        <v>8</v>
      </c>
      <c r="AC157" s="29">
        <v>271</v>
      </c>
      <c r="AD157" s="29">
        <v>350</v>
      </c>
      <c r="AE157" s="29">
        <v>1</v>
      </c>
      <c r="AF157" s="29">
        <v>5</v>
      </c>
      <c r="AG157" s="29" t="s">
        <v>75</v>
      </c>
      <c r="AH157" s="29">
        <v>0</v>
      </c>
      <c r="AI157" s="29">
        <v>5.43</v>
      </c>
      <c r="AJ157" s="29">
        <v>72</v>
      </c>
      <c r="AK157" s="29">
        <v>120</v>
      </c>
      <c r="AL157" s="29">
        <v>85</v>
      </c>
      <c r="AM157" s="29">
        <v>6.9</v>
      </c>
      <c r="AN157" s="29">
        <v>13</v>
      </c>
      <c r="AO157" s="29" t="s">
        <v>76</v>
      </c>
      <c r="AP157" s="29" t="s">
        <v>68</v>
      </c>
      <c r="AQ157" s="30">
        <v>111</v>
      </c>
      <c r="AR157" s="30">
        <v>0</v>
      </c>
      <c r="AS157" s="30">
        <v>0</v>
      </c>
      <c r="AT157" s="30">
        <v>0</v>
      </c>
      <c r="AU157" s="30"/>
      <c r="AV157" s="31"/>
      <c r="AW157" s="31" t="s">
        <v>70</v>
      </c>
      <c r="AX157" s="31"/>
      <c r="AY157" s="32">
        <v>21</v>
      </c>
      <c r="AZ157" s="32" t="s">
        <v>70</v>
      </c>
      <c r="BA157" s="32"/>
    </row>
    <row r="158" spans="1:53" x14ac:dyDescent="0.3">
      <c r="A158" s="16" t="s">
        <v>147</v>
      </c>
      <c r="B158" s="17">
        <v>43181</v>
      </c>
      <c r="C158" s="16" t="s">
        <v>308</v>
      </c>
      <c r="D158" s="16">
        <v>13902</v>
      </c>
      <c r="E158" s="19"/>
      <c r="F158" s="19">
        <v>60</v>
      </c>
      <c r="G158" s="16" t="s">
        <v>306</v>
      </c>
      <c r="H158" s="16"/>
      <c r="I158" s="16">
        <v>8032098</v>
      </c>
      <c r="J158" s="16" t="s">
        <v>309</v>
      </c>
      <c r="K158" s="16" t="s">
        <v>295</v>
      </c>
      <c r="L158" s="16" t="s">
        <v>56</v>
      </c>
      <c r="M158" s="16">
        <v>385</v>
      </c>
      <c r="N158" s="16">
        <v>385</v>
      </c>
      <c r="O158" s="16" t="s">
        <v>72</v>
      </c>
      <c r="P158" s="16">
        <v>2</v>
      </c>
      <c r="Q158" s="16" t="s">
        <v>63</v>
      </c>
      <c r="R158" s="16">
        <v>14</v>
      </c>
      <c r="S158" s="16"/>
      <c r="T158" s="16">
        <v>2</v>
      </c>
      <c r="U158" s="16">
        <v>130</v>
      </c>
      <c r="V158" s="16"/>
      <c r="W158" s="16">
        <v>3.25</v>
      </c>
      <c r="X158" s="16">
        <v>1</v>
      </c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</row>
    <row r="159" spans="1:53" x14ac:dyDescent="0.3">
      <c r="A159" s="8" t="s">
        <v>72</v>
      </c>
      <c r="B159" s="9">
        <v>43220</v>
      </c>
      <c r="C159" s="10">
        <v>0.47222222222222227</v>
      </c>
      <c r="D159" s="8">
        <v>13902</v>
      </c>
      <c r="E159" s="11"/>
      <c r="F159" s="11">
        <v>60</v>
      </c>
      <c r="G159" s="8" t="s">
        <v>306</v>
      </c>
      <c r="H159" s="8"/>
      <c r="I159" s="8">
        <v>8032098</v>
      </c>
      <c r="J159" s="8"/>
      <c r="K159" s="8" t="s">
        <v>295</v>
      </c>
      <c r="L159" s="8" t="s">
        <v>56</v>
      </c>
      <c r="M159" s="8">
        <v>410</v>
      </c>
      <c r="N159" s="13">
        <v>410</v>
      </c>
      <c r="O159" s="8" t="s">
        <v>72</v>
      </c>
      <c r="P159" s="8"/>
      <c r="Q159" s="8"/>
      <c r="R159" s="8"/>
      <c r="S159" s="8"/>
      <c r="T159" s="8"/>
      <c r="U159" s="8"/>
      <c r="V159" s="8"/>
      <c r="W159" s="8">
        <v>3.25</v>
      </c>
      <c r="X159" s="8">
        <v>1</v>
      </c>
    </row>
    <row r="160" spans="1:53" x14ac:dyDescent="0.3">
      <c r="A160" s="8" t="s">
        <v>154</v>
      </c>
      <c r="B160" s="9">
        <v>43250</v>
      </c>
      <c r="C160" s="10">
        <v>0.59097222222222223</v>
      </c>
      <c r="D160" s="8">
        <v>13902</v>
      </c>
      <c r="E160" s="11"/>
      <c r="F160" s="11">
        <v>60</v>
      </c>
      <c r="G160" s="8" t="s">
        <v>306</v>
      </c>
      <c r="H160" s="8"/>
      <c r="I160" s="8">
        <v>8032098</v>
      </c>
      <c r="J160" s="8"/>
      <c r="K160" s="8" t="s">
        <v>295</v>
      </c>
      <c r="L160" s="8" t="s">
        <v>56</v>
      </c>
      <c r="M160" s="8">
        <v>449</v>
      </c>
      <c r="N160" s="8"/>
      <c r="O160" s="8" t="s">
        <v>72</v>
      </c>
      <c r="P160" s="8"/>
      <c r="Q160" s="8"/>
      <c r="R160" s="8"/>
      <c r="S160" s="8"/>
      <c r="T160" s="8"/>
      <c r="U160" s="8">
        <v>138</v>
      </c>
      <c r="V160" s="8"/>
      <c r="W160" s="8">
        <v>4</v>
      </c>
      <c r="X160" s="8">
        <v>1</v>
      </c>
    </row>
    <row r="161" spans="1:53" x14ac:dyDescent="0.3">
      <c r="A161" s="23" t="s">
        <v>142</v>
      </c>
      <c r="B161" s="24">
        <v>43256</v>
      </c>
      <c r="C161" s="25">
        <v>0.30653935185185183</v>
      </c>
      <c r="D161" s="23">
        <v>13903</v>
      </c>
      <c r="E161" s="26">
        <v>447</v>
      </c>
      <c r="F161" s="27">
        <v>61</v>
      </c>
      <c r="G161" s="23" t="s">
        <v>310</v>
      </c>
      <c r="H161" s="28" t="s">
        <v>311</v>
      </c>
      <c r="I161" s="23">
        <v>8039086</v>
      </c>
      <c r="J161" s="23"/>
      <c r="K161" s="23" t="s">
        <v>295</v>
      </c>
      <c r="L161" s="23" t="s">
        <v>56</v>
      </c>
      <c r="M161" s="23"/>
      <c r="N161" s="23">
        <v>439</v>
      </c>
      <c r="O161" s="23" t="s">
        <v>72</v>
      </c>
      <c r="P161" s="23"/>
      <c r="Q161" s="23"/>
      <c r="R161" s="23"/>
      <c r="S161" s="23" t="s">
        <v>73</v>
      </c>
      <c r="T161" s="23"/>
      <c r="U161" s="23"/>
      <c r="V161" s="23"/>
      <c r="W161" s="23"/>
      <c r="X161" s="23"/>
      <c r="Y161" s="29">
        <v>55.13</v>
      </c>
      <c r="Z161" s="29">
        <v>57.74</v>
      </c>
      <c r="AA161" s="29">
        <v>2</v>
      </c>
      <c r="AB161" s="29">
        <v>4</v>
      </c>
      <c r="AC161" s="29">
        <v>279.89999999999998</v>
      </c>
      <c r="AD161" s="29">
        <v>330</v>
      </c>
      <c r="AE161" s="29">
        <v>1</v>
      </c>
      <c r="AF161" s="29">
        <v>4</v>
      </c>
      <c r="AG161" s="29" t="s">
        <v>75</v>
      </c>
      <c r="AH161" s="29">
        <v>1</v>
      </c>
      <c r="AI161" s="29">
        <v>5.45</v>
      </c>
      <c r="AJ161" s="29">
        <v>80</v>
      </c>
      <c r="AK161" s="29">
        <v>170</v>
      </c>
      <c r="AL161" s="29">
        <v>95</v>
      </c>
      <c r="AM161" s="29">
        <v>8.6</v>
      </c>
      <c r="AN161" s="29">
        <v>13</v>
      </c>
      <c r="AO161" s="29" t="s">
        <v>101</v>
      </c>
      <c r="AP161" s="29" t="s">
        <v>68</v>
      </c>
      <c r="AQ161" s="30">
        <v>101</v>
      </c>
      <c r="AR161" s="30">
        <v>0</v>
      </c>
      <c r="AS161" s="30">
        <v>0</v>
      </c>
      <c r="AT161" s="30">
        <v>1</v>
      </c>
      <c r="AU161" s="30" t="s">
        <v>100</v>
      </c>
      <c r="AV161" s="31"/>
      <c r="AW161" s="31" t="s">
        <v>70</v>
      </c>
      <c r="AX161" s="31"/>
      <c r="AY161" s="32">
        <v>40</v>
      </c>
      <c r="AZ161" s="32" t="s">
        <v>83</v>
      </c>
      <c r="BA161" s="32"/>
    </row>
    <row r="162" spans="1:53" x14ac:dyDescent="0.3">
      <c r="A162" s="8" t="s">
        <v>147</v>
      </c>
      <c r="B162" s="9">
        <v>43181</v>
      </c>
      <c r="C162" s="8" t="s">
        <v>312</v>
      </c>
      <c r="D162" s="8">
        <v>13903</v>
      </c>
      <c r="E162" s="11"/>
      <c r="F162" s="11">
        <v>61</v>
      </c>
      <c r="G162" s="8" t="s">
        <v>310</v>
      </c>
      <c r="H162" s="8"/>
      <c r="I162" s="8">
        <v>8039086</v>
      </c>
      <c r="J162" s="8" t="s">
        <v>313</v>
      </c>
      <c r="K162" s="8" t="s">
        <v>295</v>
      </c>
      <c r="L162" s="8" t="s">
        <v>56</v>
      </c>
      <c r="M162" s="8">
        <v>358</v>
      </c>
      <c r="N162" s="8">
        <v>358</v>
      </c>
      <c r="O162" s="8" t="s">
        <v>72</v>
      </c>
      <c r="P162" s="8"/>
      <c r="Q162" s="8" t="s">
        <v>71</v>
      </c>
      <c r="R162" s="8">
        <v>4</v>
      </c>
      <c r="S162" s="8"/>
      <c r="T162" s="8">
        <v>4</v>
      </c>
      <c r="U162" s="8">
        <v>119</v>
      </c>
      <c r="V162" s="8"/>
      <c r="W162" s="8">
        <v>3.5</v>
      </c>
      <c r="X162" s="8">
        <v>2</v>
      </c>
    </row>
    <row r="163" spans="1:53" x14ac:dyDescent="0.3">
      <c r="A163" s="8" t="s">
        <v>72</v>
      </c>
      <c r="B163" s="9">
        <v>43220</v>
      </c>
      <c r="C163" s="10">
        <v>0.49374999999999997</v>
      </c>
      <c r="D163" s="8">
        <v>13903</v>
      </c>
      <c r="E163" s="11"/>
      <c r="F163" s="11">
        <v>61</v>
      </c>
      <c r="G163" s="8" t="s">
        <v>310</v>
      </c>
      <c r="H163" s="8"/>
      <c r="I163" s="8">
        <v>8039086</v>
      </c>
      <c r="J163" s="8"/>
      <c r="K163" s="8" t="s">
        <v>295</v>
      </c>
      <c r="L163" s="8" t="s">
        <v>56</v>
      </c>
      <c r="M163" s="8">
        <v>392</v>
      </c>
      <c r="N163" s="13">
        <v>392</v>
      </c>
      <c r="O163" s="8" t="s">
        <v>72</v>
      </c>
      <c r="P163" s="8"/>
      <c r="Q163" s="8"/>
      <c r="R163" s="8"/>
      <c r="S163" s="8"/>
      <c r="T163" s="8"/>
      <c r="U163" s="8"/>
      <c r="V163" s="8"/>
      <c r="W163" s="8">
        <v>3.5</v>
      </c>
      <c r="X163" s="8">
        <v>1</v>
      </c>
    </row>
    <row r="164" spans="1:53" x14ac:dyDescent="0.3">
      <c r="A164" s="8" t="s">
        <v>154</v>
      </c>
      <c r="B164" s="9">
        <v>43250</v>
      </c>
      <c r="C164" s="10">
        <v>0.47986111111111113</v>
      </c>
      <c r="D164" s="8">
        <v>13903</v>
      </c>
      <c r="E164" s="11"/>
      <c r="F164" s="11">
        <v>61</v>
      </c>
      <c r="G164" s="8" t="s">
        <v>310</v>
      </c>
      <c r="H164" s="8"/>
      <c r="I164" s="8">
        <v>8039086</v>
      </c>
      <c r="J164" s="8"/>
      <c r="K164" s="8" t="s">
        <v>295</v>
      </c>
      <c r="L164" s="8" t="s">
        <v>56</v>
      </c>
      <c r="M164" s="8">
        <v>428</v>
      </c>
      <c r="N164" s="8"/>
      <c r="O164" s="8" t="s">
        <v>72</v>
      </c>
      <c r="P164" s="8"/>
      <c r="Q164" s="8"/>
      <c r="R164" s="8"/>
      <c r="S164" s="8"/>
      <c r="T164" s="8"/>
      <c r="U164" s="8">
        <v>134</v>
      </c>
      <c r="V164" s="8"/>
      <c r="W164" s="8">
        <v>3.5</v>
      </c>
      <c r="X164" s="8">
        <v>2</v>
      </c>
    </row>
    <row r="165" spans="1:53" x14ac:dyDescent="0.3">
      <c r="A165" s="23" t="s">
        <v>142</v>
      </c>
      <c r="B165" s="24">
        <v>43256</v>
      </c>
      <c r="C165" s="25">
        <v>0.28873842592592591</v>
      </c>
      <c r="D165" s="23">
        <v>13904</v>
      </c>
      <c r="E165" s="26">
        <v>449</v>
      </c>
      <c r="F165" s="27">
        <v>62</v>
      </c>
      <c r="G165" s="23" t="s">
        <v>314</v>
      </c>
      <c r="H165" s="28" t="s">
        <v>315</v>
      </c>
      <c r="I165" s="23">
        <v>8046326</v>
      </c>
      <c r="J165" s="23"/>
      <c r="K165" s="23" t="s">
        <v>295</v>
      </c>
      <c r="L165" s="23" t="s">
        <v>56</v>
      </c>
      <c r="M165" s="23"/>
      <c r="N165" s="23">
        <v>430</v>
      </c>
      <c r="O165" s="23" t="s">
        <v>72</v>
      </c>
      <c r="P165" s="23"/>
      <c r="Q165" s="23"/>
      <c r="R165" s="23"/>
      <c r="S165" s="23" t="s">
        <v>73</v>
      </c>
      <c r="T165" s="23"/>
      <c r="U165" s="23"/>
      <c r="V165" s="23"/>
      <c r="W165" s="23"/>
      <c r="X165" s="23"/>
      <c r="Y165" s="29">
        <v>56.93</v>
      </c>
      <c r="Z165" s="29">
        <v>59.54</v>
      </c>
      <c r="AA165" s="29">
        <v>0</v>
      </c>
      <c r="AB165" s="29">
        <v>5</v>
      </c>
      <c r="AC165" s="29">
        <v>256.10000000000002</v>
      </c>
      <c r="AD165" s="29">
        <v>240</v>
      </c>
      <c r="AE165" s="29">
        <v>0</v>
      </c>
      <c r="AF165" s="29">
        <v>4</v>
      </c>
      <c r="AG165" s="29" t="s">
        <v>75</v>
      </c>
      <c r="AH165" s="29">
        <v>1</v>
      </c>
      <c r="AI165" s="29">
        <v>5.38</v>
      </c>
      <c r="AJ165" s="29">
        <v>74</v>
      </c>
      <c r="AK165" s="29">
        <v>140</v>
      </c>
      <c r="AL165" s="29">
        <v>80</v>
      </c>
      <c r="AM165" s="29">
        <v>8.1</v>
      </c>
      <c r="AN165" s="29">
        <v>13</v>
      </c>
      <c r="AO165" s="29" t="s">
        <v>67</v>
      </c>
      <c r="AP165" s="29" t="s">
        <v>68</v>
      </c>
      <c r="AQ165" s="30">
        <v>108</v>
      </c>
      <c r="AR165" s="30">
        <v>0</v>
      </c>
      <c r="AS165" s="30">
        <v>0</v>
      </c>
      <c r="AT165" s="30">
        <v>0</v>
      </c>
      <c r="AU165" s="30"/>
      <c r="AV165" s="31"/>
      <c r="AW165" s="31" t="s">
        <v>70</v>
      </c>
      <c r="AX165" s="31" t="s">
        <v>99</v>
      </c>
      <c r="AY165" s="32">
        <v>77</v>
      </c>
      <c r="AZ165" s="32" t="s">
        <v>70</v>
      </c>
      <c r="BA165" s="32"/>
    </row>
    <row r="166" spans="1:53" x14ac:dyDescent="0.3">
      <c r="A166" s="16" t="s">
        <v>147</v>
      </c>
      <c r="B166" s="17">
        <v>43181</v>
      </c>
      <c r="C166" s="16" t="s">
        <v>316</v>
      </c>
      <c r="D166" s="16">
        <v>13904</v>
      </c>
      <c r="E166" s="19"/>
      <c r="F166" s="19">
        <v>62</v>
      </c>
      <c r="G166" s="16" t="s">
        <v>314</v>
      </c>
      <c r="H166" s="16"/>
      <c r="I166" s="16">
        <v>8046326</v>
      </c>
      <c r="J166" s="16" t="s">
        <v>317</v>
      </c>
      <c r="K166" s="16" t="s">
        <v>295</v>
      </c>
      <c r="L166" s="16" t="s">
        <v>56</v>
      </c>
      <c r="M166" s="16">
        <v>356</v>
      </c>
      <c r="N166" s="16">
        <v>356</v>
      </c>
      <c r="O166" s="16" t="s">
        <v>72</v>
      </c>
      <c r="P166" s="16">
        <v>2</v>
      </c>
      <c r="Q166" s="16" t="s">
        <v>63</v>
      </c>
      <c r="R166" s="16">
        <v>14</v>
      </c>
      <c r="S166" s="16"/>
      <c r="T166" s="16">
        <v>3</v>
      </c>
      <c r="U166" s="16">
        <v>121</v>
      </c>
      <c r="V166" s="16"/>
      <c r="W166" s="16">
        <v>3.5</v>
      </c>
      <c r="X166" s="16">
        <v>1</v>
      </c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</row>
    <row r="167" spans="1:53" x14ac:dyDescent="0.3">
      <c r="A167" s="8" t="s">
        <v>72</v>
      </c>
      <c r="B167" s="9">
        <v>43220</v>
      </c>
      <c r="C167" s="10">
        <v>0.52222222222222225</v>
      </c>
      <c r="D167" s="8">
        <v>13904</v>
      </c>
      <c r="E167" s="11"/>
      <c r="F167" s="11">
        <v>62</v>
      </c>
      <c r="G167" s="8" t="s">
        <v>314</v>
      </c>
      <c r="H167" s="8"/>
      <c r="I167" s="8">
        <v>8046326</v>
      </c>
      <c r="J167" s="8"/>
      <c r="K167" s="8" t="s">
        <v>295</v>
      </c>
      <c r="L167" s="8" t="s">
        <v>56</v>
      </c>
      <c r="M167" s="8">
        <v>369</v>
      </c>
      <c r="N167" s="13">
        <v>369</v>
      </c>
      <c r="O167" s="8" t="s">
        <v>72</v>
      </c>
      <c r="P167" s="8"/>
      <c r="Q167" s="8"/>
      <c r="R167" s="8"/>
      <c r="S167" s="8"/>
      <c r="T167" s="8"/>
      <c r="U167" s="8"/>
      <c r="V167" s="8"/>
      <c r="W167" s="8">
        <v>3.5</v>
      </c>
      <c r="X167" s="8">
        <v>1</v>
      </c>
    </row>
    <row r="168" spans="1:53" x14ac:dyDescent="0.3">
      <c r="A168" s="8" t="s">
        <v>154</v>
      </c>
      <c r="B168" s="9">
        <v>43250</v>
      </c>
      <c r="C168" s="10">
        <v>0.45763888888888887</v>
      </c>
      <c r="D168" s="8">
        <v>13904</v>
      </c>
      <c r="E168" s="11"/>
      <c r="F168" s="11">
        <v>62</v>
      </c>
      <c r="G168" s="8" t="s">
        <v>314</v>
      </c>
      <c r="H168" s="8"/>
      <c r="I168" s="8">
        <v>8046326</v>
      </c>
      <c r="J168" s="8"/>
      <c r="K168" s="8" t="s">
        <v>295</v>
      </c>
      <c r="L168" s="8" t="s">
        <v>56</v>
      </c>
      <c r="M168" s="8">
        <v>419</v>
      </c>
      <c r="N168" s="8"/>
      <c r="O168" s="8" t="s">
        <v>72</v>
      </c>
      <c r="P168" s="8"/>
      <c r="Q168" s="8"/>
      <c r="R168" s="8"/>
      <c r="S168" s="8"/>
      <c r="T168" s="8"/>
      <c r="U168" s="8" t="s">
        <v>318</v>
      </c>
      <c r="V168" s="8"/>
      <c r="W168" s="8">
        <v>4</v>
      </c>
      <c r="X168" s="8">
        <v>2</v>
      </c>
    </row>
    <row r="169" spans="1:53" x14ac:dyDescent="0.3">
      <c r="A169" s="23" t="s">
        <v>72</v>
      </c>
      <c r="B169" s="24">
        <v>43220</v>
      </c>
      <c r="C169" s="25">
        <v>0.44861111111111113</v>
      </c>
      <c r="D169" s="23">
        <v>13906</v>
      </c>
      <c r="E169" s="27"/>
      <c r="F169" s="27">
        <v>64</v>
      </c>
      <c r="G169" s="23" t="s">
        <v>319</v>
      </c>
      <c r="H169" s="23"/>
      <c r="I169" s="23">
        <v>8039073</v>
      </c>
      <c r="J169" s="23"/>
      <c r="K169" s="23" t="s">
        <v>295</v>
      </c>
      <c r="L169" s="23"/>
      <c r="M169" s="23">
        <v>342</v>
      </c>
      <c r="N169" s="34">
        <v>342</v>
      </c>
      <c r="O169" s="23" t="s">
        <v>57</v>
      </c>
      <c r="P169" s="23"/>
      <c r="Q169" s="23"/>
      <c r="R169" s="23"/>
      <c r="S169" s="23" t="s">
        <v>58</v>
      </c>
      <c r="T169" s="23"/>
      <c r="U169" s="23"/>
      <c r="V169" s="23"/>
      <c r="W169" s="23">
        <v>2.75</v>
      </c>
      <c r="X169" s="23">
        <v>1</v>
      </c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</row>
    <row r="170" spans="1:53" s="32" customFormat="1" x14ac:dyDescent="0.3">
      <c r="A170" s="16" t="s">
        <v>147</v>
      </c>
      <c r="B170" s="17">
        <v>43181</v>
      </c>
      <c r="C170" s="16" t="s">
        <v>320</v>
      </c>
      <c r="D170" s="16">
        <v>13906</v>
      </c>
      <c r="E170" s="19"/>
      <c r="F170" s="19">
        <v>64</v>
      </c>
      <c r="G170" s="16" t="s">
        <v>319</v>
      </c>
      <c r="H170" s="16"/>
      <c r="I170" s="16">
        <v>8039073</v>
      </c>
      <c r="J170" s="16" t="s">
        <v>321</v>
      </c>
      <c r="K170" s="16" t="s">
        <v>295</v>
      </c>
      <c r="L170" s="16"/>
      <c r="M170" s="16">
        <v>333</v>
      </c>
      <c r="N170" s="16">
        <v>331</v>
      </c>
      <c r="O170" s="16" t="s">
        <v>57</v>
      </c>
      <c r="P170" s="16">
        <v>3</v>
      </c>
      <c r="Q170" s="16" t="s">
        <v>61</v>
      </c>
      <c r="R170" s="16">
        <v>3</v>
      </c>
      <c r="S170" s="16"/>
      <c r="T170" s="16">
        <v>3</v>
      </c>
      <c r="U170" s="16">
        <v>124</v>
      </c>
      <c r="V170" s="16"/>
      <c r="W170" s="16">
        <v>3.25</v>
      </c>
      <c r="X170" s="16">
        <v>1</v>
      </c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</row>
    <row r="171" spans="1:53" x14ac:dyDescent="0.3">
      <c r="A171" s="8" t="s">
        <v>154</v>
      </c>
      <c r="B171" s="9">
        <v>43250</v>
      </c>
      <c r="C171" s="10">
        <v>0.61597222222222225</v>
      </c>
      <c r="D171" s="8">
        <v>13906</v>
      </c>
      <c r="E171" s="11"/>
      <c r="F171" s="11">
        <v>64</v>
      </c>
      <c r="G171" s="8" t="s">
        <v>319</v>
      </c>
      <c r="H171" s="8"/>
      <c r="I171" s="8">
        <v>8039073</v>
      </c>
      <c r="J171" s="8"/>
      <c r="K171" s="8" t="s">
        <v>295</v>
      </c>
      <c r="L171" s="8"/>
      <c r="M171" s="8">
        <v>361</v>
      </c>
      <c r="N171" s="8"/>
      <c r="O171" s="8" t="s">
        <v>57</v>
      </c>
      <c r="P171" s="8"/>
      <c r="Q171" s="8"/>
      <c r="R171" s="8"/>
      <c r="S171" s="8"/>
      <c r="T171" s="8"/>
      <c r="U171" s="8">
        <v>131</v>
      </c>
      <c r="V171" s="8"/>
      <c r="W171" s="8">
        <v>3.5</v>
      </c>
      <c r="X171" s="8">
        <v>1</v>
      </c>
    </row>
    <row r="172" spans="1:53" x14ac:dyDescent="0.3">
      <c r="A172" s="8" t="s">
        <v>142</v>
      </c>
      <c r="B172" s="9" t="s">
        <v>284</v>
      </c>
      <c r="C172" s="9" t="s">
        <v>284</v>
      </c>
      <c r="D172" s="8">
        <v>13906</v>
      </c>
      <c r="E172" s="11" t="s">
        <v>284</v>
      </c>
      <c r="F172" s="11">
        <v>64</v>
      </c>
      <c r="G172" s="8" t="s">
        <v>319</v>
      </c>
      <c r="H172" s="12" t="s">
        <v>284</v>
      </c>
      <c r="I172" s="8">
        <v>8039073</v>
      </c>
      <c r="J172" s="8"/>
      <c r="K172" s="8" t="s">
        <v>295</v>
      </c>
      <c r="L172" s="8"/>
      <c r="M172" s="8"/>
      <c r="N172" s="8"/>
      <c r="O172" s="8" t="s">
        <v>57</v>
      </c>
      <c r="P172" s="8"/>
      <c r="Q172" s="8"/>
      <c r="R172" s="8"/>
      <c r="S172" s="8"/>
      <c r="T172" s="8"/>
      <c r="U172" s="8"/>
      <c r="V172" s="8"/>
      <c r="W172" s="8"/>
      <c r="X172" s="8"/>
      <c r="Y172" s="7" t="s">
        <v>284</v>
      </c>
      <c r="Z172" s="7" t="s">
        <v>284</v>
      </c>
      <c r="AA172" s="7" t="s">
        <v>284</v>
      </c>
      <c r="AB172" s="7" t="s">
        <v>284</v>
      </c>
      <c r="AC172" s="7" t="s">
        <v>284</v>
      </c>
      <c r="AD172" s="7" t="s">
        <v>284</v>
      </c>
      <c r="AE172" s="7" t="s">
        <v>284</v>
      </c>
      <c r="AF172" s="7" t="s">
        <v>284</v>
      </c>
      <c r="AG172" s="7" t="s">
        <v>284</v>
      </c>
      <c r="AH172" s="7" t="s">
        <v>284</v>
      </c>
      <c r="AI172" s="7" t="s">
        <v>284</v>
      </c>
      <c r="AJ172" s="7" t="s">
        <v>284</v>
      </c>
      <c r="AK172" s="7" t="s">
        <v>284</v>
      </c>
      <c r="AL172" s="7" t="s">
        <v>284</v>
      </c>
      <c r="AM172" s="7" t="s">
        <v>284</v>
      </c>
      <c r="AN172" s="7" t="s">
        <v>284</v>
      </c>
      <c r="AO172" s="7" t="s">
        <v>284</v>
      </c>
      <c r="AP172" s="7" t="s">
        <v>284</v>
      </c>
      <c r="AQ172" s="7" t="s">
        <v>284</v>
      </c>
      <c r="AR172" s="7" t="s">
        <v>284</v>
      </c>
      <c r="AS172" s="7" t="s">
        <v>284</v>
      </c>
      <c r="AT172" s="7" t="s">
        <v>284</v>
      </c>
      <c r="AU172" s="7" t="s">
        <v>284</v>
      </c>
      <c r="AV172" s="7" t="s">
        <v>284</v>
      </c>
      <c r="AW172" s="7" t="s">
        <v>284</v>
      </c>
      <c r="AX172" s="7" t="s">
        <v>284</v>
      </c>
      <c r="AY172" s="7" t="s">
        <v>284</v>
      </c>
      <c r="AZ172" s="7" t="s">
        <v>284</v>
      </c>
      <c r="BA172" s="7" t="s">
        <v>284</v>
      </c>
    </row>
    <row r="173" spans="1:53" x14ac:dyDescent="0.3">
      <c r="A173" s="23" t="s">
        <v>142</v>
      </c>
      <c r="B173" s="24">
        <v>43256</v>
      </c>
      <c r="C173" s="25">
        <v>0.29318287037037039</v>
      </c>
      <c r="D173" s="23">
        <v>13907</v>
      </c>
      <c r="E173" s="26">
        <v>459</v>
      </c>
      <c r="F173" s="27">
        <v>65</v>
      </c>
      <c r="G173" s="23" t="s">
        <v>322</v>
      </c>
      <c r="H173" s="28" t="s">
        <v>323</v>
      </c>
      <c r="I173" s="23">
        <v>8039125</v>
      </c>
      <c r="J173" s="23"/>
      <c r="K173" s="23" t="s">
        <v>295</v>
      </c>
      <c r="L173" s="23" t="s">
        <v>56</v>
      </c>
      <c r="M173" s="23"/>
      <c r="N173" s="23">
        <v>424</v>
      </c>
      <c r="O173" s="23" t="s">
        <v>57</v>
      </c>
      <c r="P173" s="23"/>
      <c r="Q173" s="23"/>
      <c r="R173" s="23"/>
      <c r="S173" s="23" t="s">
        <v>73</v>
      </c>
      <c r="T173" s="23"/>
      <c r="U173" s="23"/>
      <c r="V173" s="23"/>
      <c r="W173" s="23"/>
      <c r="X173" s="23"/>
      <c r="Y173" s="29">
        <v>51.85</v>
      </c>
      <c r="Z173" s="29">
        <v>54.46</v>
      </c>
      <c r="AA173" s="29">
        <v>0</v>
      </c>
      <c r="AB173" s="29">
        <v>6</v>
      </c>
      <c r="AC173" s="29">
        <v>248.4</v>
      </c>
      <c r="AD173" s="29">
        <v>240</v>
      </c>
      <c r="AE173" s="29">
        <v>0</v>
      </c>
      <c r="AF173" s="29">
        <v>5</v>
      </c>
      <c r="AG173" s="29" t="s">
        <v>75</v>
      </c>
      <c r="AH173" s="29">
        <v>1</v>
      </c>
      <c r="AI173" s="29">
        <v>5.36</v>
      </c>
      <c r="AJ173" s="29">
        <v>66</v>
      </c>
      <c r="AK173" s="29">
        <v>150</v>
      </c>
      <c r="AL173" s="29">
        <v>135</v>
      </c>
      <c r="AM173" s="29">
        <v>8.1999999999999993</v>
      </c>
      <c r="AN173" s="29">
        <v>13</v>
      </c>
      <c r="AO173" s="29" t="s">
        <v>67</v>
      </c>
      <c r="AP173" s="29" t="s">
        <v>68</v>
      </c>
      <c r="AQ173" s="30">
        <v>1</v>
      </c>
      <c r="AR173" s="30">
        <v>0</v>
      </c>
      <c r="AS173" s="30">
        <v>0</v>
      </c>
      <c r="AT173" s="30">
        <v>1</v>
      </c>
      <c r="AU173" s="30"/>
      <c r="AV173" s="31"/>
      <c r="AW173" s="31" t="s">
        <v>70</v>
      </c>
      <c r="AX173" s="31"/>
      <c r="AY173" s="32">
        <v>71</v>
      </c>
      <c r="AZ173" s="32" t="s">
        <v>70</v>
      </c>
      <c r="BA173" s="32"/>
    </row>
    <row r="174" spans="1:53" x14ac:dyDescent="0.3">
      <c r="A174" s="16" t="s">
        <v>147</v>
      </c>
      <c r="B174" s="17">
        <v>43181</v>
      </c>
      <c r="C174" s="16" t="s">
        <v>324</v>
      </c>
      <c r="D174" s="16">
        <v>13907</v>
      </c>
      <c r="E174" s="19"/>
      <c r="F174" s="19">
        <v>65</v>
      </c>
      <c r="G174" s="16" t="s">
        <v>322</v>
      </c>
      <c r="H174" s="16"/>
      <c r="I174" s="16">
        <v>8039125</v>
      </c>
      <c r="J174" s="16" t="s">
        <v>325</v>
      </c>
      <c r="K174" s="16" t="s">
        <v>295</v>
      </c>
      <c r="L174" s="16" t="s">
        <v>56</v>
      </c>
      <c r="M174" s="16">
        <v>352</v>
      </c>
      <c r="N174" s="16">
        <v>352</v>
      </c>
      <c r="O174" s="16" t="s">
        <v>57</v>
      </c>
      <c r="P174" s="16">
        <v>1</v>
      </c>
      <c r="Q174" s="16" t="s">
        <v>61</v>
      </c>
      <c r="R174" s="16">
        <v>3</v>
      </c>
      <c r="S174" s="16"/>
      <c r="T174" s="16">
        <v>4</v>
      </c>
      <c r="U174" s="16">
        <v>119</v>
      </c>
      <c r="V174" s="16"/>
      <c r="W174" s="16">
        <v>3.25</v>
      </c>
      <c r="X174" s="16">
        <v>1</v>
      </c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</row>
    <row r="175" spans="1:53" x14ac:dyDescent="0.3">
      <c r="A175" s="8" t="s">
        <v>72</v>
      </c>
      <c r="B175" s="9">
        <v>43220</v>
      </c>
      <c r="C175" s="10">
        <v>0.45416666666666666</v>
      </c>
      <c r="D175" s="8">
        <v>13907</v>
      </c>
      <c r="E175" s="11"/>
      <c r="F175" s="11">
        <v>65</v>
      </c>
      <c r="G175" s="8" t="s">
        <v>322</v>
      </c>
      <c r="H175" s="8"/>
      <c r="I175" s="8">
        <v>8039125</v>
      </c>
      <c r="J175" s="8"/>
      <c r="K175" s="8" t="s">
        <v>295</v>
      </c>
      <c r="L175" s="8" t="s">
        <v>56</v>
      </c>
      <c r="M175" s="8">
        <v>374</v>
      </c>
      <c r="N175" s="13">
        <v>374</v>
      </c>
      <c r="O175" s="8" t="s">
        <v>57</v>
      </c>
      <c r="P175" s="8"/>
      <c r="Q175" s="8"/>
      <c r="R175" s="8"/>
      <c r="S175" s="8"/>
      <c r="T175" s="8"/>
      <c r="U175" s="8"/>
      <c r="V175" s="8"/>
      <c r="W175" s="8">
        <v>3.5</v>
      </c>
      <c r="X175" s="8">
        <v>1</v>
      </c>
    </row>
    <row r="176" spans="1:53" x14ac:dyDescent="0.3">
      <c r="A176" s="8" t="s">
        <v>154</v>
      </c>
      <c r="B176" s="9">
        <v>43250</v>
      </c>
      <c r="C176" s="10">
        <v>0.58958333333333335</v>
      </c>
      <c r="D176" s="8">
        <v>13907</v>
      </c>
      <c r="E176" s="11"/>
      <c r="F176" s="11">
        <v>65</v>
      </c>
      <c r="G176" s="8" t="s">
        <v>322</v>
      </c>
      <c r="H176" s="8"/>
      <c r="I176" s="8">
        <v>8039125</v>
      </c>
      <c r="J176" s="8"/>
      <c r="K176" s="8" t="s">
        <v>295</v>
      </c>
      <c r="L176" s="8" t="s">
        <v>56</v>
      </c>
      <c r="M176" s="8">
        <v>410</v>
      </c>
      <c r="N176" s="8"/>
      <c r="O176" s="8" t="s">
        <v>57</v>
      </c>
      <c r="P176" s="8"/>
      <c r="Q176" s="8"/>
      <c r="R176" s="8"/>
      <c r="S176" s="8"/>
      <c r="T176" s="8"/>
      <c r="U176" s="8">
        <v>126</v>
      </c>
      <c r="V176" s="8"/>
      <c r="W176" s="8">
        <v>4</v>
      </c>
      <c r="X176" s="8">
        <v>1</v>
      </c>
    </row>
    <row r="177" spans="1:53" x14ac:dyDescent="0.3">
      <c r="A177" s="23" t="s">
        <v>142</v>
      </c>
      <c r="B177" s="24">
        <v>43256</v>
      </c>
      <c r="C177" s="25">
        <v>0.32655092592592594</v>
      </c>
      <c r="D177" s="23">
        <v>13908</v>
      </c>
      <c r="E177" s="26">
        <v>502</v>
      </c>
      <c r="F177" s="27">
        <v>66</v>
      </c>
      <c r="G177" s="23" t="s">
        <v>326</v>
      </c>
      <c r="H177" s="28" t="s">
        <v>327</v>
      </c>
      <c r="I177" s="23">
        <v>8039093</v>
      </c>
      <c r="J177" s="23"/>
      <c r="K177" s="23" t="s">
        <v>295</v>
      </c>
      <c r="L177" s="23" t="s">
        <v>56</v>
      </c>
      <c r="M177" s="23"/>
      <c r="N177" s="23">
        <v>473</v>
      </c>
      <c r="O177" s="23" t="s">
        <v>57</v>
      </c>
      <c r="P177" s="23"/>
      <c r="Q177" s="23"/>
      <c r="R177" s="23"/>
      <c r="S177" s="23" t="s">
        <v>73</v>
      </c>
      <c r="T177" s="23"/>
      <c r="U177" s="23"/>
      <c r="V177" s="23"/>
      <c r="W177" s="23"/>
      <c r="X177" s="23"/>
      <c r="Y177" s="29">
        <v>58.16</v>
      </c>
      <c r="Z177" s="29">
        <v>60.77</v>
      </c>
      <c r="AA177" s="29">
        <v>4</v>
      </c>
      <c r="AB177" s="29">
        <v>13</v>
      </c>
      <c r="AC177" s="29">
        <v>262.2</v>
      </c>
      <c r="AD177" s="29">
        <v>350</v>
      </c>
      <c r="AE177" s="29">
        <v>1</v>
      </c>
      <c r="AF177" s="29">
        <v>10</v>
      </c>
      <c r="AG177" s="29" t="s">
        <v>75</v>
      </c>
      <c r="AH177" s="29">
        <v>1</v>
      </c>
      <c r="AI177" s="29">
        <v>5.46</v>
      </c>
      <c r="AJ177" s="29">
        <v>70</v>
      </c>
      <c r="AK177" s="29">
        <v>110</v>
      </c>
      <c r="AL177" s="29">
        <v>115</v>
      </c>
      <c r="AM177" s="29">
        <v>7</v>
      </c>
      <c r="AN177" s="29">
        <v>13</v>
      </c>
      <c r="AO177" s="29" t="s">
        <v>76</v>
      </c>
      <c r="AP177" s="29" t="s">
        <v>68</v>
      </c>
      <c r="AQ177" s="30">
        <v>22</v>
      </c>
      <c r="AR177" s="30" t="s">
        <v>123</v>
      </c>
      <c r="AS177" s="30">
        <v>0</v>
      </c>
      <c r="AT177" s="30">
        <v>1</v>
      </c>
      <c r="AU177" s="30"/>
      <c r="AV177" s="31"/>
      <c r="AW177" s="31" t="s">
        <v>106</v>
      </c>
      <c r="AX177" s="31"/>
      <c r="AY177" s="32">
        <v>44</v>
      </c>
      <c r="AZ177" s="32" t="s">
        <v>70</v>
      </c>
      <c r="BA177" s="32"/>
    </row>
    <row r="178" spans="1:53" x14ac:dyDescent="0.3">
      <c r="A178" s="16" t="s">
        <v>147</v>
      </c>
      <c r="B178" s="17">
        <v>43181</v>
      </c>
      <c r="C178" s="16" t="s">
        <v>328</v>
      </c>
      <c r="D178" s="16">
        <v>13908</v>
      </c>
      <c r="E178" s="19"/>
      <c r="F178" s="19">
        <v>66</v>
      </c>
      <c r="G178" s="16" t="s">
        <v>326</v>
      </c>
      <c r="H178" s="16"/>
      <c r="I178" s="16">
        <v>8039093</v>
      </c>
      <c r="J178" s="16" t="s">
        <v>329</v>
      </c>
      <c r="K178" s="16" t="s">
        <v>295</v>
      </c>
      <c r="L178" s="16" t="s">
        <v>56</v>
      </c>
      <c r="M178" s="16">
        <v>342</v>
      </c>
      <c r="N178" s="16">
        <v>342</v>
      </c>
      <c r="O178" s="16" t="s">
        <v>57</v>
      </c>
      <c r="P178" s="16">
        <v>2</v>
      </c>
      <c r="Q178" s="16" t="s">
        <v>124</v>
      </c>
      <c r="R178" s="16">
        <v>13</v>
      </c>
      <c r="S178" s="16"/>
      <c r="T178" s="16">
        <v>3</v>
      </c>
      <c r="U178" s="16">
        <v>125</v>
      </c>
      <c r="V178" s="16"/>
      <c r="W178" s="16">
        <v>3</v>
      </c>
      <c r="X178" s="16">
        <v>2</v>
      </c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</row>
    <row r="179" spans="1:53" x14ac:dyDescent="0.3">
      <c r="A179" s="8" t="s">
        <v>72</v>
      </c>
      <c r="B179" s="9">
        <v>43220</v>
      </c>
      <c r="C179" s="10">
        <v>0.50902777777777775</v>
      </c>
      <c r="D179" s="8">
        <v>13908</v>
      </c>
      <c r="E179" s="11"/>
      <c r="F179" s="11">
        <v>66</v>
      </c>
      <c r="G179" s="8" t="s">
        <v>326</v>
      </c>
      <c r="H179" s="8"/>
      <c r="I179" s="8">
        <v>8039093</v>
      </c>
      <c r="J179" s="8"/>
      <c r="K179" s="8" t="s">
        <v>295</v>
      </c>
      <c r="L179" s="8" t="s">
        <v>56</v>
      </c>
      <c r="M179" s="8">
        <v>406</v>
      </c>
      <c r="N179" s="13">
        <v>406</v>
      </c>
      <c r="O179" s="8" t="s">
        <v>57</v>
      </c>
      <c r="P179" s="8"/>
      <c r="Q179" s="8"/>
      <c r="R179" s="8"/>
      <c r="S179" s="8"/>
      <c r="T179" s="8"/>
      <c r="U179" s="8"/>
      <c r="V179" s="8"/>
      <c r="W179" s="8">
        <v>3.5</v>
      </c>
      <c r="X179" s="8">
        <v>0</v>
      </c>
    </row>
    <row r="180" spans="1:53" x14ac:dyDescent="0.3">
      <c r="A180" s="8" t="s">
        <v>154</v>
      </c>
      <c r="B180" s="9">
        <v>43250</v>
      </c>
      <c r="C180" s="10">
        <v>0.60555555555555551</v>
      </c>
      <c r="D180" s="8">
        <v>13908</v>
      </c>
      <c r="E180" s="11"/>
      <c r="F180" s="11">
        <v>66</v>
      </c>
      <c r="G180" s="8" t="s">
        <v>326</v>
      </c>
      <c r="H180" s="8"/>
      <c r="I180" s="8">
        <v>8039093</v>
      </c>
      <c r="J180" s="8"/>
      <c r="K180" s="8" t="s">
        <v>295</v>
      </c>
      <c r="L180" s="8" t="s">
        <v>56</v>
      </c>
      <c r="M180" s="8">
        <v>459</v>
      </c>
      <c r="N180" s="8"/>
      <c r="O180" s="8" t="s">
        <v>57</v>
      </c>
      <c r="P180" s="8"/>
      <c r="Q180" s="8"/>
      <c r="R180" s="8"/>
      <c r="S180" s="8"/>
      <c r="T180" s="8"/>
      <c r="U180" s="8">
        <v>138</v>
      </c>
      <c r="V180" s="8"/>
      <c r="W180" s="8">
        <v>4.5</v>
      </c>
      <c r="X180" s="8">
        <v>2</v>
      </c>
    </row>
    <row r="181" spans="1:53" x14ac:dyDescent="0.3">
      <c r="A181" s="23" t="s">
        <v>142</v>
      </c>
      <c r="B181" s="24">
        <v>43256</v>
      </c>
      <c r="C181" s="25">
        <v>0.2930787037037037</v>
      </c>
      <c r="D181" s="23">
        <v>13910</v>
      </c>
      <c r="E181" s="26">
        <v>443</v>
      </c>
      <c r="F181" s="27">
        <v>68</v>
      </c>
      <c r="G181" s="23" t="s">
        <v>330</v>
      </c>
      <c r="H181" s="28" t="s">
        <v>331</v>
      </c>
      <c r="I181" s="23">
        <v>8039055</v>
      </c>
      <c r="J181" s="23"/>
      <c r="K181" s="23" t="s">
        <v>295</v>
      </c>
      <c r="L181" s="23" t="s">
        <v>56</v>
      </c>
      <c r="M181" s="23"/>
      <c r="N181" s="23">
        <v>440</v>
      </c>
      <c r="O181" s="23" t="s">
        <v>72</v>
      </c>
      <c r="P181" s="23"/>
      <c r="Q181" s="23"/>
      <c r="R181" s="23"/>
      <c r="S181" s="23" t="s">
        <v>73</v>
      </c>
      <c r="T181" s="23"/>
      <c r="U181" s="23"/>
      <c r="V181" s="23"/>
      <c r="W181" s="23"/>
      <c r="X181" s="23"/>
      <c r="Y181" s="29">
        <v>60.95</v>
      </c>
      <c r="Z181" s="29">
        <v>63.56</v>
      </c>
      <c r="AA181" s="29">
        <v>0</v>
      </c>
      <c r="AB181" s="29">
        <v>5</v>
      </c>
      <c r="AC181" s="29">
        <v>249.8</v>
      </c>
      <c r="AD181" s="29">
        <v>330</v>
      </c>
      <c r="AE181" s="29">
        <v>1</v>
      </c>
      <c r="AF181" s="29">
        <v>5</v>
      </c>
      <c r="AG181" s="29" t="s">
        <v>75</v>
      </c>
      <c r="AH181" s="29">
        <v>0</v>
      </c>
      <c r="AI181" s="29">
        <v>5.47</v>
      </c>
      <c r="AJ181" s="29">
        <v>73</v>
      </c>
      <c r="AK181" s="29">
        <v>120</v>
      </c>
      <c r="AL181" s="29">
        <v>75</v>
      </c>
      <c r="AM181" s="29">
        <v>7.1</v>
      </c>
      <c r="AN181" s="29">
        <v>13</v>
      </c>
      <c r="AO181" s="29" t="s">
        <v>76</v>
      </c>
      <c r="AP181" s="29" t="s">
        <v>68</v>
      </c>
      <c r="AQ181" s="30">
        <v>23</v>
      </c>
      <c r="AR181" s="30">
        <v>0</v>
      </c>
      <c r="AS181" s="30">
        <v>0</v>
      </c>
      <c r="AT181" s="30">
        <v>1</v>
      </c>
      <c r="AU181" s="30"/>
      <c r="AV181" s="31"/>
      <c r="AW181" s="31" t="s">
        <v>70</v>
      </c>
      <c r="AX181" s="31"/>
      <c r="AY181" s="32">
        <v>60</v>
      </c>
      <c r="AZ181" s="32" t="s">
        <v>70</v>
      </c>
      <c r="BA181" s="32"/>
    </row>
    <row r="182" spans="1:53" x14ac:dyDescent="0.3">
      <c r="A182" s="16" t="s">
        <v>147</v>
      </c>
      <c r="B182" s="17">
        <v>43181</v>
      </c>
      <c r="C182" s="16" t="s">
        <v>332</v>
      </c>
      <c r="D182" s="16">
        <v>13910</v>
      </c>
      <c r="E182" s="19"/>
      <c r="F182" s="19">
        <v>68</v>
      </c>
      <c r="G182" s="16" t="s">
        <v>330</v>
      </c>
      <c r="H182" s="16"/>
      <c r="I182" s="16">
        <v>8039055</v>
      </c>
      <c r="J182" s="16" t="s">
        <v>333</v>
      </c>
      <c r="K182" s="16" t="s">
        <v>295</v>
      </c>
      <c r="L182" s="16" t="s">
        <v>56</v>
      </c>
      <c r="M182" s="16">
        <v>381</v>
      </c>
      <c r="N182" s="16">
        <v>381</v>
      </c>
      <c r="O182" s="16" t="s">
        <v>72</v>
      </c>
      <c r="P182" s="16">
        <v>1</v>
      </c>
      <c r="Q182" s="16" t="s">
        <v>77</v>
      </c>
      <c r="R182" s="16">
        <v>6</v>
      </c>
      <c r="S182" s="16"/>
      <c r="T182" s="16">
        <v>2</v>
      </c>
      <c r="U182" s="16">
        <v>121</v>
      </c>
      <c r="V182" s="16"/>
      <c r="W182" s="16">
        <v>3</v>
      </c>
      <c r="X182" s="16">
        <v>1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</row>
    <row r="183" spans="1:53" x14ac:dyDescent="0.3">
      <c r="A183" s="8" t="s">
        <v>72</v>
      </c>
      <c r="B183" s="9">
        <v>43220</v>
      </c>
      <c r="C183" s="10">
        <v>0.51527777777777783</v>
      </c>
      <c r="D183" s="8">
        <v>13910</v>
      </c>
      <c r="E183" s="11"/>
      <c r="F183" s="11">
        <v>68</v>
      </c>
      <c r="G183" s="8" t="s">
        <v>330</v>
      </c>
      <c r="H183" s="8"/>
      <c r="I183" s="8">
        <v>8039055</v>
      </c>
      <c r="J183" s="8"/>
      <c r="K183" s="8" t="s">
        <v>295</v>
      </c>
      <c r="L183" s="8" t="s">
        <v>56</v>
      </c>
      <c r="M183" s="8">
        <v>390</v>
      </c>
      <c r="N183" s="13">
        <v>390</v>
      </c>
      <c r="O183" s="8" t="s">
        <v>72</v>
      </c>
      <c r="P183" s="8"/>
      <c r="Q183" s="8"/>
      <c r="R183" s="8"/>
      <c r="S183" s="8"/>
      <c r="T183" s="8"/>
      <c r="U183" s="8"/>
      <c r="V183" s="8"/>
      <c r="W183" s="8">
        <v>3.5</v>
      </c>
      <c r="X183" s="8">
        <v>0</v>
      </c>
    </row>
    <row r="184" spans="1:53" x14ac:dyDescent="0.3">
      <c r="A184" s="8" t="s">
        <v>154</v>
      </c>
      <c r="B184" s="9">
        <v>43250</v>
      </c>
      <c r="C184" s="10">
        <v>0.53541666666666665</v>
      </c>
      <c r="D184" s="8">
        <v>13910</v>
      </c>
      <c r="E184" s="11"/>
      <c r="F184" s="11">
        <v>68</v>
      </c>
      <c r="G184" s="8" t="s">
        <v>330</v>
      </c>
      <c r="H184" s="8"/>
      <c r="I184" s="8">
        <v>8039055</v>
      </c>
      <c r="J184" s="8"/>
      <c r="K184" s="8" t="s">
        <v>295</v>
      </c>
      <c r="L184" s="8" t="s">
        <v>56</v>
      </c>
      <c r="M184" s="8">
        <v>427</v>
      </c>
      <c r="N184" s="8"/>
      <c r="O184" s="8" t="s">
        <v>72</v>
      </c>
      <c r="P184" s="8"/>
      <c r="Q184" s="8"/>
      <c r="R184" s="8"/>
      <c r="S184" s="8"/>
      <c r="T184" s="8"/>
      <c r="U184" s="8">
        <v>132</v>
      </c>
      <c r="V184" s="8"/>
      <c r="W184" s="8">
        <v>4</v>
      </c>
      <c r="X184" s="8">
        <v>2</v>
      </c>
    </row>
    <row r="185" spans="1:53" x14ac:dyDescent="0.3">
      <c r="A185" s="23" t="s">
        <v>142</v>
      </c>
      <c r="B185" s="24">
        <v>43256</v>
      </c>
      <c r="C185" s="25">
        <v>0.30038194444444444</v>
      </c>
      <c r="D185" s="23">
        <v>13912</v>
      </c>
      <c r="E185" s="26">
        <v>438</v>
      </c>
      <c r="F185" s="27">
        <v>69</v>
      </c>
      <c r="G185" s="23" t="s">
        <v>334</v>
      </c>
      <c r="H185" s="28" t="s">
        <v>335</v>
      </c>
      <c r="I185" s="23">
        <v>8038884</v>
      </c>
      <c r="J185" s="23"/>
      <c r="K185" s="23" t="s">
        <v>336</v>
      </c>
      <c r="L185" s="23" t="s">
        <v>78</v>
      </c>
      <c r="M185" s="23"/>
      <c r="N185" s="23">
        <v>558</v>
      </c>
      <c r="O185" s="23" t="s">
        <v>57</v>
      </c>
      <c r="P185" s="23"/>
      <c r="Q185" s="23"/>
      <c r="R185" s="23"/>
      <c r="S185" s="23" t="s">
        <v>118</v>
      </c>
      <c r="T185" s="23"/>
      <c r="U185" s="23"/>
      <c r="V185" s="23"/>
      <c r="W185" s="23"/>
      <c r="X185" s="23"/>
      <c r="Y185" s="29">
        <v>59.24</v>
      </c>
      <c r="Z185" s="29">
        <v>61.85</v>
      </c>
      <c r="AA185" s="29">
        <v>0</v>
      </c>
      <c r="AB185" s="29">
        <v>3</v>
      </c>
      <c r="AC185" s="29">
        <v>267.3</v>
      </c>
      <c r="AD185" s="29">
        <v>320</v>
      </c>
      <c r="AE185" s="29">
        <v>1</v>
      </c>
      <c r="AF185" s="29">
        <v>3</v>
      </c>
      <c r="AG185" s="29" t="s">
        <v>75</v>
      </c>
      <c r="AH185" s="29">
        <v>1</v>
      </c>
      <c r="AI185" s="29">
        <v>5.34</v>
      </c>
      <c r="AJ185" s="29">
        <v>78</v>
      </c>
      <c r="AK185" s="29">
        <v>120</v>
      </c>
      <c r="AL185" s="29">
        <v>85</v>
      </c>
      <c r="AM185" s="29">
        <v>7</v>
      </c>
      <c r="AN185" s="29">
        <v>13</v>
      </c>
      <c r="AO185" s="29" t="s">
        <v>76</v>
      </c>
      <c r="AP185" s="29" t="s">
        <v>68</v>
      </c>
      <c r="AQ185" s="30">
        <v>97</v>
      </c>
      <c r="AR185" s="30">
        <v>0</v>
      </c>
      <c r="AS185" s="30">
        <v>0</v>
      </c>
      <c r="AT185" s="30">
        <v>0</v>
      </c>
      <c r="AU185" s="30"/>
      <c r="AV185" s="31"/>
      <c r="AW185" s="31" t="s">
        <v>70</v>
      </c>
      <c r="AX185" s="31"/>
      <c r="AY185" s="32">
        <v>84</v>
      </c>
      <c r="AZ185" s="32" t="s">
        <v>70</v>
      </c>
      <c r="BA185" s="32"/>
    </row>
    <row r="186" spans="1:53" x14ac:dyDescent="0.3">
      <c r="A186" s="16" t="s">
        <v>147</v>
      </c>
      <c r="B186" s="17">
        <v>43181</v>
      </c>
      <c r="C186" s="16" t="s">
        <v>337</v>
      </c>
      <c r="D186" s="16">
        <v>13912</v>
      </c>
      <c r="E186" s="19"/>
      <c r="F186" s="19">
        <v>69</v>
      </c>
      <c r="G186" s="16" t="s">
        <v>334</v>
      </c>
      <c r="H186" s="16"/>
      <c r="I186" s="16">
        <v>8038884</v>
      </c>
      <c r="J186" s="16" t="s">
        <v>338</v>
      </c>
      <c r="K186" s="16" t="s">
        <v>336</v>
      </c>
      <c r="L186" s="16" t="s">
        <v>78</v>
      </c>
      <c r="M186" s="16">
        <v>414</v>
      </c>
      <c r="N186" s="16">
        <v>414</v>
      </c>
      <c r="O186" s="16" t="s">
        <v>57</v>
      </c>
      <c r="P186" s="16">
        <v>1</v>
      </c>
      <c r="Q186" s="16" t="s">
        <v>120</v>
      </c>
      <c r="R186" s="16">
        <v>12</v>
      </c>
      <c r="S186" s="16"/>
      <c r="T186" s="16">
        <v>1</v>
      </c>
      <c r="U186" s="16">
        <v>132</v>
      </c>
      <c r="V186" s="16"/>
      <c r="W186" s="16">
        <v>2.75</v>
      </c>
      <c r="X186" s="16">
        <v>2</v>
      </c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</row>
    <row r="187" spans="1:53" x14ac:dyDescent="0.3">
      <c r="A187" s="8" t="s">
        <v>72</v>
      </c>
      <c r="B187" s="9">
        <v>43220</v>
      </c>
      <c r="C187" s="10">
        <v>0.50486111111111109</v>
      </c>
      <c r="D187" s="8">
        <v>13912</v>
      </c>
      <c r="E187" s="11"/>
      <c r="F187" s="11">
        <v>69</v>
      </c>
      <c r="G187" s="8" t="s">
        <v>334</v>
      </c>
      <c r="H187" s="8"/>
      <c r="I187" s="8">
        <v>8038884</v>
      </c>
      <c r="J187" s="8"/>
      <c r="K187" s="8" t="s">
        <v>336</v>
      </c>
      <c r="L187" s="8" t="s">
        <v>78</v>
      </c>
      <c r="M187" s="8">
        <v>546</v>
      </c>
      <c r="N187" s="13">
        <v>546</v>
      </c>
      <c r="O187" s="8" t="s">
        <v>57</v>
      </c>
      <c r="P187" s="8"/>
      <c r="Q187" s="8"/>
      <c r="R187" s="8"/>
      <c r="S187" s="8"/>
      <c r="T187" s="8"/>
      <c r="U187" s="8"/>
      <c r="V187" s="8">
        <v>2</v>
      </c>
      <c r="W187" s="8">
        <v>3.25</v>
      </c>
      <c r="X187" s="8">
        <v>0</v>
      </c>
    </row>
    <row r="188" spans="1:53" x14ac:dyDescent="0.3">
      <c r="A188" s="8" t="s">
        <v>154</v>
      </c>
      <c r="B188" s="9">
        <v>43250</v>
      </c>
      <c r="C188" s="10">
        <v>0.60416666666666663</v>
      </c>
      <c r="D188" s="8">
        <v>13912</v>
      </c>
      <c r="E188" s="11"/>
      <c r="F188" s="11">
        <v>69</v>
      </c>
      <c r="G188" s="8" t="s">
        <v>334</v>
      </c>
      <c r="H188" s="8"/>
      <c r="I188" s="8">
        <v>8038884</v>
      </c>
      <c r="J188" s="8"/>
      <c r="K188" s="8" t="s">
        <v>336</v>
      </c>
      <c r="L188" s="8" t="s">
        <v>78</v>
      </c>
      <c r="M188" s="8">
        <v>544</v>
      </c>
      <c r="N188" s="8"/>
      <c r="O188" s="8" t="s">
        <v>57</v>
      </c>
      <c r="P188" s="8"/>
      <c r="Q188" s="8"/>
      <c r="R188" s="8"/>
      <c r="S188" s="8"/>
      <c r="T188" s="8"/>
      <c r="U188" s="8">
        <v>142</v>
      </c>
      <c r="V188" s="8"/>
      <c r="W188" s="8">
        <v>4</v>
      </c>
      <c r="X188" s="8">
        <v>1</v>
      </c>
    </row>
    <row r="189" spans="1:53" x14ac:dyDescent="0.3">
      <c r="A189" s="23" t="s">
        <v>142</v>
      </c>
      <c r="B189" s="24">
        <v>43256</v>
      </c>
      <c r="C189" s="25">
        <v>0.32175925925925924</v>
      </c>
      <c r="D189" s="23">
        <v>13915</v>
      </c>
      <c r="E189" s="26">
        <v>465</v>
      </c>
      <c r="F189" s="27">
        <v>71</v>
      </c>
      <c r="G189" s="23" t="s">
        <v>339</v>
      </c>
      <c r="H189" s="28" t="s">
        <v>340</v>
      </c>
      <c r="I189" s="23">
        <v>8027188</v>
      </c>
      <c r="J189" s="23"/>
      <c r="K189" s="23" t="s">
        <v>336</v>
      </c>
      <c r="L189" s="23" t="s">
        <v>78</v>
      </c>
      <c r="M189" s="23"/>
      <c r="N189" s="23">
        <v>529</v>
      </c>
      <c r="O189" s="23" t="s">
        <v>57</v>
      </c>
      <c r="P189" s="23"/>
      <c r="Q189" s="23"/>
      <c r="R189" s="23"/>
      <c r="S189" s="23" t="s">
        <v>79</v>
      </c>
      <c r="T189" s="23"/>
      <c r="U189" s="23"/>
      <c r="V189" s="23"/>
      <c r="W189" s="23"/>
      <c r="X189" s="23"/>
      <c r="Y189" s="29">
        <v>57.35</v>
      </c>
      <c r="Z189" s="29">
        <v>59.96</v>
      </c>
      <c r="AA189" s="29">
        <v>0</v>
      </c>
      <c r="AB189" s="29">
        <v>7</v>
      </c>
      <c r="AC189" s="29">
        <v>242.9</v>
      </c>
      <c r="AD189" s="29">
        <v>300</v>
      </c>
      <c r="AE189" s="29">
        <v>1</v>
      </c>
      <c r="AF189" s="29">
        <v>6</v>
      </c>
      <c r="AG189" s="29" t="s">
        <v>66</v>
      </c>
      <c r="AH189" s="29">
        <v>1</v>
      </c>
      <c r="AI189" s="29">
        <v>5.41</v>
      </c>
      <c r="AJ189" s="29">
        <v>61</v>
      </c>
      <c r="AK189" s="29">
        <v>120</v>
      </c>
      <c r="AL189" s="29">
        <v>100</v>
      </c>
      <c r="AM189" s="29">
        <v>7.2</v>
      </c>
      <c r="AN189" s="29">
        <v>13</v>
      </c>
      <c r="AO189" s="29" t="s">
        <v>76</v>
      </c>
      <c r="AP189" s="29" t="s">
        <v>68</v>
      </c>
      <c r="AQ189" s="30">
        <v>36</v>
      </c>
      <c r="AR189" s="30">
        <v>0</v>
      </c>
      <c r="AS189" s="30">
        <v>0</v>
      </c>
      <c r="AT189" s="30">
        <v>0</v>
      </c>
      <c r="AU189" s="30"/>
      <c r="AV189" s="31"/>
      <c r="AW189" s="31" t="s">
        <v>70</v>
      </c>
      <c r="AX189" s="31"/>
      <c r="AY189" s="32">
        <v>105</v>
      </c>
      <c r="AZ189" s="32" t="s">
        <v>70</v>
      </c>
      <c r="BA189" s="32"/>
    </row>
    <row r="190" spans="1:53" x14ac:dyDescent="0.3">
      <c r="A190" s="16" t="s">
        <v>147</v>
      </c>
      <c r="B190" s="17">
        <v>43181</v>
      </c>
      <c r="C190" s="16" t="s">
        <v>341</v>
      </c>
      <c r="D190" s="16">
        <v>13915</v>
      </c>
      <c r="E190" s="19"/>
      <c r="F190" s="19">
        <v>71</v>
      </c>
      <c r="G190" s="16" t="s">
        <v>339</v>
      </c>
      <c r="H190" s="16"/>
      <c r="I190" s="16">
        <v>8027188</v>
      </c>
      <c r="J190" s="16" t="s">
        <v>342</v>
      </c>
      <c r="K190" s="16" t="s">
        <v>336</v>
      </c>
      <c r="L190" s="16" t="s">
        <v>78</v>
      </c>
      <c r="M190" s="16">
        <v>413</v>
      </c>
      <c r="N190" s="16">
        <v>413</v>
      </c>
      <c r="O190" s="16" t="s">
        <v>57</v>
      </c>
      <c r="P190" s="16">
        <v>2</v>
      </c>
      <c r="Q190" s="16" t="s">
        <v>95</v>
      </c>
      <c r="R190" s="16">
        <v>12</v>
      </c>
      <c r="S190" s="16"/>
      <c r="T190" s="16">
        <v>1</v>
      </c>
      <c r="U190" s="16">
        <v>131</v>
      </c>
      <c r="V190" s="16"/>
      <c r="W190" s="16">
        <v>3</v>
      </c>
      <c r="X190" s="16">
        <v>1</v>
      </c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</row>
    <row r="191" spans="1:53" x14ac:dyDescent="0.3">
      <c r="A191" s="8" t="s">
        <v>72</v>
      </c>
      <c r="B191" s="9">
        <v>43220</v>
      </c>
      <c r="C191" s="10">
        <v>0.4458333333333333</v>
      </c>
      <c r="D191" s="8">
        <v>13915</v>
      </c>
      <c r="E191" s="11"/>
      <c r="F191" s="11">
        <v>71</v>
      </c>
      <c r="G191" s="8" t="s">
        <v>339</v>
      </c>
      <c r="H191" s="8"/>
      <c r="I191" s="8">
        <v>8027188</v>
      </c>
      <c r="J191" s="8"/>
      <c r="K191" s="8" t="s">
        <v>336</v>
      </c>
      <c r="L191" s="8" t="s">
        <v>78</v>
      </c>
      <c r="M191" s="8">
        <v>467</v>
      </c>
      <c r="N191" s="13">
        <v>467</v>
      </c>
      <c r="O191" s="8" t="s">
        <v>57</v>
      </c>
      <c r="P191" s="8"/>
      <c r="Q191" s="8"/>
      <c r="R191" s="8"/>
      <c r="S191" s="8"/>
      <c r="T191" s="8"/>
      <c r="U191" s="8"/>
      <c r="V191" s="8"/>
      <c r="W191" s="8">
        <v>3.5</v>
      </c>
      <c r="X191" s="8">
        <v>1</v>
      </c>
    </row>
    <row r="192" spans="1:53" x14ac:dyDescent="0.3">
      <c r="A192" s="8" t="s">
        <v>154</v>
      </c>
      <c r="B192" s="9">
        <v>43250</v>
      </c>
      <c r="C192" s="10">
        <v>6.5972222222222224E-2</v>
      </c>
      <c r="D192" s="8">
        <v>13915</v>
      </c>
      <c r="E192" s="11"/>
      <c r="F192" s="11">
        <v>71</v>
      </c>
      <c r="G192" s="8" t="s">
        <v>339</v>
      </c>
      <c r="H192" s="8"/>
      <c r="I192" s="8">
        <v>8027188</v>
      </c>
      <c r="J192" s="8"/>
      <c r="K192" s="8" t="s">
        <v>336</v>
      </c>
      <c r="L192" s="8" t="s">
        <v>78</v>
      </c>
      <c r="M192" s="8">
        <v>516</v>
      </c>
      <c r="N192" s="8"/>
      <c r="O192" s="8" t="s">
        <v>57</v>
      </c>
      <c r="P192" s="8"/>
      <c r="Q192" s="8"/>
      <c r="R192" s="8"/>
      <c r="S192" s="8"/>
      <c r="T192" s="8"/>
      <c r="U192" s="8">
        <v>136</v>
      </c>
      <c r="V192" s="8"/>
      <c r="W192" s="8">
        <v>4</v>
      </c>
      <c r="X192" s="8">
        <v>1</v>
      </c>
    </row>
    <row r="193" spans="1:53" x14ac:dyDescent="0.3">
      <c r="A193" s="23" t="s">
        <v>142</v>
      </c>
      <c r="B193" s="24">
        <v>43256</v>
      </c>
      <c r="C193" s="25">
        <v>0.3130324074074074</v>
      </c>
      <c r="D193" s="23">
        <v>13916</v>
      </c>
      <c r="E193" s="26">
        <v>473</v>
      </c>
      <c r="F193" s="27">
        <v>72</v>
      </c>
      <c r="G193" s="23" t="s">
        <v>343</v>
      </c>
      <c r="H193" s="28" t="s">
        <v>344</v>
      </c>
      <c r="I193" s="23">
        <v>8027217</v>
      </c>
      <c r="J193" s="23"/>
      <c r="K193" s="23" t="s">
        <v>336</v>
      </c>
      <c r="L193" s="23" t="s">
        <v>78</v>
      </c>
      <c r="M193" s="23"/>
      <c r="N193" s="23">
        <v>411</v>
      </c>
      <c r="O193" s="23" t="s">
        <v>57</v>
      </c>
      <c r="P193" s="23"/>
      <c r="Q193" s="23"/>
      <c r="R193" s="23"/>
      <c r="S193" s="23" t="s">
        <v>79</v>
      </c>
      <c r="T193" s="23"/>
      <c r="U193" s="23"/>
      <c r="V193" s="23"/>
      <c r="W193" s="23"/>
      <c r="X193" s="23"/>
      <c r="Y193" s="29">
        <v>58.71</v>
      </c>
      <c r="Z193" s="29">
        <v>61.32</v>
      </c>
      <c r="AA193" s="29">
        <v>0</v>
      </c>
      <c r="AB193" s="29">
        <v>7</v>
      </c>
      <c r="AC193" s="29">
        <v>244.9</v>
      </c>
      <c r="AD193" s="29">
        <v>390</v>
      </c>
      <c r="AE193" s="29">
        <v>1</v>
      </c>
      <c r="AF193" s="29">
        <v>7</v>
      </c>
      <c r="AG193" s="29" t="s">
        <v>75</v>
      </c>
      <c r="AH193" s="29">
        <v>1</v>
      </c>
      <c r="AI193" s="29">
        <v>5.39</v>
      </c>
      <c r="AJ193" s="29">
        <v>73</v>
      </c>
      <c r="AK193" s="29">
        <v>170</v>
      </c>
      <c r="AL193" s="29">
        <v>75</v>
      </c>
      <c r="AM193" s="29">
        <v>7</v>
      </c>
      <c r="AN193" s="29">
        <v>13</v>
      </c>
      <c r="AO193" s="29" t="s">
        <v>76</v>
      </c>
      <c r="AP193" s="29" t="s">
        <v>68</v>
      </c>
      <c r="AQ193" s="30">
        <v>32</v>
      </c>
      <c r="AR193" s="30">
        <v>0</v>
      </c>
      <c r="AS193" s="30">
        <v>0</v>
      </c>
      <c r="AT193" s="30">
        <v>0</v>
      </c>
      <c r="AU193" s="30"/>
      <c r="AV193" s="31" t="s">
        <v>82</v>
      </c>
      <c r="AW193" s="31" t="s">
        <v>83</v>
      </c>
      <c r="AX193" s="31"/>
      <c r="AY193" s="32">
        <v>54</v>
      </c>
      <c r="AZ193" s="32" t="s">
        <v>70</v>
      </c>
      <c r="BA193" s="32"/>
    </row>
    <row r="194" spans="1:53" x14ac:dyDescent="0.3">
      <c r="A194" s="16" t="s">
        <v>147</v>
      </c>
      <c r="B194" s="17">
        <v>43181</v>
      </c>
      <c r="C194" s="16" t="s">
        <v>345</v>
      </c>
      <c r="D194" s="16">
        <v>13916</v>
      </c>
      <c r="E194" s="19"/>
      <c r="F194" s="19">
        <v>72</v>
      </c>
      <c r="G194" s="16" t="s">
        <v>343</v>
      </c>
      <c r="H194" s="16"/>
      <c r="I194" s="16">
        <v>8027217</v>
      </c>
      <c r="J194" s="16" t="s">
        <v>346</v>
      </c>
      <c r="K194" s="16" t="s">
        <v>336</v>
      </c>
      <c r="L194" s="16" t="s">
        <v>78</v>
      </c>
      <c r="M194" s="16">
        <v>352</v>
      </c>
      <c r="N194" s="16">
        <v>352</v>
      </c>
      <c r="O194" s="16" t="s">
        <v>57</v>
      </c>
      <c r="P194" s="16">
        <v>2.5</v>
      </c>
      <c r="Q194" s="16" t="s">
        <v>61</v>
      </c>
      <c r="R194" s="16">
        <v>3</v>
      </c>
      <c r="S194" s="16"/>
      <c r="T194" s="16">
        <v>2</v>
      </c>
      <c r="U194" s="16">
        <v>131</v>
      </c>
      <c r="V194" s="16"/>
      <c r="W194" s="16">
        <v>3</v>
      </c>
      <c r="X194" s="16">
        <v>3</v>
      </c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</row>
    <row r="195" spans="1:53" x14ac:dyDescent="0.3">
      <c r="A195" s="8" t="s">
        <v>72</v>
      </c>
      <c r="B195" s="9">
        <v>43220</v>
      </c>
      <c r="C195" s="10">
        <v>0.46111111111111108</v>
      </c>
      <c r="D195" s="8">
        <v>13916</v>
      </c>
      <c r="E195" s="11"/>
      <c r="F195" s="11">
        <v>72</v>
      </c>
      <c r="G195" s="8" t="s">
        <v>343</v>
      </c>
      <c r="H195" s="8"/>
      <c r="I195" s="8">
        <v>8027217</v>
      </c>
      <c r="J195" s="8"/>
      <c r="K195" s="8" t="s">
        <v>336</v>
      </c>
      <c r="L195" s="8" t="s">
        <v>78</v>
      </c>
      <c r="M195" s="8">
        <v>360</v>
      </c>
      <c r="N195" s="13">
        <v>360</v>
      </c>
      <c r="O195" s="8" t="s">
        <v>57</v>
      </c>
      <c r="P195" s="8"/>
      <c r="Q195" s="8"/>
      <c r="R195" s="8"/>
      <c r="S195" s="8"/>
      <c r="T195" s="8"/>
      <c r="U195" s="8"/>
      <c r="V195" s="8"/>
      <c r="W195" s="8">
        <v>3.25</v>
      </c>
      <c r="X195" s="8">
        <v>1</v>
      </c>
    </row>
    <row r="196" spans="1:53" x14ac:dyDescent="0.3">
      <c r="A196" s="8" t="s">
        <v>154</v>
      </c>
      <c r="B196" s="9">
        <v>43250</v>
      </c>
      <c r="C196" s="10">
        <v>0.56944444444444442</v>
      </c>
      <c r="D196" s="8">
        <v>13916</v>
      </c>
      <c r="E196" s="11"/>
      <c r="F196" s="11">
        <v>72</v>
      </c>
      <c r="G196" s="8" t="s">
        <v>343</v>
      </c>
      <c r="H196" s="8"/>
      <c r="I196" s="8">
        <v>8027217</v>
      </c>
      <c r="J196" s="8"/>
      <c r="K196" s="8" t="s">
        <v>336</v>
      </c>
      <c r="L196" s="8" t="s">
        <v>78</v>
      </c>
      <c r="M196" s="8">
        <v>400</v>
      </c>
      <c r="N196" s="8"/>
      <c r="O196" s="8" t="s">
        <v>57</v>
      </c>
      <c r="P196" s="8"/>
      <c r="Q196" s="8"/>
      <c r="R196" s="8"/>
      <c r="S196" s="8"/>
      <c r="T196" s="8"/>
      <c r="U196" s="8">
        <v>128</v>
      </c>
      <c r="V196" s="8"/>
      <c r="W196" s="8">
        <v>4</v>
      </c>
      <c r="X196" s="8">
        <v>2</v>
      </c>
    </row>
  </sheetData>
  <autoFilter ref="A1:BA196" xr:uid="{7E65FBA2-51F4-42CE-8ADC-76654BE8E610}">
    <sortState xmlns:xlrd2="http://schemas.microsoft.com/office/spreadsheetml/2017/richdata2" ref="A2:BA196">
      <sortCondition ref="D1:D196"/>
    </sortState>
  </autoFilter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1547-D3FF-44BC-929E-534A06E9E609}">
  <dimension ref="A1:Q49"/>
  <sheetViews>
    <sheetView zoomScale="46" zoomScaleNormal="46" workbookViewId="0">
      <selection activeCell="Q74" sqref="Q74"/>
    </sheetView>
  </sheetViews>
  <sheetFormatPr defaultRowHeight="14.5" x14ac:dyDescent="0.35"/>
  <sheetData>
    <row r="1" spans="1:17" ht="116" x14ac:dyDescent="0.35">
      <c r="A1" s="35" t="s">
        <v>0</v>
      </c>
      <c r="B1" s="35" t="s">
        <v>2</v>
      </c>
      <c r="C1" s="35" t="s">
        <v>3</v>
      </c>
      <c r="D1" s="1" t="s">
        <v>4</v>
      </c>
      <c r="E1" s="44" t="s">
        <v>5</v>
      </c>
      <c r="F1" s="39" t="s">
        <v>6</v>
      </c>
      <c r="G1" s="35" t="s">
        <v>7</v>
      </c>
      <c r="H1" s="44" t="s">
        <v>8</v>
      </c>
      <c r="I1" s="42" t="s">
        <v>9</v>
      </c>
      <c r="J1" s="35" t="s">
        <v>10</v>
      </c>
      <c r="K1" s="35" t="s">
        <v>11</v>
      </c>
      <c r="L1" s="44" t="s">
        <v>12</v>
      </c>
      <c r="M1" s="35" t="s">
        <v>13</v>
      </c>
      <c r="N1" s="42" t="s">
        <v>14</v>
      </c>
      <c r="O1" s="35" t="s">
        <v>15</v>
      </c>
      <c r="P1" s="47" t="s">
        <v>16</v>
      </c>
      <c r="Q1" s="51" t="s">
        <v>17</v>
      </c>
    </row>
    <row r="2" spans="1:17" x14ac:dyDescent="0.35">
      <c r="A2" s="36">
        <v>13906</v>
      </c>
      <c r="B2" s="8" t="s">
        <v>56</v>
      </c>
      <c r="C2" s="37" t="s">
        <v>57</v>
      </c>
      <c r="D2" s="8" t="s">
        <v>58</v>
      </c>
      <c r="E2" s="45">
        <v>333</v>
      </c>
      <c r="F2" s="40">
        <f t="shared" ref="F2:F49" si="0">(H2-E2)/39</f>
        <v>0.23076923076923078</v>
      </c>
      <c r="G2">
        <f t="shared" ref="G2:G49" si="1">H2-E2</f>
        <v>9</v>
      </c>
      <c r="H2" s="45">
        <v>342</v>
      </c>
      <c r="I2" s="40">
        <f>(L2-H2)/30</f>
        <v>0.6333333333333333</v>
      </c>
      <c r="J2" s="41">
        <f>L2-H2</f>
        <v>19</v>
      </c>
      <c r="K2" s="41">
        <f>L2-E2</f>
        <v>28</v>
      </c>
      <c r="L2" s="45">
        <v>361</v>
      </c>
      <c r="M2" s="49"/>
      <c r="N2" s="49"/>
      <c r="O2" s="49"/>
      <c r="P2" s="48"/>
      <c r="Q2" s="52">
        <f>((L2-E2)/E2)*100</f>
        <v>8.408408408408409</v>
      </c>
    </row>
    <row r="3" spans="1:17" x14ac:dyDescent="0.35">
      <c r="A3" s="36">
        <v>13894</v>
      </c>
      <c r="B3" s="8" t="s">
        <v>62</v>
      </c>
      <c r="C3" s="37" t="s">
        <v>57</v>
      </c>
      <c r="D3" s="8" t="s">
        <v>58</v>
      </c>
      <c r="E3" s="45">
        <v>352</v>
      </c>
      <c r="F3" s="40">
        <f t="shared" si="0"/>
        <v>0.51282051282051277</v>
      </c>
      <c r="G3">
        <f t="shared" si="1"/>
        <v>20</v>
      </c>
      <c r="H3" s="45">
        <v>372</v>
      </c>
      <c r="I3" s="40">
        <f>(L3-H3)/30</f>
        <v>0.36666666666666664</v>
      </c>
      <c r="J3" s="41">
        <f>L3-H3</f>
        <v>11</v>
      </c>
      <c r="K3" s="41">
        <f>L3-E3</f>
        <v>31</v>
      </c>
      <c r="L3" s="45">
        <v>383</v>
      </c>
      <c r="M3" s="40"/>
      <c r="N3" s="40"/>
      <c r="O3" s="49"/>
      <c r="P3" s="48"/>
      <c r="Q3" s="52">
        <f>((L3-E3)/E3)*100</f>
        <v>8.8068181818181817</v>
      </c>
    </row>
    <row r="4" spans="1:17" x14ac:dyDescent="0.35">
      <c r="A4" s="36">
        <v>13880</v>
      </c>
      <c r="B4" s="8" t="s">
        <v>62</v>
      </c>
      <c r="C4" s="37" t="s">
        <v>57</v>
      </c>
      <c r="D4" s="8" t="s">
        <v>64</v>
      </c>
      <c r="E4" s="45">
        <v>417</v>
      </c>
      <c r="F4" s="40">
        <f t="shared" si="0"/>
        <v>0.12820512820512819</v>
      </c>
      <c r="G4">
        <f t="shared" si="1"/>
        <v>5</v>
      </c>
      <c r="H4" s="45">
        <v>422</v>
      </c>
      <c r="I4" s="40">
        <f>(L4-H4)/30</f>
        <v>1.4666666666666666</v>
      </c>
      <c r="J4" s="41">
        <f>L4-H4</f>
        <v>44</v>
      </c>
      <c r="K4" s="41">
        <f>L4-E4</f>
        <v>49</v>
      </c>
      <c r="L4" s="45">
        <v>466</v>
      </c>
      <c r="M4" s="40">
        <f>(P4-L4)/6</f>
        <v>2</v>
      </c>
      <c r="N4" s="40">
        <f>P4-L4</f>
        <v>12</v>
      </c>
      <c r="O4" s="49">
        <f t="shared" ref="O4:O49" si="2">P4-E4</f>
        <v>61</v>
      </c>
      <c r="P4" s="16">
        <v>478</v>
      </c>
      <c r="Q4" s="52">
        <f t="shared" ref="Q4:Q49" si="3">((P4-E4)/E4)*100</f>
        <v>14.628297362110313</v>
      </c>
    </row>
    <row r="5" spans="1:17" x14ac:dyDescent="0.35">
      <c r="A5" s="36">
        <v>13910</v>
      </c>
      <c r="B5" s="8" t="s">
        <v>56</v>
      </c>
      <c r="C5" s="37" t="s">
        <v>72</v>
      </c>
      <c r="D5" s="8" t="s">
        <v>73</v>
      </c>
      <c r="E5" s="45">
        <v>381</v>
      </c>
      <c r="F5" s="40">
        <f t="shared" si="0"/>
        <v>0.23076923076923078</v>
      </c>
      <c r="G5">
        <f t="shared" si="1"/>
        <v>9</v>
      </c>
      <c r="H5" s="45">
        <v>390</v>
      </c>
      <c r="I5" s="40">
        <f>(L5-H5)/30</f>
        <v>1.2333333333333334</v>
      </c>
      <c r="J5" s="41">
        <f>L5-H5</f>
        <v>37</v>
      </c>
      <c r="K5" s="41">
        <f>L5-E5</f>
        <v>46</v>
      </c>
      <c r="L5" s="45">
        <v>427</v>
      </c>
      <c r="M5" s="40">
        <f>(P5-L5)/6</f>
        <v>2.1666666666666665</v>
      </c>
      <c r="N5" s="40">
        <f>P5-L5</f>
        <v>13</v>
      </c>
      <c r="O5" s="49">
        <f t="shared" si="2"/>
        <v>59</v>
      </c>
      <c r="P5" s="16">
        <v>440</v>
      </c>
      <c r="Q5" s="52">
        <f t="shared" si="3"/>
        <v>15.485564304461944</v>
      </c>
    </row>
    <row r="6" spans="1:17" x14ac:dyDescent="0.35">
      <c r="A6" s="36">
        <v>13916</v>
      </c>
      <c r="B6" s="8" t="s">
        <v>78</v>
      </c>
      <c r="C6" s="37" t="s">
        <v>57</v>
      </c>
      <c r="D6" s="8" t="s">
        <v>79</v>
      </c>
      <c r="E6" s="45">
        <v>352</v>
      </c>
      <c r="F6" s="40">
        <f t="shared" si="0"/>
        <v>0.20512820512820512</v>
      </c>
      <c r="G6">
        <f t="shared" si="1"/>
        <v>8</v>
      </c>
      <c r="H6" s="45">
        <v>360</v>
      </c>
      <c r="I6" s="40">
        <f>(L6-H6)/30</f>
        <v>1.3333333333333333</v>
      </c>
      <c r="J6" s="41">
        <f>L6-H6</f>
        <v>40</v>
      </c>
      <c r="K6" s="41">
        <f>L6-E6</f>
        <v>48</v>
      </c>
      <c r="L6" s="45">
        <v>400</v>
      </c>
      <c r="M6" s="40">
        <f>(P6-L6)/6</f>
        <v>1.8333333333333333</v>
      </c>
      <c r="N6" s="40">
        <f>P6-L6</f>
        <v>11</v>
      </c>
      <c r="O6" s="49">
        <f t="shared" si="2"/>
        <v>59</v>
      </c>
      <c r="P6" s="16">
        <v>411</v>
      </c>
      <c r="Q6" s="52">
        <f t="shared" si="3"/>
        <v>16.761363636363637</v>
      </c>
    </row>
    <row r="7" spans="1:17" x14ac:dyDescent="0.35">
      <c r="A7" s="36">
        <v>13833</v>
      </c>
      <c r="B7" s="36" t="s">
        <v>84</v>
      </c>
      <c r="C7" s="37" t="s">
        <v>72</v>
      </c>
      <c r="D7" s="8" t="s">
        <v>85</v>
      </c>
      <c r="E7" s="45">
        <v>379</v>
      </c>
      <c r="F7" s="40">
        <f t="shared" si="0"/>
        <v>0.79487179487179482</v>
      </c>
      <c r="G7">
        <f t="shared" si="1"/>
        <v>31</v>
      </c>
      <c r="H7" s="45">
        <v>410</v>
      </c>
      <c r="I7" s="40"/>
      <c r="J7" s="43"/>
      <c r="K7" s="43"/>
      <c r="L7" s="46"/>
      <c r="M7" s="43"/>
      <c r="N7" s="50"/>
      <c r="O7" s="49">
        <f t="shared" si="2"/>
        <v>66</v>
      </c>
      <c r="P7" s="16">
        <v>445</v>
      </c>
      <c r="Q7" s="52">
        <f t="shared" si="3"/>
        <v>17.414248021108179</v>
      </c>
    </row>
    <row r="8" spans="1:17" x14ac:dyDescent="0.35">
      <c r="A8" s="36">
        <v>13882</v>
      </c>
      <c r="B8" s="8" t="s">
        <v>62</v>
      </c>
      <c r="C8" s="37" t="s">
        <v>57</v>
      </c>
      <c r="D8" s="8" t="s">
        <v>88</v>
      </c>
      <c r="E8" s="45">
        <v>345</v>
      </c>
      <c r="F8" s="40">
        <f t="shared" si="0"/>
        <v>0.79487179487179482</v>
      </c>
      <c r="G8">
        <f t="shared" si="1"/>
        <v>31</v>
      </c>
      <c r="H8" s="45">
        <v>376</v>
      </c>
      <c r="I8" s="40">
        <f t="shared" ref="I8:I19" si="4">(L8-H8)/30</f>
        <v>0.66666666666666663</v>
      </c>
      <c r="J8" s="41">
        <f t="shared" ref="J8:J19" si="5">L8-H8</f>
        <v>20</v>
      </c>
      <c r="K8" s="41">
        <f t="shared" ref="K8:K19" si="6">L8-E8</f>
        <v>51</v>
      </c>
      <c r="L8" s="45">
        <v>396</v>
      </c>
      <c r="M8" s="40">
        <f t="shared" ref="M8:M19" si="7">(P8-L8)/6</f>
        <v>1.8333333333333333</v>
      </c>
      <c r="N8" s="40">
        <f t="shared" ref="N8:N19" si="8">P8-L8</f>
        <v>11</v>
      </c>
      <c r="O8" s="49">
        <f t="shared" si="2"/>
        <v>62</v>
      </c>
      <c r="P8" s="16">
        <v>407</v>
      </c>
      <c r="Q8" s="52">
        <f t="shared" si="3"/>
        <v>17.971014492753625</v>
      </c>
    </row>
    <row r="9" spans="1:17" x14ac:dyDescent="0.35">
      <c r="A9" s="36">
        <v>13899</v>
      </c>
      <c r="B9" s="8" t="s">
        <v>56</v>
      </c>
      <c r="C9" s="37" t="s">
        <v>57</v>
      </c>
      <c r="D9" s="8" t="s">
        <v>92</v>
      </c>
      <c r="E9" s="45">
        <v>349</v>
      </c>
      <c r="F9" s="40">
        <f t="shared" si="0"/>
        <v>0.38461538461538464</v>
      </c>
      <c r="G9">
        <f t="shared" si="1"/>
        <v>15</v>
      </c>
      <c r="H9" s="45">
        <v>364</v>
      </c>
      <c r="I9" s="40">
        <f t="shared" si="4"/>
        <v>1.3333333333333333</v>
      </c>
      <c r="J9" s="41">
        <f t="shared" si="5"/>
        <v>40</v>
      </c>
      <c r="K9" s="41">
        <f t="shared" si="6"/>
        <v>55</v>
      </c>
      <c r="L9" s="45">
        <v>404</v>
      </c>
      <c r="M9" s="40">
        <f t="shared" si="7"/>
        <v>1.8333333333333333</v>
      </c>
      <c r="N9" s="40">
        <f t="shared" si="8"/>
        <v>11</v>
      </c>
      <c r="O9" s="49">
        <f t="shared" si="2"/>
        <v>66</v>
      </c>
      <c r="P9" s="16">
        <v>415</v>
      </c>
      <c r="Q9" s="52">
        <f t="shared" si="3"/>
        <v>18.911174785100286</v>
      </c>
    </row>
    <row r="10" spans="1:17" x14ac:dyDescent="0.35">
      <c r="A10" s="36">
        <v>13902</v>
      </c>
      <c r="B10" s="8" t="s">
        <v>56</v>
      </c>
      <c r="C10" s="37" t="s">
        <v>72</v>
      </c>
      <c r="D10" s="8" t="s">
        <v>88</v>
      </c>
      <c r="E10" s="45">
        <v>385</v>
      </c>
      <c r="F10" s="40">
        <f t="shared" si="0"/>
        <v>0.64102564102564108</v>
      </c>
      <c r="G10">
        <f t="shared" si="1"/>
        <v>25</v>
      </c>
      <c r="H10" s="45">
        <v>410</v>
      </c>
      <c r="I10" s="40">
        <f t="shared" si="4"/>
        <v>1.3</v>
      </c>
      <c r="J10" s="41">
        <f t="shared" si="5"/>
        <v>39</v>
      </c>
      <c r="K10" s="41">
        <f t="shared" si="6"/>
        <v>64</v>
      </c>
      <c r="L10" s="45">
        <v>449</v>
      </c>
      <c r="M10" s="40">
        <f t="shared" si="7"/>
        <v>2</v>
      </c>
      <c r="N10" s="40">
        <f t="shared" si="8"/>
        <v>12</v>
      </c>
      <c r="O10" s="49">
        <f t="shared" si="2"/>
        <v>76</v>
      </c>
      <c r="P10" s="16">
        <v>461</v>
      </c>
      <c r="Q10" s="52">
        <f t="shared" si="3"/>
        <v>19.740259740259742</v>
      </c>
    </row>
    <row r="11" spans="1:17" x14ac:dyDescent="0.35">
      <c r="A11" s="36">
        <v>13887</v>
      </c>
      <c r="B11" s="8" t="s">
        <v>62</v>
      </c>
      <c r="C11" s="37" t="s">
        <v>57</v>
      </c>
      <c r="D11" s="8" t="s">
        <v>73</v>
      </c>
      <c r="E11" s="45">
        <v>365</v>
      </c>
      <c r="F11" s="40">
        <f t="shared" si="0"/>
        <v>0.58974358974358976</v>
      </c>
      <c r="G11">
        <f t="shared" si="1"/>
        <v>23</v>
      </c>
      <c r="H11" s="45">
        <v>388</v>
      </c>
      <c r="I11" s="40">
        <f t="shared" si="4"/>
        <v>1.3333333333333333</v>
      </c>
      <c r="J11" s="41">
        <f t="shared" si="5"/>
        <v>40</v>
      </c>
      <c r="K11" s="41">
        <f t="shared" si="6"/>
        <v>63</v>
      </c>
      <c r="L11" s="45">
        <v>428</v>
      </c>
      <c r="M11" s="40">
        <f t="shared" si="7"/>
        <v>1.6666666666666667</v>
      </c>
      <c r="N11" s="40">
        <f t="shared" si="8"/>
        <v>10</v>
      </c>
      <c r="O11" s="49">
        <f t="shared" si="2"/>
        <v>73</v>
      </c>
      <c r="P11" s="16">
        <v>438</v>
      </c>
      <c r="Q11" s="52">
        <f t="shared" si="3"/>
        <v>20</v>
      </c>
    </row>
    <row r="12" spans="1:17" x14ac:dyDescent="0.35">
      <c r="A12" s="36">
        <v>13877</v>
      </c>
      <c r="B12" s="8" t="s">
        <v>62</v>
      </c>
      <c r="C12" s="37" t="s">
        <v>57</v>
      </c>
      <c r="D12" s="8" t="s">
        <v>88</v>
      </c>
      <c r="E12" s="45">
        <v>358</v>
      </c>
      <c r="F12" s="40">
        <f t="shared" si="0"/>
        <v>0.84615384615384615</v>
      </c>
      <c r="G12">
        <f t="shared" si="1"/>
        <v>33</v>
      </c>
      <c r="H12" s="45">
        <v>391</v>
      </c>
      <c r="I12" s="40">
        <f t="shared" si="4"/>
        <v>1.0333333333333334</v>
      </c>
      <c r="J12" s="41">
        <f t="shared" si="5"/>
        <v>31</v>
      </c>
      <c r="K12" s="41">
        <f t="shared" si="6"/>
        <v>64</v>
      </c>
      <c r="L12" s="45">
        <v>422</v>
      </c>
      <c r="M12" s="40">
        <f t="shared" si="7"/>
        <v>1.5</v>
      </c>
      <c r="N12" s="40">
        <f t="shared" si="8"/>
        <v>9</v>
      </c>
      <c r="O12" s="49">
        <f t="shared" si="2"/>
        <v>73</v>
      </c>
      <c r="P12" s="16">
        <v>431</v>
      </c>
      <c r="Q12" s="52">
        <f t="shared" si="3"/>
        <v>20.391061452513966</v>
      </c>
    </row>
    <row r="13" spans="1:17" x14ac:dyDescent="0.35">
      <c r="A13" s="36">
        <v>13907</v>
      </c>
      <c r="B13" s="8" t="s">
        <v>56</v>
      </c>
      <c r="C13" s="37" t="s">
        <v>57</v>
      </c>
      <c r="D13" s="8" t="s">
        <v>73</v>
      </c>
      <c r="E13" s="45">
        <v>352</v>
      </c>
      <c r="F13" s="40">
        <f t="shared" si="0"/>
        <v>0.5641025641025641</v>
      </c>
      <c r="G13">
        <f t="shared" si="1"/>
        <v>22</v>
      </c>
      <c r="H13" s="45">
        <v>374</v>
      </c>
      <c r="I13" s="40">
        <f t="shared" si="4"/>
        <v>1.2</v>
      </c>
      <c r="J13" s="41">
        <f t="shared" si="5"/>
        <v>36</v>
      </c>
      <c r="K13" s="41">
        <f t="shared" si="6"/>
        <v>58</v>
      </c>
      <c r="L13" s="45">
        <v>410</v>
      </c>
      <c r="M13" s="40">
        <f t="shared" si="7"/>
        <v>2.3333333333333335</v>
      </c>
      <c r="N13" s="40">
        <f t="shared" si="8"/>
        <v>14</v>
      </c>
      <c r="O13" s="49">
        <f t="shared" si="2"/>
        <v>72</v>
      </c>
      <c r="P13" s="16">
        <v>424</v>
      </c>
      <c r="Q13" s="52">
        <f t="shared" si="3"/>
        <v>20.454545454545457</v>
      </c>
    </row>
    <row r="14" spans="1:17" x14ac:dyDescent="0.35">
      <c r="A14" s="36">
        <v>13852</v>
      </c>
      <c r="B14" s="36" t="s">
        <v>84</v>
      </c>
      <c r="C14" s="37" t="s">
        <v>72</v>
      </c>
      <c r="D14" s="8" t="s">
        <v>88</v>
      </c>
      <c r="E14" s="45">
        <v>380</v>
      </c>
      <c r="F14" s="40">
        <f t="shared" si="0"/>
        <v>0.74358974358974361</v>
      </c>
      <c r="G14">
        <f t="shared" si="1"/>
        <v>29</v>
      </c>
      <c r="H14" s="45">
        <v>409</v>
      </c>
      <c r="I14" s="40">
        <f t="shared" si="4"/>
        <v>1.2333333333333334</v>
      </c>
      <c r="J14" s="41">
        <f t="shared" si="5"/>
        <v>37</v>
      </c>
      <c r="K14" s="41">
        <f t="shared" si="6"/>
        <v>66</v>
      </c>
      <c r="L14" s="45">
        <v>446</v>
      </c>
      <c r="M14" s="40">
        <f t="shared" si="7"/>
        <v>2</v>
      </c>
      <c r="N14" s="40">
        <f t="shared" si="8"/>
        <v>12</v>
      </c>
      <c r="O14" s="49">
        <f t="shared" si="2"/>
        <v>78</v>
      </c>
      <c r="P14" s="16">
        <v>458</v>
      </c>
      <c r="Q14" s="52">
        <f t="shared" si="3"/>
        <v>20.526315789473685</v>
      </c>
    </row>
    <row r="15" spans="1:17" x14ac:dyDescent="0.35">
      <c r="A15" s="36">
        <v>13901</v>
      </c>
      <c r="B15" s="8" t="s">
        <v>56</v>
      </c>
      <c r="C15" s="37" t="s">
        <v>72</v>
      </c>
      <c r="D15" s="8" t="s">
        <v>96</v>
      </c>
      <c r="E15" s="45">
        <v>396</v>
      </c>
      <c r="F15" s="40">
        <f t="shared" si="0"/>
        <v>0.30769230769230771</v>
      </c>
      <c r="G15">
        <f t="shared" si="1"/>
        <v>12</v>
      </c>
      <c r="H15" s="45">
        <v>408</v>
      </c>
      <c r="I15" s="40">
        <f t="shared" si="4"/>
        <v>1.9</v>
      </c>
      <c r="J15" s="41">
        <f t="shared" si="5"/>
        <v>57</v>
      </c>
      <c r="K15" s="41">
        <f t="shared" si="6"/>
        <v>69</v>
      </c>
      <c r="L15" s="45">
        <v>465</v>
      </c>
      <c r="M15" s="40">
        <f t="shared" si="7"/>
        <v>2.1666666666666665</v>
      </c>
      <c r="N15" s="40">
        <f t="shared" si="8"/>
        <v>13</v>
      </c>
      <c r="O15" s="49">
        <f t="shared" si="2"/>
        <v>82</v>
      </c>
      <c r="P15" s="16">
        <v>478</v>
      </c>
      <c r="Q15" s="52">
        <f t="shared" si="3"/>
        <v>20.707070707070706</v>
      </c>
    </row>
    <row r="16" spans="1:17" x14ac:dyDescent="0.35">
      <c r="A16" s="36">
        <v>13904</v>
      </c>
      <c r="B16" s="8" t="s">
        <v>56</v>
      </c>
      <c r="C16" s="37" t="s">
        <v>72</v>
      </c>
      <c r="D16" s="8" t="s">
        <v>73</v>
      </c>
      <c r="E16" s="45">
        <v>356</v>
      </c>
      <c r="F16" s="40">
        <f t="shared" si="0"/>
        <v>0.33333333333333331</v>
      </c>
      <c r="G16">
        <f t="shared" si="1"/>
        <v>13</v>
      </c>
      <c r="H16" s="45">
        <v>369</v>
      </c>
      <c r="I16" s="40">
        <f t="shared" si="4"/>
        <v>1.6666666666666667</v>
      </c>
      <c r="J16" s="41">
        <f t="shared" si="5"/>
        <v>50</v>
      </c>
      <c r="K16" s="41">
        <f t="shared" si="6"/>
        <v>63</v>
      </c>
      <c r="L16" s="45">
        <v>419</v>
      </c>
      <c r="M16" s="40">
        <f t="shared" si="7"/>
        <v>1.8333333333333333</v>
      </c>
      <c r="N16" s="40">
        <f t="shared" si="8"/>
        <v>11</v>
      </c>
      <c r="O16" s="49">
        <f t="shared" si="2"/>
        <v>74</v>
      </c>
      <c r="P16" s="16">
        <v>430</v>
      </c>
      <c r="Q16" s="52">
        <f t="shared" si="3"/>
        <v>20.786516853932586</v>
      </c>
    </row>
    <row r="17" spans="1:17" x14ac:dyDescent="0.35">
      <c r="A17" s="36">
        <v>13896</v>
      </c>
      <c r="B17" s="8" t="s">
        <v>62</v>
      </c>
      <c r="C17" s="37" t="s">
        <v>57</v>
      </c>
      <c r="D17" s="8" t="s">
        <v>73</v>
      </c>
      <c r="E17" s="45">
        <v>350</v>
      </c>
      <c r="F17" s="40">
        <f t="shared" si="0"/>
        <v>0.82051282051282048</v>
      </c>
      <c r="G17">
        <f t="shared" si="1"/>
        <v>32</v>
      </c>
      <c r="H17" s="45">
        <v>382</v>
      </c>
      <c r="I17" s="40">
        <f t="shared" si="4"/>
        <v>1</v>
      </c>
      <c r="J17" s="41">
        <f t="shared" si="5"/>
        <v>30</v>
      </c>
      <c r="K17" s="41">
        <f t="shared" si="6"/>
        <v>62</v>
      </c>
      <c r="L17" s="45">
        <v>412</v>
      </c>
      <c r="M17" s="40">
        <f t="shared" si="7"/>
        <v>1.8333333333333333</v>
      </c>
      <c r="N17" s="40">
        <f t="shared" si="8"/>
        <v>11</v>
      </c>
      <c r="O17" s="49">
        <f t="shared" si="2"/>
        <v>73</v>
      </c>
      <c r="P17" s="16">
        <v>423</v>
      </c>
      <c r="Q17" s="52">
        <f t="shared" si="3"/>
        <v>20.857142857142858</v>
      </c>
    </row>
    <row r="18" spans="1:17" x14ac:dyDescent="0.35">
      <c r="A18" s="36">
        <v>13903</v>
      </c>
      <c r="B18" s="8" t="s">
        <v>56</v>
      </c>
      <c r="C18" s="37" t="s">
        <v>72</v>
      </c>
      <c r="D18" s="8" t="s">
        <v>73</v>
      </c>
      <c r="E18" s="45">
        <v>358</v>
      </c>
      <c r="F18" s="40">
        <f t="shared" si="0"/>
        <v>0.87179487179487181</v>
      </c>
      <c r="G18">
        <f t="shared" si="1"/>
        <v>34</v>
      </c>
      <c r="H18" s="45">
        <v>392</v>
      </c>
      <c r="I18" s="40">
        <f t="shared" si="4"/>
        <v>1.2</v>
      </c>
      <c r="J18" s="41">
        <f t="shared" si="5"/>
        <v>36</v>
      </c>
      <c r="K18" s="41">
        <f t="shared" si="6"/>
        <v>70</v>
      </c>
      <c r="L18" s="45">
        <v>428</v>
      </c>
      <c r="M18" s="40">
        <f t="shared" si="7"/>
        <v>1.8333333333333333</v>
      </c>
      <c r="N18" s="40">
        <f t="shared" si="8"/>
        <v>11</v>
      </c>
      <c r="O18" s="49">
        <f t="shared" si="2"/>
        <v>81</v>
      </c>
      <c r="P18" s="16">
        <v>439</v>
      </c>
      <c r="Q18" s="52">
        <f t="shared" si="3"/>
        <v>22.625698324022348</v>
      </c>
    </row>
    <row r="19" spans="1:17" x14ac:dyDescent="0.35">
      <c r="A19" s="36">
        <v>13892</v>
      </c>
      <c r="B19" s="8" t="s">
        <v>62</v>
      </c>
      <c r="C19" s="37" t="s">
        <v>57</v>
      </c>
      <c r="D19" s="8" t="s">
        <v>73</v>
      </c>
      <c r="E19" s="45">
        <v>387</v>
      </c>
      <c r="F19" s="40">
        <f t="shared" si="0"/>
        <v>1.0769230769230769</v>
      </c>
      <c r="G19">
        <f t="shared" si="1"/>
        <v>42</v>
      </c>
      <c r="H19" s="45">
        <v>429</v>
      </c>
      <c r="I19" s="40">
        <f t="shared" si="4"/>
        <v>1.5333333333333334</v>
      </c>
      <c r="J19" s="41">
        <f t="shared" si="5"/>
        <v>46</v>
      </c>
      <c r="K19" s="41">
        <f t="shared" si="6"/>
        <v>88</v>
      </c>
      <c r="L19" s="45">
        <v>475</v>
      </c>
      <c r="M19" s="40">
        <f t="shared" si="7"/>
        <v>0.5</v>
      </c>
      <c r="N19" s="40">
        <f t="shared" si="8"/>
        <v>3</v>
      </c>
      <c r="O19" s="49">
        <f t="shared" si="2"/>
        <v>91</v>
      </c>
      <c r="P19" s="16">
        <v>478</v>
      </c>
      <c r="Q19" s="52">
        <f t="shared" si="3"/>
        <v>23.51421188630491</v>
      </c>
    </row>
    <row r="20" spans="1:17" x14ac:dyDescent="0.35">
      <c r="A20" s="36">
        <v>13898</v>
      </c>
      <c r="B20" s="8" t="s">
        <v>56</v>
      </c>
      <c r="C20" s="37" t="s">
        <v>57</v>
      </c>
      <c r="D20" s="8" t="s">
        <v>64</v>
      </c>
      <c r="E20" s="45">
        <v>379</v>
      </c>
      <c r="F20" s="40">
        <f t="shared" si="0"/>
        <v>0.71794871794871795</v>
      </c>
      <c r="G20">
        <f t="shared" si="1"/>
        <v>28</v>
      </c>
      <c r="H20" s="45">
        <v>407</v>
      </c>
      <c r="I20" s="40"/>
      <c r="J20" s="41"/>
      <c r="K20" s="41"/>
      <c r="L20" s="45"/>
      <c r="M20" s="40"/>
      <c r="N20" s="40"/>
      <c r="O20" s="49">
        <f t="shared" si="2"/>
        <v>91</v>
      </c>
      <c r="P20" s="16">
        <v>470</v>
      </c>
      <c r="Q20" s="52">
        <f t="shared" si="3"/>
        <v>24.010554089709764</v>
      </c>
    </row>
    <row r="21" spans="1:17" x14ac:dyDescent="0.35">
      <c r="A21" s="36">
        <v>13839</v>
      </c>
      <c r="B21" s="36" t="s">
        <v>84</v>
      </c>
      <c r="C21" s="37" t="s">
        <v>72</v>
      </c>
      <c r="D21" s="8" t="s">
        <v>103</v>
      </c>
      <c r="E21" s="45">
        <v>381</v>
      </c>
      <c r="F21" s="40">
        <f t="shared" si="0"/>
        <v>1.4102564102564104</v>
      </c>
      <c r="G21">
        <f t="shared" si="1"/>
        <v>55</v>
      </c>
      <c r="H21" s="45">
        <v>436</v>
      </c>
      <c r="I21" s="40">
        <f t="shared" ref="I21:I49" si="9">(L21-H21)/30</f>
        <v>0.8666666666666667</v>
      </c>
      <c r="J21" s="41">
        <f t="shared" ref="J21:J49" si="10">L21-H21</f>
        <v>26</v>
      </c>
      <c r="K21" s="41">
        <f t="shared" ref="K21:K49" si="11">L21-E21</f>
        <v>81</v>
      </c>
      <c r="L21" s="45">
        <v>462</v>
      </c>
      <c r="M21" s="40">
        <f t="shared" ref="M21:M49" si="12">(P21-L21)/6</f>
        <v>2</v>
      </c>
      <c r="N21" s="40">
        <f t="shared" ref="N21:N49" si="13">P21-L21</f>
        <v>12</v>
      </c>
      <c r="O21" s="49">
        <f t="shared" si="2"/>
        <v>93</v>
      </c>
      <c r="P21" s="16">
        <v>474</v>
      </c>
      <c r="Q21" s="52">
        <f t="shared" si="3"/>
        <v>24.409448818897637</v>
      </c>
    </row>
    <row r="22" spans="1:17" x14ac:dyDescent="0.35">
      <c r="A22" s="36">
        <v>13854</v>
      </c>
      <c r="B22" s="36" t="s">
        <v>84</v>
      </c>
      <c r="C22" s="37" t="s">
        <v>72</v>
      </c>
      <c r="D22" s="8" t="s">
        <v>88</v>
      </c>
      <c r="E22" s="45">
        <v>373</v>
      </c>
      <c r="F22" s="40">
        <f t="shared" si="0"/>
        <v>1.2051282051282051</v>
      </c>
      <c r="G22">
        <f t="shared" si="1"/>
        <v>47</v>
      </c>
      <c r="H22" s="45">
        <v>420</v>
      </c>
      <c r="I22" s="40">
        <f t="shared" si="9"/>
        <v>1.1666666666666667</v>
      </c>
      <c r="J22" s="41">
        <f t="shared" si="10"/>
        <v>35</v>
      </c>
      <c r="K22" s="41">
        <f t="shared" si="11"/>
        <v>82</v>
      </c>
      <c r="L22" s="45">
        <v>455</v>
      </c>
      <c r="M22" s="40">
        <f t="shared" si="12"/>
        <v>2</v>
      </c>
      <c r="N22" s="40">
        <f t="shared" si="13"/>
        <v>12</v>
      </c>
      <c r="O22" s="49">
        <f t="shared" si="2"/>
        <v>94</v>
      </c>
      <c r="P22" s="16">
        <v>467</v>
      </c>
      <c r="Q22" s="52">
        <f t="shared" si="3"/>
        <v>25.201072386058982</v>
      </c>
    </row>
    <row r="23" spans="1:17" x14ac:dyDescent="0.35">
      <c r="A23" s="36">
        <v>13883</v>
      </c>
      <c r="B23" s="8" t="s">
        <v>62</v>
      </c>
      <c r="C23" s="37" t="s">
        <v>57</v>
      </c>
      <c r="D23" s="8" t="s">
        <v>88</v>
      </c>
      <c r="E23" s="45">
        <v>345</v>
      </c>
      <c r="F23" s="40">
        <f t="shared" si="0"/>
        <v>0.92307692307692313</v>
      </c>
      <c r="G23">
        <f t="shared" si="1"/>
        <v>36</v>
      </c>
      <c r="H23" s="45">
        <v>381</v>
      </c>
      <c r="I23" s="40">
        <f t="shared" si="9"/>
        <v>1.4</v>
      </c>
      <c r="J23" s="41">
        <f t="shared" si="10"/>
        <v>42</v>
      </c>
      <c r="K23" s="41">
        <f t="shared" si="11"/>
        <v>78</v>
      </c>
      <c r="L23" s="45">
        <v>423</v>
      </c>
      <c r="M23" s="40">
        <f t="shared" si="12"/>
        <v>1.8333333333333333</v>
      </c>
      <c r="N23" s="40">
        <f t="shared" si="13"/>
        <v>11</v>
      </c>
      <c r="O23" s="49">
        <f t="shared" si="2"/>
        <v>89</v>
      </c>
      <c r="P23" s="16">
        <v>434</v>
      </c>
      <c r="Q23" s="52">
        <f t="shared" si="3"/>
        <v>25.79710144927536</v>
      </c>
    </row>
    <row r="24" spans="1:17" x14ac:dyDescent="0.35">
      <c r="A24" s="36">
        <v>13891</v>
      </c>
      <c r="B24" s="8" t="s">
        <v>62</v>
      </c>
      <c r="C24" s="37" t="s">
        <v>57</v>
      </c>
      <c r="D24" s="8" t="s">
        <v>73</v>
      </c>
      <c r="E24" s="45">
        <v>343</v>
      </c>
      <c r="F24" s="40">
        <f t="shared" si="0"/>
        <v>1.1282051282051282</v>
      </c>
      <c r="G24">
        <f t="shared" si="1"/>
        <v>44</v>
      </c>
      <c r="H24" s="45">
        <v>387</v>
      </c>
      <c r="I24" s="40">
        <f t="shared" si="9"/>
        <v>1.1000000000000001</v>
      </c>
      <c r="J24" s="41">
        <f t="shared" si="10"/>
        <v>33</v>
      </c>
      <c r="K24" s="41">
        <f t="shared" si="11"/>
        <v>77</v>
      </c>
      <c r="L24" s="45">
        <v>420</v>
      </c>
      <c r="M24" s="40">
        <f t="shared" si="12"/>
        <v>2</v>
      </c>
      <c r="N24" s="40">
        <f t="shared" si="13"/>
        <v>12</v>
      </c>
      <c r="O24" s="49">
        <f t="shared" si="2"/>
        <v>89</v>
      </c>
      <c r="P24" s="16">
        <v>432</v>
      </c>
      <c r="Q24" s="52">
        <f t="shared" si="3"/>
        <v>25.947521865889211</v>
      </c>
    </row>
    <row r="25" spans="1:17" x14ac:dyDescent="0.35">
      <c r="A25" s="36">
        <v>13872</v>
      </c>
      <c r="B25" s="36" t="s">
        <v>84</v>
      </c>
      <c r="C25" s="37" t="s">
        <v>72</v>
      </c>
      <c r="D25" s="8" t="s">
        <v>88</v>
      </c>
      <c r="E25" s="45">
        <v>358</v>
      </c>
      <c r="F25" s="40">
        <f t="shared" si="0"/>
        <v>1.1025641025641026</v>
      </c>
      <c r="G25">
        <f t="shared" si="1"/>
        <v>43</v>
      </c>
      <c r="H25" s="45">
        <v>401</v>
      </c>
      <c r="I25" s="40">
        <f t="shared" si="9"/>
        <v>1.3</v>
      </c>
      <c r="J25" s="41">
        <f t="shared" si="10"/>
        <v>39</v>
      </c>
      <c r="K25" s="41">
        <f t="shared" si="11"/>
        <v>82</v>
      </c>
      <c r="L25" s="45">
        <v>440</v>
      </c>
      <c r="M25" s="40">
        <f t="shared" si="12"/>
        <v>1.8333333333333333</v>
      </c>
      <c r="N25" s="40">
        <f t="shared" si="13"/>
        <v>11</v>
      </c>
      <c r="O25" s="49">
        <f t="shared" si="2"/>
        <v>93</v>
      </c>
      <c r="P25" s="16">
        <v>451</v>
      </c>
      <c r="Q25" s="52">
        <f t="shared" si="3"/>
        <v>25.977653631284912</v>
      </c>
    </row>
    <row r="26" spans="1:17" x14ac:dyDescent="0.35">
      <c r="A26" s="36">
        <v>13884</v>
      </c>
      <c r="B26" s="8" t="s">
        <v>62</v>
      </c>
      <c r="C26" s="37" t="s">
        <v>57</v>
      </c>
      <c r="D26" s="8" t="s">
        <v>64</v>
      </c>
      <c r="E26" s="45">
        <v>399</v>
      </c>
      <c r="F26" s="40">
        <f t="shared" si="0"/>
        <v>1.5384615384615385</v>
      </c>
      <c r="G26">
        <f t="shared" si="1"/>
        <v>60</v>
      </c>
      <c r="H26" s="45">
        <v>459</v>
      </c>
      <c r="I26" s="40">
        <f t="shared" si="9"/>
        <v>1.0333333333333334</v>
      </c>
      <c r="J26" s="41">
        <f t="shared" si="10"/>
        <v>31</v>
      </c>
      <c r="K26" s="41">
        <f t="shared" si="11"/>
        <v>91</v>
      </c>
      <c r="L26" s="45">
        <v>490</v>
      </c>
      <c r="M26" s="40">
        <f t="shared" si="12"/>
        <v>2.1666666666666665</v>
      </c>
      <c r="N26" s="40">
        <f t="shared" si="13"/>
        <v>13</v>
      </c>
      <c r="O26" s="49">
        <f t="shared" si="2"/>
        <v>104</v>
      </c>
      <c r="P26" s="16">
        <v>503</v>
      </c>
      <c r="Q26" s="52">
        <f t="shared" si="3"/>
        <v>26.065162907268167</v>
      </c>
    </row>
    <row r="27" spans="1:17" x14ac:dyDescent="0.35">
      <c r="A27" s="36">
        <v>13861</v>
      </c>
      <c r="B27" s="36" t="s">
        <v>84</v>
      </c>
      <c r="C27" s="37" t="s">
        <v>72</v>
      </c>
      <c r="D27" s="8" t="s">
        <v>64</v>
      </c>
      <c r="E27" s="45">
        <v>394</v>
      </c>
      <c r="F27" s="40">
        <f t="shared" si="0"/>
        <v>1.358974358974359</v>
      </c>
      <c r="G27">
        <f t="shared" si="1"/>
        <v>53</v>
      </c>
      <c r="H27" s="45">
        <v>447</v>
      </c>
      <c r="I27" s="40">
        <f t="shared" si="9"/>
        <v>1.2333333333333334</v>
      </c>
      <c r="J27" s="41">
        <f t="shared" si="10"/>
        <v>37</v>
      </c>
      <c r="K27" s="41">
        <f t="shared" si="11"/>
        <v>90</v>
      </c>
      <c r="L27" s="45">
        <v>484</v>
      </c>
      <c r="M27" s="40">
        <f t="shared" si="12"/>
        <v>2.3333333333333335</v>
      </c>
      <c r="N27" s="40">
        <f t="shared" si="13"/>
        <v>14</v>
      </c>
      <c r="O27" s="49">
        <f t="shared" si="2"/>
        <v>104</v>
      </c>
      <c r="P27" s="16">
        <v>498</v>
      </c>
      <c r="Q27" s="52">
        <f t="shared" si="3"/>
        <v>26.395939086294419</v>
      </c>
    </row>
    <row r="28" spans="1:17" x14ac:dyDescent="0.35">
      <c r="A28" s="36">
        <v>13866</v>
      </c>
      <c r="B28" s="36" t="s">
        <v>84</v>
      </c>
      <c r="C28" s="37" t="s">
        <v>72</v>
      </c>
      <c r="D28" s="8" t="s">
        <v>88</v>
      </c>
      <c r="E28" s="45">
        <v>414</v>
      </c>
      <c r="F28" s="40">
        <f t="shared" si="0"/>
        <v>1.0769230769230769</v>
      </c>
      <c r="G28">
        <f t="shared" si="1"/>
        <v>42</v>
      </c>
      <c r="H28" s="45">
        <v>456</v>
      </c>
      <c r="I28" s="40">
        <f t="shared" si="9"/>
        <v>1.8</v>
      </c>
      <c r="J28" s="41">
        <f t="shared" si="10"/>
        <v>54</v>
      </c>
      <c r="K28" s="41">
        <f t="shared" si="11"/>
        <v>96</v>
      </c>
      <c r="L28" s="45">
        <v>510</v>
      </c>
      <c r="M28" s="40">
        <f t="shared" si="12"/>
        <v>2.3333333333333335</v>
      </c>
      <c r="N28" s="40">
        <f t="shared" si="13"/>
        <v>14</v>
      </c>
      <c r="O28" s="49">
        <f t="shared" si="2"/>
        <v>110</v>
      </c>
      <c r="P28" s="16">
        <v>524</v>
      </c>
      <c r="Q28" s="52">
        <f t="shared" si="3"/>
        <v>26.570048309178745</v>
      </c>
    </row>
    <row r="29" spans="1:17" x14ac:dyDescent="0.35">
      <c r="A29" s="36">
        <v>13888</v>
      </c>
      <c r="B29" s="8" t="s">
        <v>62</v>
      </c>
      <c r="C29" s="37" t="s">
        <v>57</v>
      </c>
      <c r="D29" s="8" t="s">
        <v>64</v>
      </c>
      <c r="E29" s="45">
        <v>351</v>
      </c>
      <c r="F29" s="40">
        <f t="shared" si="0"/>
        <v>1.4615384615384615</v>
      </c>
      <c r="G29">
        <f t="shared" si="1"/>
        <v>57</v>
      </c>
      <c r="H29" s="45">
        <v>408</v>
      </c>
      <c r="I29" s="40">
        <f t="shared" si="9"/>
        <v>0.8666666666666667</v>
      </c>
      <c r="J29" s="41">
        <f t="shared" si="10"/>
        <v>26</v>
      </c>
      <c r="K29" s="41">
        <f t="shared" si="11"/>
        <v>83</v>
      </c>
      <c r="L29" s="45">
        <v>434</v>
      </c>
      <c r="M29" s="40">
        <f t="shared" si="12"/>
        <v>2</v>
      </c>
      <c r="N29" s="40">
        <f t="shared" si="13"/>
        <v>12</v>
      </c>
      <c r="O29" s="49">
        <f t="shared" si="2"/>
        <v>95</v>
      </c>
      <c r="P29" s="16">
        <v>446</v>
      </c>
      <c r="Q29" s="52">
        <f t="shared" si="3"/>
        <v>27.065527065527068</v>
      </c>
    </row>
    <row r="30" spans="1:17" x14ac:dyDescent="0.35">
      <c r="A30" s="36">
        <v>13846</v>
      </c>
      <c r="B30" s="36" t="s">
        <v>84</v>
      </c>
      <c r="C30" s="37" t="s">
        <v>72</v>
      </c>
      <c r="D30" s="8" t="s">
        <v>110</v>
      </c>
      <c r="E30" s="45">
        <v>394</v>
      </c>
      <c r="F30" s="40">
        <f t="shared" si="0"/>
        <v>1.6153846153846154</v>
      </c>
      <c r="G30">
        <f t="shared" si="1"/>
        <v>63</v>
      </c>
      <c r="H30" s="45">
        <v>457</v>
      </c>
      <c r="I30" s="40">
        <f t="shared" si="9"/>
        <v>1.0666666666666667</v>
      </c>
      <c r="J30" s="41">
        <f t="shared" si="10"/>
        <v>32</v>
      </c>
      <c r="K30" s="41">
        <f t="shared" si="11"/>
        <v>95</v>
      </c>
      <c r="L30" s="45">
        <v>489</v>
      </c>
      <c r="M30" s="40">
        <f t="shared" si="12"/>
        <v>2.3333333333333335</v>
      </c>
      <c r="N30" s="40">
        <f t="shared" si="13"/>
        <v>14</v>
      </c>
      <c r="O30" s="49">
        <f t="shared" si="2"/>
        <v>109</v>
      </c>
      <c r="P30" s="16">
        <v>503</v>
      </c>
      <c r="Q30" s="52">
        <f t="shared" si="3"/>
        <v>27.664974619289339</v>
      </c>
    </row>
    <row r="31" spans="1:17" x14ac:dyDescent="0.35">
      <c r="A31" s="36">
        <v>13890</v>
      </c>
      <c r="B31" s="8" t="s">
        <v>62</v>
      </c>
      <c r="C31" s="37" t="s">
        <v>57</v>
      </c>
      <c r="D31" s="8" t="s">
        <v>73</v>
      </c>
      <c r="E31" s="45">
        <v>365</v>
      </c>
      <c r="F31" s="40">
        <f t="shared" si="0"/>
        <v>1.3333333333333333</v>
      </c>
      <c r="G31">
        <f t="shared" si="1"/>
        <v>52</v>
      </c>
      <c r="H31" s="45">
        <v>417</v>
      </c>
      <c r="I31" s="40">
        <f t="shared" si="9"/>
        <v>1.2666666666666666</v>
      </c>
      <c r="J31" s="41">
        <f t="shared" si="10"/>
        <v>38</v>
      </c>
      <c r="K31" s="41">
        <f t="shared" si="11"/>
        <v>90</v>
      </c>
      <c r="L31" s="45">
        <v>455</v>
      </c>
      <c r="M31" s="40">
        <f t="shared" si="12"/>
        <v>2</v>
      </c>
      <c r="N31" s="40">
        <f t="shared" si="13"/>
        <v>12</v>
      </c>
      <c r="O31" s="49">
        <f t="shared" si="2"/>
        <v>102</v>
      </c>
      <c r="P31" s="16">
        <v>467</v>
      </c>
      <c r="Q31" s="52">
        <f t="shared" si="3"/>
        <v>27.945205479452056</v>
      </c>
    </row>
    <row r="32" spans="1:17" x14ac:dyDescent="0.35">
      <c r="A32" s="36">
        <v>13915</v>
      </c>
      <c r="B32" s="8" t="s">
        <v>78</v>
      </c>
      <c r="C32" s="37" t="s">
        <v>57</v>
      </c>
      <c r="D32" s="8" t="s">
        <v>79</v>
      </c>
      <c r="E32" s="45">
        <v>413</v>
      </c>
      <c r="F32" s="40">
        <f t="shared" si="0"/>
        <v>1.3846153846153846</v>
      </c>
      <c r="G32">
        <f t="shared" si="1"/>
        <v>54</v>
      </c>
      <c r="H32" s="45">
        <v>467</v>
      </c>
      <c r="I32" s="40">
        <f t="shared" si="9"/>
        <v>1.6333333333333333</v>
      </c>
      <c r="J32" s="41">
        <f t="shared" si="10"/>
        <v>49</v>
      </c>
      <c r="K32" s="41">
        <f t="shared" si="11"/>
        <v>103</v>
      </c>
      <c r="L32" s="45">
        <v>516</v>
      </c>
      <c r="M32" s="40">
        <f t="shared" si="12"/>
        <v>2.1666666666666665</v>
      </c>
      <c r="N32" s="40">
        <f t="shared" si="13"/>
        <v>13</v>
      </c>
      <c r="O32" s="49">
        <f t="shared" si="2"/>
        <v>116</v>
      </c>
      <c r="P32" s="16">
        <v>529</v>
      </c>
      <c r="Q32" s="52">
        <f t="shared" si="3"/>
        <v>28.087167070217916</v>
      </c>
    </row>
    <row r="33" spans="1:17" x14ac:dyDescent="0.35">
      <c r="A33" s="36">
        <v>13868</v>
      </c>
      <c r="B33" s="36" t="s">
        <v>84</v>
      </c>
      <c r="C33" s="37" t="s">
        <v>72</v>
      </c>
      <c r="D33" s="8" t="s">
        <v>64</v>
      </c>
      <c r="E33" s="45">
        <v>391</v>
      </c>
      <c r="F33" s="40">
        <f t="shared" si="0"/>
        <v>1.4102564102564104</v>
      </c>
      <c r="G33">
        <f t="shared" si="1"/>
        <v>55</v>
      </c>
      <c r="H33" s="45">
        <v>446</v>
      </c>
      <c r="I33" s="40">
        <f t="shared" si="9"/>
        <v>1.3666666666666667</v>
      </c>
      <c r="J33" s="41">
        <f t="shared" si="10"/>
        <v>41</v>
      </c>
      <c r="K33" s="41">
        <f t="shared" si="11"/>
        <v>96</v>
      </c>
      <c r="L33" s="45">
        <v>487</v>
      </c>
      <c r="M33" s="40">
        <f t="shared" si="12"/>
        <v>2.3333333333333335</v>
      </c>
      <c r="N33" s="40">
        <f t="shared" si="13"/>
        <v>14</v>
      </c>
      <c r="O33" s="49">
        <f t="shared" si="2"/>
        <v>110</v>
      </c>
      <c r="P33" s="16">
        <v>501</v>
      </c>
      <c r="Q33" s="52">
        <f t="shared" si="3"/>
        <v>28.132992327365731</v>
      </c>
    </row>
    <row r="34" spans="1:17" x14ac:dyDescent="0.35">
      <c r="A34" s="36">
        <v>13860</v>
      </c>
      <c r="B34" s="36" t="s">
        <v>84</v>
      </c>
      <c r="C34" s="37" t="s">
        <v>72</v>
      </c>
      <c r="D34" s="8" t="s">
        <v>64</v>
      </c>
      <c r="E34" s="45">
        <v>373</v>
      </c>
      <c r="F34" s="40">
        <f t="shared" si="0"/>
        <v>0.84615384615384615</v>
      </c>
      <c r="G34">
        <f t="shared" si="1"/>
        <v>33</v>
      </c>
      <c r="H34" s="45">
        <v>406</v>
      </c>
      <c r="I34" s="40">
        <f t="shared" si="9"/>
        <v>2.1</v>
      </c>
      <c r="J34" s="41">
        <f t="shared" si="10"/>
        <v>63</v>
      </c>
      <c r="K34" s="41">
        <f t="shared" si="11"/>
        <v>96</v>
      </c>
      <c r="L34" s="45">
        <v>469</v>
      </c>
      <c r="M34" s="40">
        <f t="shared" si="12"/>
        <v>1.6666666666666667</v>
      </c>
      <c r="N34" s="40">
        <f t="shared" si="13"/>
        <v>10</v>
      </c>
      <c r="O34" s="49">
        <f t="shared" si="2"/>
        <v>106</v>
      </c>
      <c r="P34" s="16">
        <v>479</v>
      </c>
      <c r="Q34" s="52">
        <f t="shared" si="3"/>
        <v>28.418230563002684</v>
      </c>
    </row>
    <row r="35" spans="1:17" x14ac:dyDescent="0.35">
      <c r="A35" s="36">
        <v>13879</v>
      </c>
      <c r="B35" s="8" t="s">
        <v>62</v>
      </c>
      <c r="C35" s="37" t="s">
        <v>57</v>
      </c>
      <c r="D35" s="8" t="s">
        <v>64</v>
      </c>
      <c r="E35" s="45">
        <v>386</v>
      </c>
      <c r="F35" s="40">
        <f t="shared" si="0"/>
        <v>1.5128205128205128</v>
      </c>
      <c r="G35">
        <f t="shared" si="1"/>
        <v>59</v>
      </c>
      <c r="H35" s="45">
        <v>445</v>
      </c>
      <c r="I35" s="40">
        <f t="shared" si="9"/>
        <v>1.3</v>
      </c>
      <c r="J35" s="41">
        <f t="shared" si="10"/>
        <v>39</v>
      </c>
      <c r="K35" s="41">
        <f t="shared" si="11"/>
        <v>98</v>
      </c>
      <c r="L35" s="45">
        <v>484</v>
      </c>
      <c r="M35" s="40">
        <f t="shared" si="12"/>
        <v>2.1666666666666665</v>
      </c>
      <c r="N35" s="40">
        <f t="shared" si="13"/>
        <v>13</v>
      </c>
      <c r="O35" s="49">
        <f t="shared" si="2"/>
        <v>111</v>
      </c>
      <c r="P35" s="16">
        <v>497</v>
      </c>
      <c r="Q35" s="52">
        <f t="shared" si="3"/>
        <v>28.756476683937827</v>
      </c>
    </row>
    <row r="36" spans="1:17" x14ac:dyDescent="0.35">
      <c r="A36" s="36">
        <v>13843</v>
      </c>
      <c r="B36" s="36" t="s">
        <v>84</v>
      </c>
      <c r="C36" s="37" t="s">
        <v>72</v>
      </c>
      <c r="D36" s="8" t="s">
        <v>113</v>
      </c>
      <c r="E36" s="45">
        <v>357</v>
      </c>
      <c r="F36" s="40">
        <f t="shared" si="0"/>
        <v>1.2307692307692308</v>
      </c>
      <c r="G36">
        <f t="shared" si="1"/>
        <v>48</v>
      </c>
      <c r="H36" s="45">
        <v>405</v>
      </c>
      <c r="I36" s="40">
        <f t="shared" si="9"/>
        <v>1.4333333333333333</v>
      </c>
      <c r="J36" s="41">
        <f t="shared" si="10"/>
        <v>43</v>
      </c>
      <c r="K36" s="41">
        <f t="shared" si="11"/>
        <v>91</v>
      </c>
      <c r="L36" s="45">
        <v>448</v>
      </c>
      <c r="M36" s="40">
        <f t="shared" si="12"/>
        <v>2.1666666666666665</v>
      </c>
      <c r="N36" s="40">
        <f t="shared" si="13"/>
        <v>13</v>
      </c>
      <c r="O36" s="49">
        <f t="shared" si="2"/>
        <v>104</v>
      </c>
      <c r="P36" s="16">
        <v>461</v>
      </c>
      <c r="Q36" s="52">
        <f t="shared" si="3"/>
        <v>29.131652661064429</v>
      </c>
    </row>
    <row r="37" spans="1:17" x14ac:dyDescent="0.35">
      <c r="A37" s="36">
        <v>13855</v>
      </c>
      <c r="B37" s="36" t="s">
        <v>84</v>
      </c>
      <c r="C37" s="37" t="s">
        <v>72</v>
      </c>
      <c r="D37" s="8" t="s">
        <v>88</v>
      </c>
      <c r="E37" s="45">
        <v>377</v>
      </c>
      <c r="F37" s="40">
        <f t="shared" si="0"/>
        <v>1.7435897435897436</v>
      </c>
      <c r="G37">
        <f t="shared" si="1"/>
        <v>68</v>
      </c>
      <c r="H37" s="45">
        <v>445</v>
      </c>
      <c r="I37" s="40">
        <f t="shared" si="9"/>
        <v>1</v>
      </c>
      <c r="J37" s="41">
        <f t="shared" si="10"/>
        <v>30</v>
      </c>
      <c r="K37" s="41">
        <f t="shared" si="11"/>
        <v>98</v>
      </c>
      <c r="L37" s="45">
        <v>475</v>
      </c>
      <c r="M37" s="40">
        <f t="shared" si="12"/>
        <v>2.1666666666666665</v>
      </c>
      <c r="N37" s="40">
        <f t="shared" si="13"/>
        <v>13</v>
      </c>
      <c r="O37" s="49">
        <f t="shared" si="2"/>
        <v>111</v>
      </c>
      <c r="P37" s="16">
        <v>488</v>
      </c>
      <c r="Q37" s="52">
        <f t="shared" si="3"/>
        <v>29.442970822281168</v>
      </c>
    </row>
    <row r="38" spans="1:17" x14ac:dyDescent="0.35">
      <c r="A38" s="36">
        <v>13895</v>
      </c>
      <c r="B38" s="8" t="s">
        <v>62</v>
      </c>
      <c r="C38" s="37" t="s">
        <v>57</v>
      </c>
      <c r="D38" s="8" t="s">
        <v>79</v>
      </c>
      <c r="E38" s="45">
        <v>351</v>
      </c>
      <c r="F38" s="40">
        <f t="shared" si="0"/>
        <v>1.4615384615384615</v>
      </c>
      <c r="G38">
        <f t="shared" si="1"/>
        <v>57</v>
      </c>
      <c r="H38" s="45">
        <v>408</v>
      </c>
      <c r="I38" s="40">
        <f t="shared" si="9"/>
        <v>1.2333333333333334</v>
      </c>
      <c r="J38" s="41">
        <f t="shared" si="10"/>
        <v>37</v>
      </c>
      <c r="K38" s="41">
        <f t="shared" si="11"/>
        <v>94</v>
      </c>
      <c r="L38" s="45">
        <v>445</v>
      </c>
      <c r="M38" s="40">
        <f t="shared" si="12"/>
        <v>2</v>
      </c>
      <c r="N38" s="40">
        <f t="shared" si="13"/>
        <v>12</v>
      </c>
      <c r="O38" s="49">
        <f t="shared" si="2"/>
        <v>106</v>
      </c>
      <c r="P38" s="16">
        <v>457</v>
      </c>
      <c r="Q38" s="52">
        <f t="shared" si="3"/>
        <v>30.1994301994302</v>
      </c>
    </row>
    <row r="39" spans="1:17" x14ac:dyDescent="0.35">
      <c r="A39" s="36">
        <v>13844</v>
      </c>
      <c r="B39" s="36" t="s">
        <v>84</v>
      </c>
      <c r="C39" s="37" t="s">
        <v>72</v>
      </c>
      <c r="D39" s="8" t="s">
        <v>64</v>
      </c>
      <c r="E39" s="45">
        <v>343</v>
      </c>
      <c r="F39" s="40">
        <f t="shared" si="0"/>
        <v>1.1538461538461537</v>
      </c>
      <c r="G39">
        <f t="shared" si="1"/>
        <v>45</v>
      </c>
      <c r="H39" s="45">
        <v>388</v>
      </c>
      <c r="I39" s="40">
        <f t="shared" si="9"/>
        <v>1.8</v>
      </c>
      <c r="J39" s="41">
        <f t="shared" si="10"/>
        <v>54</v>
      </c>
      <c r="K39" s="41">
        <f t="shared" si="11"/>
        <v>99</v>
      </c>
      <c r="L39" s="45">
        <v>442</v>
      </c>
      <c r="M39" s="40">
        <f t="shared" si="12"/>
        <v>1.5</v>
      </c>
      <c r="N39" s="40">
        <f t="shared" si="13"/>
        <v>9</v>
      </c>
      <c r="O39" s="49">
        <f t="shared" si="2"/>
        <v>108</v>
      </c>
      <c r="P39" s="16">
        <v>451</v>
      </c>
      <c r="Q39" s="52">
        <f t="shared" si="3"/>
        <v>31.486880466472307</v>
      </c>
    </row>
    <row r="40" spans="1:17" x14ac:dyDescent="0.35">
      <c r="A40" s="36">
        <v>13837</v>
      </c>
      <c r="B40" s="36" t="s">
        <v>84</v>
      </c>
      <c r="C40" s="37" t="s">
        <v>72</v>
      </c>
      <c r="D40" s="8" t="s">
        <v>73</v>
      </c>
      <c r="E40" s="45">
        <v>399</v>
      </c>
      <c r="F40" s="40">
        <f t="shared" si="0"/>
        <v>1.4615384615384615</v>
      </c>
      <c r="G40">
        <f t="shared" si="1"/>
        <v>57</v>
      </c>
      <c r="H40" s="45">
        <v>456</v>
      </c>
      <c r="I40" s="40">
        <f t="shared" si="9"/>
        <v>1.8666666666666667</v>
      </c>
      <c r="J40" s="41">
        <f t="shared" si="10"/>
        <v>56</v>
      </c>
      <c r="K40" s="41">
        <f t="shared" si="11"/>
        <v>113</v>
      </c>
      <c r="L40" s="45">
        <v>512</v>
      </c>
      <c r="M40" s="40">
        <f t="shared" si="12"/>
        <v>2.1666666666666665</v>
      </c>
      <c r="N40" s="40">
        <f t="shared" si="13"/>
        <v>13</v>
      </c>
      <c r="O40" s="49">
        <f t="shared" si="2"/>
        <v>126</v>
      </c>
      <c r="P40" s="16">
        <v>525</v>
      </c>
      <c r="Q40" s="52">
        <f t="shared" si="3"/>
        <v>31.578947368421051</v>
      </c>
    </row>
    <row r="41" spans="1:17" x14ac:dyDescent="0.35">
      <c r="A41" s="36">
        <v>13841</v>
      </c>
      <c r="B41" s="36" t="s">
        <v>84</v>
      </c>
      <c r="C41" s="37" t="s">
        <v>72</v>
      </c>
      <c r="D41" s="8" t="s">
        <v>73</v>
      </c>
      <c r="E41" s="45">
        <v>375</v>
      </c>
      <c r="F41" s="40">
        <f t="shared" si="0"/>
        <v>1.1282051282051282</v>
      </c>
      <c r="G41">
        <f t="shared" si="1"/>
        <v>44</v>
      </c>
      <c r="H41" s="45">
        <v>419</v>
      </c>
      <c r="I41" s="40">
        <f t="shared" si="9"/>
        <v>2.0333333333333332</v>
      </c>
      <c r="J41" s="41">
        <f t="shared" si="10"/>
        <v>61</v>
      </c>
      <c r="K41" s="41">
        <f t="shared" si="11"/>
        <v>105</v>
      </c>
      <c r="L41" s="45">
        <v>480</v>
      </c>
      <c r="M41" s="40">
        <f t="shared" si="12"/>
        <v>2.3333333333333335</v>
      </c>
      <c r="N41" s="40">
        <f t="shared" si="13"/>
        <v>14</v>
      </c>
      <c r="O41" s="49">
        <f t="shared" si="2"/>
        <v>119</v>
      </c>
      <c r="P41" s="16">
        <v>494</v>
      </c>
      <c r="Q41" s="52">
        <f t="shared" si="3"/>
        <v>31.733333333333334</v>
      </c>
    </row>
    <row r="42" spans="1:17" x14ac:dyDescent="0.35">
      <c r="A42" s="36">
        <v>13850</v>
      </c>
      <c r="B42" s="36" t="s">
        <v>84</v>
      </c>
      <c r="C42" s="37" t="s">
        <v>72</v>
      </c>
      <c r="D42" s="8" t="s">
        <v>113</v>
      </c>
      <c r="E42" s="45">
        <v>369</v>
      </c>
      <c r="F42" s="40">
        <f t="shared" si="0"/>
        <v>1.7179487179487178</v>
      </c>
      <c r="G42">
        <f t="shared" si="1"/>
        <v>67</v>
      </c>
      <c r="H42" s="45">
        <v>436</v>
      </c>
      <c r="I42" s="40">
        <f t="shared" si="9"/>
        <v>1.3333333333333333</v>
      </c>
      <c r="J42" s="41">
        <f t="shared" si="10"/>
        <v>40</v>
      </c>
      <c r="K42" s="41">
        <f t="shared" si="11"/>
        <v>107</v>
      </c>
      <c r="L42" s="45">
        <v>476</v>
      </c>
      <c r="M42" s="40">
        <f t="shared" si="12"/>
        <v>2.1666666666666665</v>
      </c>
      <c r="N42" s="40">
        <f t="shared" si="13"/>
        <v>13</v>
      </c>
      <c r="O42" s="49">
        <f t="shared" si="2"/>
        <v>120</v>
      </c>
      <c r="P42" s="16">
        <v>489</v>
      </c>
      <c r="Q42" s="52">
        <f t="shared" si="3"/>
        <v>32.520325203252028</v>
      </c>
    </row>
    <row r="43" spans="1:17" x14ac:dyDescent="0.35">
      <c r="A43" s="36">
        <v>13849</v>
      </c>
      <c r="B43" s="36" t="s">
        <v>84</v>
      </c>
      <c r="C43" s="37" t="s">
        <v>72</v>
      </c>
      <c r="D43" s="8" t="s">
        <v>113</v>
      </c>
      <c r="E43" s="45">
        <v>355</v>
      </c>
      <c r="F43" s="40">
        <f t="shared" si="0"/>
        <v>1.5384615384615385</v>
      </c>
      <c r="G43">
        <f t="shared" si="1"/>
        <v>60</v>
      </c>
      <c r="H43" s="45">
        <v>415</v>
      </c>
      <c r="I43" s="40">
        <f t="shared" si="9"/>
        <v>1.6</v>
      </c>
      <c r="J43" s="41">
        <f t="shared" si="10"/>
        <v>48</v>
      </c>
      <c r="K43" s="41">
        <f t="shared" si="11"/>
        <v>108</v>
      </c>
      <c r="L43" s="45">
        <v>463</v>
      </c>
      <c r="M43" s="40">
        <f t="shared" si="12"/>
        <v>2</v>
      </c>
      <c r="N43" s="40">
        <f t="shared" si="13"/>
        <v>12</v>
      </c>
      <c r="O43" s="49">
        <f t="shared" si="2"/>
        <v>120</v>
      </c>
      <c r="P43" s="16">
        <v>475</v>
      </c>
      <c r="Q43" s="52">
        <f t="shared" si="3"/>
        <v>33.802816901408448</v>
      </c>
    </row>
    <row r="44" spans="1:17" x14ac:dyDescent="0.35">
      <c r="A44" s="36">
        <v>13864</v>
      </c>
      <c r="B44" s="36" t="s">
        <v>84</v>
      </c>
      <c r="C44" s="37" t="s">
        <v>72</v>
      </c>
      <c r="D44" s="8" t="s">
        <v>64</v>
      </c>
      <c r="E44" s="45">
        <v>374</v>
      </c>
      <c r="F44" s="40">
        <f t="shared" si="0"/>
        <v>1.6666666666666667</v>
      </c>
      <c r="G44">
        <f t="shared" si="1"/>
        <v>65</v>
      </c>
      <c r="H44" s="45">
        <v>439</v>
      </c>
      <c r="I44" s="40">
        <f t="shared" si="9"/>
        <v>1.6666666666666667</v>
      </c>
      <c r="J44" s="41">
        <f t="shared" si="10"/>
        <v>50</v>
      </c>
      <c r="K44" s="41">
        <f t="shared" si="11"/>
        <v>115</v>
      </c>
      <c r="L44" s="45">
        <v>489</v>
      </c>
      <c r="M44" s="40">
        <f t="shared" si="12"/>
        <v>2.3333333333333335</v>
      </c>
      <c r="N44" s="40">
        <f t="shared" si="13"/>
        <v>14</v>
      </c>
      <c r="O44" s="49">
        <f t="shared" si="2"/>
        <v>129</v>
      </c>
      <c r="P44" s="16">
        <v>503</v>
      </c>
      <c r="Q44" s="52">
        <f t="shared" si="3"/>
        <v>34.491978609625669</v>
      </c>
    </row>
    <row r="45" spans="1:17" x14ac:dyDescent="0.35">
      <c r="A45" s="36">
        <v>13912</v>
      </c>
      <c r="B45" s="8" t="s">
        <v>78</v>
      </c>
      <c r="C45" s="37" t="s">
        <v>57</v>
      </c>
      <c r="D45" s="8" t="s">
        <v>118</v>
      </c>
      <c r="E45" s="45">
        <v>414</v>
      </c>
      <c r="F45" s="40">
        <f t="shared" si="0"/>
        <v>3.3846153846153846</v>
      </c>
      <c r="G45">
        <f t="shared" si="1"/>
        <v>132</v>
      </c>
      <c r="H45" s="45">
        <v>546</v>
      </c>
      <c r="I45" s="40">
        <f t="shared" si="9"/>
        <v>-6.6666666666666666E-2</v>
      </c>
      <c r="J45" s="41">
        <f t="shared" si="10"/>
        <v>-2</v>
      </c>
      <c r="K45" s="41">
        <f t="shared" si="11"/>
        <v>130</v>
      </c>
      <c r="L45" s="45">
        <v>544</v>
      </c>
      <c r="M45" s="40">
        <f t="shared" si="12"/>
        <v>2.3333333333333335</v>
      </c>
      <c r="N45" s="40">
        <f t="shared" si="13"/>
        <v>14</v>
      </c>
      <c r="O45" s="49">
        <f t="shared" si="2"/>
        <v>144</v>
      </c>
      <c r="P45" s="16">
        <v>558</v>
      </c>
      <c r="Q45" s="52">
        <f t="shared" si="3"/>
        <v>34.782608695652172</v>
      </c>
    </row>
    <row r="46" spans="1:17" x14ac:dyDescent="0.35">
      <c r="A46" s="36">
        <v>13885</v>
      </c>
      <c r="B46" s="8" t="s">
        <v>62</v>
      </c>
      <c r="C46" s="37" t="s">
        <v>57</v>
      </c>
      <c r="D46" s="8" t="s">
        <v>73</v>
      </c>
      <c r="E46" s="45">
        <v>379</v>
      </c>
      <c r="F46" s="40">
        <f t="shared" si="0"/>
        <v>1.6923076923076923</v>
      </c>
      <c r="G46">
        <f t="shared" si="1"/>
        <v>66</v>
      </c>
      <c r="H46" s="45">
        <v>445</v>
      </c>
      <c r="I46" s="40">
        <f t="shared" si="9"/>
        <v>1.9</v>
      </c>
      <c r="J46" s="41">
        <f t="shared" si="10"/>
        <v>57</v>
      </c>
      <c r="K46" s="41">
        <f t="shared" si="11"/>
        <v>123</v>
      </c>
      <c r="L46" s="45">
        <v>502</v>
      </c>
      <c r="M46" s="40">
        <f t="shared" si="12"/>
        <v>2.1666666666666665</v>
      </c>
      <c r="N46" s="40">
        <f t="shared" si="13"/>
        <v>13</v>
      </c>
      <c r="O46" s="49">
        <f t="shared" si="2"/>
        <v>136</v>
      </c>
      <c r="P46" s="16">
        <v>515</v>
      </c>
      <c r="Q46" s="52">
        <f t="shared" si="3"/>
        <v>35.88390501319261</v>
      </c>
    </row>
    <row r="47" spans="1:17" x14ac:dyDescent="0.35">
      <c r="A47" s="36">
        <v>13908</v>
      </c>
      <c r="B47" s="8" t="s">
        <v>56</v>
      </c>
      <c r="C47" s="37" t="s">
        <v>57</v>
      </c>
      <c r="D47" s="8" t="s">
        <v>73</v>
      </c>
      <c r="E47" s="45">
        <v>342</v>
      </c>
      <c r="F47" s="40">
        <f t="shared" si="0"/>
        <v>1.641025641025641</v>
      </c>
      <c r="G47">
        <f t="shared" si="1"/>
        <v>64</v>
      </c>
      <c r="H47" s="45">
        <v>406</v>
      </c>
      <c r="I47" s="40">
        <f t="shared" si="9"/>
        <v>1.7666666666666666</v>
      </c>
      <c r="J47" s="41">
        <f t="shared" si="10"/>
        <v>53</v>
      </c>
      <c r="K47" s="41">
        <f t="shared" si="11"/>
        <v>117</v>
      </c>
      <c r="L47" s="45">
        <v>459</v>
      </c>
      <c r="M47" s="40">
        <f t="shared" si="12"/>
        <v>2.3333333333333335</v>
      </c>
      <c r="N47" s="40">
        <f t="shared" si="13"/>
        <v>14</v>
      </c>
      <c r="O47" s="49">
        <f t="shared" si="2"/>
        <v>131</v>
      </c>
      <c r="P47" s="16">
        <v>473</v>
      </c>
      <c r="Q47" s="52">
        <f t="shared" si="3"/>
        <v>38.304093567251464</v>
      </c>
    </row>
    <row r="48" spans="1:17" x14ac:dyDescent="0.35">
      <c r="A48" s="36">
        <v>13873</v>
      </c>
      <c r="B48" s="36" t="s">
        <v>84</v>
      </c>
      <c r="C48" s="37" t="s">
        <v>72</v>
      </c>
      <c r="D48" s="8" t="s">
        <v>88</v>
      </c>
      <c r="E48" s="45">
        <v>351</v>
      </c>
      <c r="F48" s="40">
        <f t="shared" si="0"/>
        <v>1.8974358974358974</v>
      </c>
      <c r="G48">
        <f t="shared" si="1"/>
        <v>74</v>
      </c>
      <c r="H48" s="45">
        <v>425</v>
      </c>
      <c r="I48" s="40">
        <f t="shared" si="9"/>
        <v>1.6</v>
      </c>
      <c r="J48" s="41">
        <f t="shared" si="10"/>
        <v>48</v>
      </c>
      <c r="K48" s="41">
        <f t="shared" si="11"/>
        <v>122</v>
      </c>
      <c r="L48" s="45">
        <v>473</v>
      </c>
      <c r="M48" s="40">
        <f t="shared" si="12"/>
        <v>2.1666666666666665</v>
      </c>
      <c r="N48" s="40">
        <f t="shared" si="13"/>
        <v>13</v>
      </c>
      <c r="O48" s="49">
        <f t="shared" si="2"/>
        <v>135</v>
      </c>
      <c r="P48" s="16">
        <v>486</v>
      </c>
      <c r="Q48" s="52">
        <f t="shared" si="3"/>
        <v>38.461538461538467</v>
      </c>
    </row>
    <row r="49" spans="1:17" x14ac:dyDescent="0.35">
      <c r="A49" s="38">
        <v>13834</v>
      </c>
      <c r="B49" s="36" t="s">
        <v>84</v>
      </c>
      <c r="C49" s="37" t="s">
        <v>72</v>
      </c>
      <c r="D49" s="8" t="s">
        <v>64</v>
      </c>
      <c r="E49" s="45">
        <v>350</v>
      </c>
      <c r="F49" s="40">
        <f t="shared" si="0"/>
        <v>1.4615384615384615</v>
      </c>
      <c r="G49">
        <f t="shared" si="1"/>
        <v>57</v>
      </c>
      <c r="H49" s="45">
        <v>407</v>
      </c>
      <c r="I49" s="40">
        <f t="shared" si="9"/>
        <v>2.2666666666666666</v>
      </c>
      <c r="J49" s="41">
        <f t="shared" si="10"/>
        <v>68</v>
      </c>
      <c r="K49" s="41">
        <f t="shared" si="11"/>
        <v>125</v>
      </c>
      <c r="L49" s="45">
        <v>475</v>
      </c>
      <c r="M49" s="40">
        <f t="shared" si="12"/>
        <v>2</v>
      </c>
      <c r="N49" s="40">
        <f t="shared" si="13"/>
        <v>12</v>
      </c>
      <c r="O49" s="49">
        <f t="shared" si="2"/>
        <v>137</v>
      </c>
      <c r="P49" s="16">
        <v>487</v>
      </c>
      <c r="Q49" s="52">
        <f t="shared" si="3"/>
        <v>39.142857142857139</v>
      </c>
    </row>
  </sheetData>
  <autoFilter ref="A1:Q1" xr:uid="{719D8DB4-501C-427D-A28F-9FA7CF411F63}">
    <sortState xmlns:xlrd2="http://schemas.microsoft.com/office/spreadsheetml/2017/richdata2" ref="A2:Q49">
      <sortCondition ref="Q1"/>
    </sortState>
  </autoFilter>
  <conditionalFormatting sqref="G1:G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4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4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4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54B1-591F-44FA-A589-C89753EC917F}">
  <dimension ref="A1:BF50"/>
  <sheetViews>
    <sheetView topLeftCell="D1" zoomScale="68" zoomScaleNormal="68" workbookViewId="0">
      <selection activeCell="BO22" sqref="BO22"/>
    </sheetView>
  </sheetViews>
  <sheetFormatPr defaultColWidth="9.1796875" defaultRowHeight="12" x14ac:dyDescent="0.3"/>
  <cols>
    <col min="1" max="1" width="9.1796875" style="63"/>
    <col min="2" max="2" width="21.81640625" style="63" customWidth="1"/>
    <col min="3" max="3" width="9.54296875" style="69" customWidth="1"/>
    <col min="4" max="4" width="5" style="63" customWidth="1"/>
    <col min="5" max="5" width="17.81640625" style="63" customWidth="1"/>
    <col min="6" max="6" width="9.1796875" style="63" customWidth="1"/>
    <col min="7" max="7" width="9.1796875" style="66" customWidth="1"/>
    <col min="8" max="9" width="9.1796875" style="63" customWidth="1"/>
    <col min="10" max="10" width="9.1796875" style="66" customWidth="1"/>
    <col min="11" max="14" width="9.1796875" style="63" customWidth="1"/>
    <col min="15" max="16" width="9.1796875" style="66" customWidth="1"/>
    <col min="17" max="17" width="9.1796875" style="63" customWidth="1"/>
    <col min="18" max="18" width="10.7265625" style="66" customWidth="1"/>
    <col min="19" max="41" width="0" style="63" hidden="1" customWidth="1"/>
    <col min="42" max="43" width="9.1796875" style="63"/>
    <col min="44" max="44" width="16.54296875" style="63" hidden="1" customWidth="1"/>
    <col min="45" max="59" width="0" style="63" hidden="1" customWidth="1"/>
    <col min="60" max="16384" width="9.1796875" style="63"/>
  </cols>
  <sheetData>
    <row r="1" spans="1:58" ht="60" x14ac:dyDescent="0.3">
      <c r="A1" s="54" t="s">
        <v>0</v>
      </c>
      <c r="B1" s="54" t="s">
        <v>2</v>
      </c>
      <c r="C1" s="54" t="s">
        <v>347</v>
      </c>
      <c r="D1" s="54" t="s">
        <v>3</v>
      </c>
      <c r="E1" s="54" t="s">
        <v>4</v>
      </c>
      <c r="F1" s="54" t="s">
        <v>5</v>
      </c>
      <c r="G1" s="55" t="s">
        <v>6</v>
      </c>
      <c r="H1" s="54" t="s">
        <v>7</v>
      </c>
      <c r="I1" s="54" t="s">
        <v>8</v>
      </c>
      <c r="J1" s="56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6" t="s">
        <v>14</v>
      </c>
      <c r="P1" s="54" t="s">
        <v>15</v>
      </c>
      <c r="Q1" s="54" t="s">
        <v>16</v>
      </c>
      <c r="R1" s="57" t="s">
        <v>17</v>
      </c>
      <c r="S1" s="58" t="s">
        <v>19</v>
      </c>
      <c r="T1" s="58" t="s">
        <v>20</v>
      </c>
      <c r="U1" s="58" t="s">
        <v>21</v>
      </c>
      <c r="V1" s="58" t="s">
        <v>22</v>
      </c>
      <c r="W1" s="58" t="s">
        <v>23</v>
      </c>
      <c r="X1" s="58" t="s">
        <v>24</v>
      </c>
      <c r="Y1" s="58" t="s">
        <v>25</v>
      </c>
      <c r="Z1" s="58" t="s">
        <v>26</v>
      </c>
      <c r="AA1" s="58" t="s">
        <v>27</v>
      </c>
      <c r="AB1" s="58" t="s">
        <v>28</v>
      </c>
      <c r="AC1" s="58" t="s">
        <v>29</v>
      </c>
      <c r="AD1" s="58" t="s">
        <v>30</v>
      </c>
      <c r="AE1" s="58" t="s">
        <v>31</v>
      </c>
      <c r="AF1" s="58" t="s">
        <v>32</v>
      </c>
      <c r="AG1" s="58" t="s">
        <v>33</v>
      </c>
      <c r="AH1" s="58" t="s">
        <v>34</v>
      </c>
      <c r="AI1" s="58" t="s">
        <v>35</v>
      </c>
      <c r="AJ1" s="58" t="s">
        <v>36</v>
      </c>
      <c r="AK1" s="58" t="s">
        <v>37</v>
      </c>
      <c r="AL1" s="58" t="s">
        <v>38</v>
      </c>
      <c r="AM1" s="59" t="s">
        <v>39</v>
      </c>
      <c r="AN1" s="59" t="s">
        <v>40</v>
      </c>
      <c r="AO1" s="59" t="s">
        <v>41</v>
      </c>
      <c r="AP1" s="59" t="s">
        <v>42</v>
      </c>
      <c r="AQ1" s="59" t="s">
        <v>43</v>
      </c>
      <c r="AR1" s="60" t="s">
        <v>44</v>
      </c>
      <c r="AS1" s="60" t="s">
        <v>45</v>
      </c>
      <c r="AT1" s="60" t="s">
        <v>46</v>
      </c>
      <c r="AU1" s="61" t="s">
        <v>39</v>
      </c>
      <c r="AV1" s="62" t="s">
        <v>47</v>
      </c>
      <c r="AW1" s="62" t="s">
        <v>46</v>
      </c>
      <c r="AX1" s="54" t="s">
        <v>48</v>
      </c>
      <c r="AY1" s="54" t="s">
        <v>49</v>
      </c>
      <c r="AZ1" s="54" t="s">
        <v>50</v>
      </c>
      <c r="BA1" s="54" t="s">
        <v>4</v>
      </c>
      <c r="BB1" s="54" t="s">
        <v>51</v>
      </c>
      <c r="BC1" s="54" t="s">
        <v>52</v>
      </c>
      <c r="BD1" s="54" t="s">
        <v>53</v>
      </c>
      <c r="BE1" s="54" t="s">
        <v>54</v>
      </c>
      <c r="BF1" s="54" t="s">
        <v>55</v>
      </c>
    </row>
    <row r="2" spans="1:58" x14ac:dyDescent="0.3">
      <c r="A2" s="64">
        <v>13862</v>
      </c>
      <c r="B2" s="64" t="s">
        <v>84</v>
      </c>
      <c r="C2" s="80">
        <v>3</v>
      </c>
      <c r="D2" s="65" t="s">
        <v>72</v>
      </c>
      <c r="E2" s="82" t="s">
        <v>73</v>
      </c>
      <c r="F2" s="65">
        <v>386</v>
      </c>
      <c r="G2" s="66" t="e">
        <f>#REF!</f>
        <v>#REF!</v>
      </c>
      <c r="H2" s="63">
        <f t="shared" ref="H2:H33" si="0">I2-F2</f>
        <v>86</v>
      </c>
      <c r="I2" s="65">
        <v>472</v>
      </c>
      <c r="J2" s="66">
        <f t="shared" ref="J2:J31" si="1">(M2-I2)/30</f>
        <v>2.0666666666666669</v>
      </c>
      <c r="K2" s="63">
        <f t="shared" ref="K2:K31" si="2">M2-I2</f>
        <v>62</v>
      </c>
      <c r="L2" s="63">
        <f t="shared" ref="L2:L31" si="3">M2-F2</f>
        <v>148</v>
      </c>
      <c r="M2" s="65">
        <v>534</v>
      </c>
      <c r="N2" s="67">
        <f t="shared" ref="N2:N31" si="4">(Q2-M2)/6</f>
        <v>2</v>
      </c>
      <c r="O2" s="67">
        <f t="shared" ref="O2:O31" si="5">Q2-M2</f>
        <v>12</v>
      </c>
      <c r="P2" s="67">
        <f t="shared" ref="P2:P48" si="6">Q2-F2</f>
        <v>160</v>
      </c>
      <c r="Q2" s="65">
        <v>546</v>
      </c>
      <c r="R2" s="66">
        <f t="shared" ref="R2:R48" si="7">((Q2-F2)/F2)*100</f>
        <v>41.450777202072537</v>
      </c>
      <c r="S2" s="68">
        <v>56.74</v>
      </c>
      <c r="T2" s="68">
        <v>59.35</v>
      </c>
      <c r="U2" s="68">
        <v>0</v>
      </c>
      <c r="V2" s="68">
        <v>8</v>
      </c>
      <c r="W2" s="68">
        <v>3</v>
      </c>
      <c r="X2" s="68">
        <v>270.60000000000002</v>
      </c>
      <c r="Y2" s="66">
        <f t="shared" ref="Y2:Y48" si="8">((X2-Q2)/Q2)*100</f>
        <v>-50.439560439560438</v>
      </c>
      <c r="Z2" s="68">
        <v>230</v>
      </c>
      <c r="AA2" s="68">
        <v>0</v>
      </c>
      <c r="AB2" s="68">
        <v>9</v>
      </c>
      <c r="AC2" s="68" t="s">
        <v>67</v>
      </c>
      <c r="AD2" s="68">
        <v>1</v>
      </c>
      <c r="AE2" s="68">
        <v>5.39</v>
      </c>
      <c r="AF2" s="68">
        <v>69</v>
      </c>
      <c r="AG2" s="68">
        <v>130</v>
      </c>
      <c r="AH2" s="68">
        <v>95</v>
      </c>
      <c r="AI2" s="68">
        <v>7</v>
      </c>
      <c r="AJ2" s="68">
        <v>13</v>
      </c>
      <c r="AK2" s="68" t="s">
        <v>76</v>
      </c>
      <c r="AL2" s="68" t="s">
        <v>68</v>
      </c>
      <c r="AM2" s="69">
        <v>102</v>
      </c>
      <c r="AN2" s="69">
        <v>0</v>
      </c>
      <c r="AO2" s="69">
        <v>0</v>
      </c>
      <c r="AP2" s="69">
        <v>0</v>
      </c>
      <c r="AQ2" s="69"/>
      <c r="AR2" s="70"/>
      <c r="AS2" s="70" t="s">
        <v>70</v>
      </c>
      <c r="AT2" s="70"/>
      <c r="AU2" s="63">
        <v>47</v>
      </c>
      <c r="AV2" s="63" t="s">
        <v>70</v>
      </c>
      <c r="AX2" s="65">
        <v>1</v>
      </c>
      <c r="AY2" s="65" t="s">
        <v>61</v>
      </c>
      <c r="AZ2" s="65">
        <v>3</v>
      </c>
      <c r="BA2" s="65"/>
      <c r="BB2" s="65">
        <v>5</v>
      </c>
      <c r="BC2" s="65">
        <v>137</v>
      </c>
      <c r="BD2" s="65"/>
      <c r="BE2" s="65">
        <v>3.75</v>
      </c>
      <c r="BF2" s="65">
        <v>2</v>
      </c>
    </row>
    <row r="3" spans="1:58" x14ac:dyDescent="0.3">
      <c r="A3" s="71">
        <v>13834</v>
      </c>
      <c r="B3" s="64" t="s">
        <v>84</v>
      </c>
      <c r="C3" s="80">
        <v>3</v>
      </c>
      <c r="D3" s="65" t="s">
        <v>72</v>
      </c>
      <c r="E3" s="85" t="s">
        <v>64</v>
      </c>
      <c r="F3" s="65">
        <v>350</v>
      </c>
      <c r="G3" s="66">
        <f>(I3-F3)/39</f>
        <v>1.4615384615384615</v>
      </c>
      <c r="H3" s="63">
        <f t="shared" si="0"/>
        <v>57</v>
      </c>
      <c r="I3" s="65">
        <v>407</v>
      </c>
      <c r="J3" s="66">
        <f t="shared" si="1"/>
        <v>2.2666666666666666</v>
      </c>
      <c r="K3" s="63">
        <f t="shared" si="2"/>
        <v>68</v>
      </c>
      <c r="L3" s="63">
        <f t="shared" si="3"/>
        <v>125</v>
      </c>
      <c r="M3" s="65">
        <v>475</v>
      </c>
      <c r="N3" s="66">
        <f t="shared" si="4"/>
        <v>2</v>
      </c>
      <c r="O3" s="66">
        <f t="shared" si="5"/>
        <v>12</v>
      </c>
      <c r="P3" s="67">
        <f t="shared" si="6"/>
        <v>137</v>
      </c>
      <c r="Q3" s="65">
        <v>487</v>
      </c>
      <c r="R3" s="66">
        <f t="shared" si="7"/>
        <v>39.142857142857139</v>
      </c>
      <c r="S3" s="68">
        <v>53.97</v>
      </c>
      <c r="T3" s="68">
        <v>56.58</v>
      </c>
      <c r="U3" s="68">
        <v>0</v>
      </c>
      <c r="V3" s="68">
        <v>14</v>
      </c>
      <c r="W3" s="68">
        <v>4</v>
      </c>
      <c r="X3" s="68">
        <v>280.3</v>
      </c>
      <c r="Y3" s="66">
        <f t="shared" si="8"/>
        <v>-42.443531827515393</v>
      </c>
      <c r="Z3" s="68">
        <v>200</v>
      </c>
      <c r="AA3" s="68">
        <v>0</v>
      </c>
      <c r="AB3" s="68">
        <v>6</v>
      </c>
      <c r="AC3" s="68" t="s">
        <v>66</v>
      </c>
      <c r="AD3" s="68">
        <v>0</v>
      </c>
      <c r="AE3" s="68">
        <v>5.43</v>
      </c>
      <c r="AF3" s="68">
        <v>84</v>
      </c>
      <c r="AG3" s="68">
        <v>120</v>
      </c>
      <c r="AH3" s="68">
        <v>135</v>
      </c>
      <c r="AI3" s="68">
        <v>8.1</v>
      </c>
      <c r="AJ3" s="68">
        <v>13</v>
      </c>
      <c r="AK3" s="68" t="s">
        <v>67</v>
      </c>
      <c r="AL3" s="68" t="s">
        <v>68</v>
      </c>
      <c r="AM3" s="69">
        <v>27</v>
      </c>
      <c r="AN3" s="69">
        <v>0</v>
      </c>
      <c r="AO3" s="69">
        <v>0</v>
      </c>
      <c r="AP3" s="69">
        <v>0</v>
      </c>
      <c r="AQ3" s="69"/>
      <c r="AR3" s="70"/>
      <c r="AS3" s="70" t="s">
        <v>70</v>
      </c>
      <c r="AT3" s="70"/>
      <c r="AU3" s="63">
        <v>15</v>
      </c>
      <c r="AV3" s="63" t="s">
        <v>70</v>
      </c>
      <c r="AX3" s="65">
        <v>3</v>
      </c>
      <c r="AY3" s="65" t="s">
        <v>125</v>
      </c>
      <c r="AZ3" s="65">
        <v>11</v>
      </c>
      <c r="BA3" s="65"/>
      <c r="BB3" s="65">
        <v>2</v>
      </c>
      <c r="BC3" s="65">
        <v>124</v>
      </c>
      <c r="BD3" s="65"/>
      <c r="BE3" s="65">
        <v>2.25</v>
      </c>
      <c r="BF3" s="65">
        <v>1</v>
      </c>
    </row>
    <row r="4" spans="1:58" x14ac:dyDescent="0.3">
      <c r="A4" s="64">
        <v>13873</v>
      </c>
      <c r="B4" s="64" t="s">
        <v>84</v>
      </c>
      <c r="C4" s="80">
        <v>3</v>
      </c>
      <c r="D4" s="65" t="s">
        <v>72</v>
      </c>
      <c r="E4" s="83" t="s">
        <v>88</v>
      </c>
      <c r="F4" s="65">
        <v>351</v>
      </c>
      <c r="G4" s="66">
        <f t="shared" ref="G4:G33" si="9">(I4-F4)/39</f>
        <v>1.8974358974358974</v>
      </c>
      <c r="H4" s="63">
        <f t="shared" si="0"/>
        <v>74</v>
      </c>
      <c r="I4" s="65">
        <v>425</v>
      </c>
      <c r="J4" s="66">
        <f t="shared" si="1"/>
        <v>1.6</v>
      </c>
      <c r="K4" s="63">
        <f t="shared" si="2"/>
        <v>48</v>
      </c>
      <c r="L4" s="63">
        <f t="shared" si="3"/>
        <v>122</v>
      </c>
      <c r="M4" s="65">
        <v>473</v>
      </c>
      <c r="N4" s="66">
        <f t="shared" si="4"/>
        <v>2.1666666666666665</v>
      </c>
      <c r="O4" s="66">
        <f t="shared" si="5"/>
        <v>13</v>
      </c>
      <c r="P4" s="67">
        <f t="shared" si="6"/>
        <v>135</v>
      </c>
      <c r="Q4" s="65">
        <v>486</v>
      </c>
      <c r="R4" s="66">
        <f t="shared" si="7"/>
        <v>38.461538461538467</v>
      </c>
      <c r="S4" s="68">
        <v>58</v>
      </c>
      <c r="T4" s="68">
        <v>60.61</v>
      </c>
      <c r="U4" s="68">
        <v>0</v>
      </c>
      <c r="V4" s="68">
        <v>7</v>
      </c>
      <c r="W4" s="68">
        <v>3</v>
      </c>
      <c r="X4" s="68">
        <v>264</v>
      </c>
      <c r="Y4" s="66">
        <f t="shared" si="8"/>
        <v>-45.679012345679013</v>
      </c>
      <c r="Z4" s="68">
        <v>330</v>
      </c>
      <c r="AA4" s="68">
        <v>1</v>
      </c>
      <c r="AB4" s="68">
        <v>7</v>
      </c>
      <c r="AC4" s="68" t="s">
        <v>75</v>
      </c>
      <c r="AD4" s="68">
        <v>1</v>
      </c>
      <c r="AE4" s="68">
        <v>5.36</v>
      </c>
      <c r="AF4" s="68">
        <v>73</v>
      </c>
      <c r="AG4" s="68">
        <v>130</v>
      </c>
      <c r="AH4" s="68">
        <v>95</v>
      </c>
      <c r="AI4" s="68">
        <v>6.8</v>
      </c>
      <c r="AJ4" s="68">
        <v>13</v>
      </c>
      <c r="AK4" s="68" t="s">
        <v>76</v>
      </c>
      <c r="AL4" s="68" t="s">
        <v>68</v>
      </c>
      <c r="AM4" s="69">
        <v>28</v>
      </c>
      <c r="AN4" s="69">
        <v>0</v>
      </c>
      <c r="AO4" s="69">
        <v>0</v>
      </c>
      <c r="AP4" s="69">
        <v>0</v>
      </c>
      <c r="AQ4" s="69"/>
      <c r="AR4" s="70"/>
      <c r="AS4" s="70" t="s">
        <v>70</v>
      </c>
      <c r="AT4" s="70"/>
      <c r="AU4" s="63">
        <v>39</v>
      </c>
      <c r="AV4" s="63" t="s">
        <v>70</v>
      </c>
      <c r="AX4" s="65">
        <v>1</v>
      </c>
      <c r="AY4" s="65" t="s">
        <v>91</v>
      </c>
      <c r="AZ4" s="65">
        <v>1</v>
      </c>
      <c r="BA4" s="65"/>
      <c r="BB4" s="65">
        <v>3</v>
      </c>
      <c r="BC4" s="65">
        <v>114</v>
      </c>
      <c r="BD4" s="65"/>
      <c r="BE4" s="65">
        <v>2.75</v>
      </c>
      <c r="BF4" s="65">
        <v>1</v>
      </c>
    </row>
    <row r="5" spans="1:58" x14ac:dyDescent="0.3">
      <c r="A5" s="64">
        <v>13908</v>
      </c>
      <c r="B5" s="65" t="s">
        <v>56</v>
      </c>
      <c r="C5" s="79">
        <v>2</v>
      </c>
      <c r="D5" s="65" t="s">
        <v>57</v>
      </c>
      <c r="E5" s="82" t="s">
        <v>73</v>
      </c>
      <c r="F5" s="65">
        <v>342</v>
      </c>
      <c r="G5" s="66">
        <f t="shared" si="9"/>
        <v>1.641025641025641</v>
      </c>
      <c r="H5" s="63">
        <f t="shared" si="0"/>
        <v>64</v>
      </c>
      <c r="I5" s="65">
        <v>406</v>
      </c>
      <c r="J5" s="66">
        <f t="shared" si="1"/>
        <v>1.7666666666666666</v>
      </c>
      <c r="K5" s="63">
        <f t="shared" si="2"/>
        <v>53</v>
      </c>
      <c r="L5" s="63">
        <f t="shared" si="3"/>
        <v>117</v>
      </c>
      <c r="M5" s="65">
        <v>459</v>
      </c>
      <c r="N5" s="66">
        <f t="shared" si="4"/>
        <v>2.3333333333333335</v>
      </c>
      <c r="O5" s="66">
        <f t="shared" si="5"/>
        <v>14</v>
      </c>
      <c r="P5" s="67">
        <f t="shared" si="6"/>
        <v>131</v>
      </c>
      <c r="Q5" s="65">
        <v>473</v>
      </c>
      <c r="R5" s="66">
        <f t="shared" si="7"/>
        <v>38.304093567251464</v>
      </c>
      <c r="S5" s="68">
        <v>58.16</v>
      </c>
      <c r="T5" s="68">
        <v>60.77</v>
      </c>
      <c r="U5" s="68">
        <v>4</v>
      </c>
      <c r="V5" s="68">
        <v>13</v>
      </c>
      <c r="W5" s="68">
        <v>4</v>
      </c>
      <c r="X5" s="68">
        <v>262.2</v>
      </c>
      <c r="Y5" s="66">
        <f t="shared" si="8"/>
        <v>-44.56659619450317</v>
      </c>
      <c r="Z5" s="68">
        <v>350</v>
      </c>
      <c r="AA5" s="68">
        <v>1</v>
      </c>
      <c r="AB5" s="68">
        <v>10</v>
      </c>
      <c r="AC5" s="68" t="s">
        <v>75</v>
      </c>
      <c r="AD5" s="68">
        <v>1</v>
      </c>
      <c r="AE5" s="68">
        <v>5.46</v>
      </c>
      <c r="AF5" s="68">
        <v>70</v>
      </c>
      <c r="AG5" s="68">
        <v>110</v>
      </c>
      <c r="AH5" s="68">
        <v>115</v>
      </c>
      <c r="AI5" s="68">
        <v>7</v>
      </c>
      <c r="AJ5" s="68">
        <v>13</v>
      </c>
      <c r="AK5" s="68" t="s">
        <v>76</v>
      </c>
      <c r="AL5" s="68" t="s">
        <v>68</v>
      </c>
      <c r="AM5" s="69">
        <v>22</v>
      </c>
      <c r="AN5" s="76" t="s">
        <v>123</v>
      </c>
      <c r="AO5" s="69">
        <v>0</v>
      </c>
      <c r="AP5" s="69">
        <v>0</v>
      </c>
      <c r="AQ5" s="69"/>
      <c r="AR5" s="70"/>
      <c r="AS5" s="70" t="s">
        <v>106</v>
      </c>
      <c r="AT5" s="70"/>
      <c r="AU5" s="63">
        <v>44</v>
      </c>
      <c r="AV5" s="63" t="s">
        <v>70</v>
      </c>
      <c r="AX5" s="65">
        <v>2</v>
      </c>
      <c r="AY5" s="65" t="s">
        <v>124</v>
      </c>
      <c r="AZ5" s="65">
        <v>13</v>
      </c>
      <c r="BA5" s="65"/>
      <c r="BB5" s="65">
        <v>3</v>
      </c>
      <c r="BC5" s="65">
        <v>125</v>
      </c>
      <c r="BD5" s="65"/>
      <c r="BE5" s="65">
        <v>3</v>
      </c>
      <c r="BF5" s="65">
        <v>2</v>
      </c>
    </row>
    <row r="6" spans="1:58" x14ac:dyDescent="0.3">
      <c r="A6" s="64">
        <v>13885</v>
      </c>
      <c r="B6" s="65" t="s">
        <v>62</v>
      </c>
      <c r="C6" s="78">
        <v>1</v>
      </c>
      <c r="D6" s="65" t="s">
        <v>57</v>
      </c>
      <c r="E6" s="82" t="s">
        <v>73</v>
      </c>
      <c r="F6" s="65">
        <v>379</v>
      </c>
      <c r="G6" s="66">
        <f t="shared" si="9"/>
        <v>1.6923076923076923</v>
      </c>
      <c r="H6" s="63">
        <f t="shared" si="0"/>
        <v>66</v>
      </c>
      <c r="I6" s="65">
        <v>445</v>
      </c>
      <c r="J6" s="66">
        <f t="shared" si="1"/>
        <v>1.9</v>
      </c>
      <c r="K6" s="63">
        <f t="shared" si="2"/>
        <v>57</v>
      </c>
      <c r="L6" s="63">
        <f t="shared" si="3"/>
        <v>123</v>
      </c>
      <c r="M6" s="65">
        <v>502</v>
      </c>
      <c r="N6" s="66">
        <f t="shared" si="4"/>
        <v>2.1666666666666665</v>
      </c>
      <c r="O6" s="66">
        <f t="shared" si="5"/>
        <v>13</v>
      </c>
      <c r="P6" s="67">
        <f t="shared" si="6"/>
        <v>136</v>
      </c>
      <c r="Q6" s="65">
        <v>515</v>
      </c>
      <c r="R6" s="66">
        <f t="shared" si="7"/>
        <v>35.88390501319261</v>
      </c>
      <c r="S6" s="68">
        <v>60.49</v>
      </c>
      <c r="T6" s="68">
        <v>63.1</v>
      </c>
      <c r="U6" s="68">
        <v>2</v>
      </c>
      <c r="V6" s="68">
        <v>12</v>
      </c>
      <c r="W6" s="68">
        <v>3</v>
      </c>
      <c r="X6" s="68">
        <v>256.8</v>
      </c>
      <c r="Y6" s="66">
        <f t="shared" si="8"/>
        <v>-50.135922330097081</v>
      </c>
      <c r="Z6" s="68">
        <v>330</v>
      </c>
      <c r="AA6" s="68">
        <v>1</v>
      </c>
      <c r="AB6" s="68">
        <v>9</v>
      </c>
      <c r="AC6" s="68" t="s">
        <v>67</v>
      </c>
      <c r="AD6" s="68">
        <v>1</v>
      </c>
      <c r="AE6" s="68">
        <v>5.38</v>
      </c>
      <c r="AF6" s="68">
        <v>69</v>
      </c>
      <c r="AG6" s="68">
        <v>120</v>
      </c>
      <c r="AH6" s="68">
        <v>90</v>
      </c>
      <c r="AI6" s="68">
        <v>6.8</v>
      </c>
      <c r="AJ6" s="68">
        <v>13</v>
      </c>
      <c r="AK6" s="68" t="s">
        <v>76</v>
      </c>
      <c r="AL6" s="68" t="s">
        <v>68</v>
      </c>
      <c r="AM6" s="69">
        <v>77</v>
      </c>
      <c r="AN6" s="76" t="s">
        <v>105</v>
      </c>
      <c r="AO6" s="69">
        <v>0</v>
      </c>
      <c r="AP6" s="69">
        <v>0</v>
      </c>
      <c r="AQ6" s="69"/>
      <c r="AR6" s="77" t="s">
        <v>122</v>
      </c>
      <c r="AS6" s="70" t="s">
        <v>83</v>
      </c>
      <c r="AT6" s="70"/>
      <c r="AU6" s="63">
        <v>88</v>
      </c>
      <c r="AV6" s="63" t="s">
        <v>70</v>
      </c>
      <c r="AX6" s="65">
        <v>2</v>
      </c>
      <c r="AY6" s="65" t="s">
        <v>71</v>
      </c>
      <c r="AZ6" s="65">
        <v>4</v>
      </c>
      <c r="BA6" s="65"/>
      <c r="BB6" s="65">
        <v>3</v>
      </c>
      <c r="BC6" s="65">
        <v>121</v>
      </c>
      <c r="BD6" s="65"/>
      <c r="BE6" s="65">
        <v>2.5</v>
      </c>
      <c r="BF6" s="65">
        <v>1</v>
      </c>
    </row>
    <row r="7" spans="1:58" x14ac:dyDescent="0.3">
      <c r="A7" s="64">
        <v>13912</v>
      </c>
      <c r="B7" s="65" t="s">
        <v>78</v>
      </c>
      <c r="C7" s="81">
        <v>4</v>
      </c>
      <c r="D7" s="65" t="s">
        <v>57</v>
      </c>
      <c r="E7" s="65" t="s">
        <v>118</v>
      </c>
      <c r="F7" s="65">
        <v>414</v>
      </c>
      <c r="G7" s="66">
        <f t="shared" si="9"/>
        <v>3.3846153846153846</v>
      </c>
      <c r="H7" s="63">
        <f t="shared" si="0"/>
        <v>132</v>
      </c>
      <c r="I7" s="65">
        <v>546</v>
      </c>
      <c r="J7" s="66">
        <f t="shared" si="1"/>
        <v>-6.6666666666666666E-2</v>
      </c>
      <c r="K7" s="63">
        <f t="shared" si="2"/>
        <v>-2</v>
      </c>
      <c r="L7" s="63">
        <f t="shared" si="3"/>
        <v>130</v>
      </c>
      <c r="M7" s="65">
        <v>544</v>
      </c>
      <c r="N7" s="66">
        <f t="shared" si="4"/>
        <v>2.3333333333333335</v>
      </c>
      <c r="O7" s="66">
        <f t="shared" si="5"/>
        <v>14</v>
      </c>
      <c r="P7" s="67">
        <f t="shared" si="6"/>
        <v>144</v>
      </c>
      <c r="Q7" s="65">
        <v>558</v>
      </c>
      <c r="R7" s="66">
        <f t="shared" si="7"/>
        <v>34.782608695652172</v>
      </c>
      <c r="S7" s="68">
        <v>59.24</v>
      </c>
      <c r="T7" s="68">
        <v>61.85</v>
      </c>
      <c r="U7" s="68">
        <v>0</v>
      </c>
      <c r="V7" s="68">
        <v>3</v>
      </c>
      <c r="W7" s="68">
        <v>2</v>
      </c>
      <c r="X7" s="68">
        <v>267.3</v>
      </c>
      <c r="Y7" s="66">
        <f t="shared" si="8"/>
        <v>-52.096774193548391</v>
      </c>
      <c r="Z7" s="68">
        <v>320</v>
      </c>
      <c r="AA7" s="68">
        <v>1</v>
      </c>
      <c r="AB7" s="68">
        <v>3</v>
      </c>
      <c r="AC7" s="68" t="s">
        <v>75</v>
      </c>
      <c r="AD7" s="68">
        <v>1</v>
      </c>
      <c r="AE7" s="68">
        <v>5.34</v>
      </c>
      <c r="AF7" s="68">
        <v>78</v>
      </c>
      <c r="AG7" s="68">
        <v>120</v>
      </c>
      <c r="AH7" s="68">
        <v>85</v>
      </c>
      <c r="AI7" s="68">
        <v>7</v>
      </c>
      <c r="AJ7" s="68">
        <v>13</v>
      </c>
      <c r="AK7" s="68" t="s">
        <v>76</v>
      </c>
      <c r="AL7" s="68" t="s">
        <v>68</v>
      </c>
      <c r="AM7" s="69">
        <v>97</v>
      </c>
      <c r="AN7" s="69">
        <v>0</v>
      </c>
      <c r="AO7" s="69">
        <v>0</v>
      </c>
      <c r="AP7" s="69">
        <v>0</v>
      </c>
      <c r="AQ7" s="69"/>
      <c r="AR7" s="70"/>
      <c r="AS7" s="70" t="s">
        <v>70</v>
      </c>
      <c r="AT7" s="70"/>
      <c r="AU7" s="63">
        <v>84</v>
      </c>
      <c r="AV7" s="63" t="s">
        <v>70</v>
      </c>
      <c r="AX7" s="65">
        <v>1</v>
      </c>
      <c r="AY7" s="65" t="s">
        <v>120</v>
      </c>
      <c r="AZ7" s="65">
        <v>12</v>
      </c>
      <c r="BA7" s="65"/>
      <c r="BB7" s="65">
        <v>1</v>
      </c>
      <c r="BC7" s="65">
        <v>132</v>
      </c>
      <c r="BD7" s="65"/>
      <c r="BE7" s="65">
        <v>2.75</v>
      </c>
      <c r="BF7" s="65">
        <v>2</v>
      </c>
    </row>
    <row r="8" spans="1:58" x14ac:dyDescent="0.3">
      <c r="A8" s="64">
        <v>13864</v>
      </c>
      <c r="B8" s="64" t="s">
        <v>84</v>
      </c>
      <c r="C8" s="80">
        <v>3</v>
      </c>
      <c r="D8" s="65" t="s">
        <v>72</v>
      </c>
      <c r="E8" s="85" t="s">
        <v>64</v>
      </c>
      <c r="F8" s="65">
        <v>374</v>
      </c>
      <c r="G8" s="66">
        <f t="shared" si="9"/>
        <v>1.6666666666666667</v>
      </c>
      <c r="H8" s="63">
        <f t="shared" si="0"/>
        <v>65</v>
      </c>
      <c r="I8" s="65">
        <v>439</v>
      </c>
      <c r="J8" s="66">
        <f t="shared" si="1"/>
        <v>1.6666666666666667</v>
      </c>
      <c r="K8" s="63">
        <f t="shared" si="2"/>
        <v>50</v>
      </c>
      <c r="L8" s="63">
        <f t="shared" si="3"/>
        <v>115</v>
      </c>
      <c r="M8" s="65">
        <v>489</v>
      </c>
      <c r="N8" s="66">
        <f t="shared" si="4"/>
        <v>2.3333333333333335</v>
      </c>
      <c r="O8" s="66">
        <f t="shared" si="5"/>
        <v>14</v>
      </c>
      <c r="P8" s="67">
        <f t="shared" si="6"/>
        <v>129</v>
      </c>
      <c r="Q8" s="65">
        <v>503</v>
      </c>
      <c r="R8" s="66">
        <f t="shared" si="7"/>
        <v>34.491978609625669</v>
      </c>
      <c r="S8" s="68">
        <v>58.82</v>
      </c>
      <c r="T8" s="68">
        <v>61.43</v>
      </c>
      <c r="U8" s="68">
        <v>0</v>
      </c>
      <c r="V8" s="68">
        <v>15</v>
      </c>
      <c r="W8" s="68">
        <v>4</v>
      </c>
      <c r="X8" s="68">
        <v>276.2</v>
      </c>
      <c r="Y8" s="66">
        <f t="shared" si="8"/>
        <v>-45.089463220675945</v>
      </c>
      <c r="Z8" s="68">
        <v>370</v>
      </c>
      <c r="AA8" s="68">
        <v>1</v>
      </c>
      <c r="AB8" s="68">
        <v>10</v>
      </c>
      <c r="AC8" s="68" t="s">
        <v>75</v>
      </c>
      <c r="AD8" s="68">
        <v>0</v>
      </c>
      <c r="AE8" s="68">
        <v>5.4</v>
      </c>
      <c r="AF8" s="68">
        <v>79</v>
      </c>
      <c r="AG8" s="68">
        <v>160</v>
      </c>
      <c r="AH8" s="68">
        <v>85</v>
      </c>
      <c r="AI8" s="68">
        <v>7.6</v>
      </c>
      <c r="AJ8" s="68">
        <v>13</v>
      </c>
      <c r="AK8" s="68" t="s">
        <v>76</v>
      </c>
      <c r="AL8" s="68" t="s">
        <v>68</v>
      </c>
      <c r="AM8" s="69">
        <v>60</v>
      </c>
      <c r="AN8" s="69">
        <v>0</v>
      </c>
      <c r="AO8" s="69">
        <v>0</v>
      </c>
      <c r="AP8" s="69">
        <v>0</v>
      </c>
      <c r="AQ8" s="69"/>
      <c r="AR8" s="70"/>
      <c r="AS8" s="70" t="s">
        <v>70</v>
      </c>
      <c r="AT8" s="70"/>
      <c r="AU8" s="63">
        <v>50</v>
      </c>
      <c r="AV8" s="63" t="s">
        <v>70</v>
      </c>
      <c r="AX8" s="65">
        <v>4</v>
      </c>
      <c r="AY8" s="65" t="s">
        <v>87</v>
      </c>
      <c r="AZ8" s="65">
        <v>10</v>
      </c>
      <c r="BA8" s="65"/>
      <c r="BB8" s="65">
        <v>1</v>
      </c>
      <c r="BC8" s="65">
        <v>125</v>
      </c>
      <c r="BD8" s="65"/>
      <c r="BE8" s="65">
        <v>3.25</v>
      </c>
      <c r="BF8" s="65">
        <v>1</v>
      </c>
    </row>
    <row r="9" spans="1:58" x14ac:dyDescent="0.3">
      <c r="A9" s="64">
        <v>13849</v>
      </c>
      <c r="B9" s="64" t="s">
        <v>84</v>
      </c>
      <c r="C9" s="80">
        <v>3</v>
      </c>
      <c r="D9" s="65" t="s">
        <v>72</v>
      </c>
      <c r="E9" s="84" t="s">
        <v>113</v>
      </c>
      <c r="F9" s="65">
        <v>355</v>
      </c>
      <c r="G9" s="66">
        <f t="shared" si="9"/>
        <v>1.5384615384615385</v>
      </c>
      <c r="H9" s="63">
        <f t="shared" si="0"/>
        <v>60</v>
      </c>
      <c r="I9" s="65">
        <v>415</v>
      </c>
      <c r="J9" s="66">
        <f t="shared" si="1"/>
        <v>1.6</v>
      </c>
      <c r="K9" s="63">
        <f t="shared" si="2"/>
        <v>48</v>
      </c>
      <c r="L9" s="63">
        <f t="shared" si="3"/>
        <v>108</v>
      </c>
      <c r="M9" s="65">
        <v>463</v>
      </c>
      <c r="N9" s="66">
        <f t="shared" si="4"/>
        <v>2</v>
      </c>
      <c r="O9" s="66">
        <f t="shared" si="5"/>
        <v>12</v>
      </c>
      <c r="P9" s="67">
        <f t="shared" si="6"/>
        <v>120</v>
      </c>
      <c r="Q9" s="65">
        <v>475</v>
      </c>
      <c r="R9" s="66">
        <f t="shared" si="7"/>
        <v>33.802816901408448</v>
      </c>
      <c r="S9" s="68">
        <v>62.26</v>
      </c>
      <c r="T9" s="68">
        <v>64.87</v>
      </c>
      <c r="U9" s="68">
        <v>0</v>
      </c>
      <c r="V9" s="68">
        <v>7</v>
      </c>
      <c r="W9" s="68">
        <v>3</v>
      </c>
      <c r="X9" s="68">
        <v>266.3</v>
      </c>
      <c r="Y9" s="66">
        <f t="shared" si="8"/>
        <v>-43.93684210526316</v>
      </c>
      <c r="Z9" s="68">
        <v>350</v>
      </c>
      <c r="AA9" s="68">
        <v>1</v>
      </c>
      <c r="AB9" s="68">
        <v>7</v>
      </c>
      <c r="AC9" s="68" t="s">
        <v>75</v>
      </c>
      <c r="AD9" s="68">
        <v>1</v>
      </c>
      <c r="AE9" s="68">
        <v>5.4</v>
      </c>
      <c r="AF9" s="68">
        <v>77</v>
      </c>
      <c r="AG9" s="68">
        <v>130</v>
      </c>
      <c r="AH9" s="68">
        <v>70</v>
      </c>
      <c r="AI9" s="68">
        <v>7</v>
      </c>
      <c r="AJ9" s="68">
        <v>13</v>
      </c>
      <c r="AK9" s="68" t="s">
        <v>76</v>
      </c>
      <c r="AL9" s="68" t="s">
        <v>68</v>
      </c>
      <c r="AM9" s="69">
        <v>75</v>
      </c>
      <c r="AN9" s="69">
        <v>0</v>
      </c>
      <c r="AO9" s="69">
        <v>0</v>
      </c>
      <c r="AP9" s="69">
        <v>0</v>
      </c>
      <c r="AQ9" s="69"/>
      <c r="AR9" s="70"/>
      <c r="AS9" s="70" t="s">
        <v>70</v>
      </c>
      <c r="AT9" s="70"/>
      <c r="AU9" s="63">
        <v>45</v>
      </c>
      <c r="AV9" s="63" t="s">
        <v>70</v>
      </c>
      <c r="AX9" s="65">
        <v>3</v>
      </c>
      <c r="AY9" s="65" t="s">
        <v>115</v>
      </c>
      <c r="AZ9" s="65">
        <v>5</v>
      </c>
      <c r="BA9" s="65"/>
      <c r="BB9" s="65">
        <v>2</v>
      </c>
      <c r="BC9" s="65">
        <v>121</v>
      </c>
      <c r="BD9" s="65"/>
      <c r="BE9" s="65">
        <v>3</v>
      </c>
      <c r="BF9" s="65">
        <v>1</v>
      </c>
    </row>
    <row r="10" spans="1:58" x14ac:dyDescent="0.3">
      <c r="A10" s="64">
        <v>13850</v>
      </c>
      <c r="B10" s="64" t="s">
        <v>84</v>
      </c>
      <c r="C10" s="80">
        <v>3</v>
      </c>
      <c r="D10" s="65" t="s">
        <v>72</v>
      </c>
      <c r="E10" s="84" t="s">
        <v>113</v>
      </c>
      <c r="F10" s="65">
        <v>369</v>
      </c>
      <c r="G10" s="66">
        <f t="shared" si="9"/>
        <v>1.7179487179487178</v>
      </c>
      <c r="H10" s="63">
        <f t="shared" si="0"/>
        <v>67</v>
      </c>
      <c r="I10" s="65">
        <v>436</v>
      </c>
      <c r="J10" s="66">
        <f t="shared" si="1"/>
        <v>1.3333333333333333</v>
      </c>
      <c r="K10" s="63">
        <f t="shared" si="2"/>
        <v>40</v>
      </c>
      <c r="L10" s="63">
        <f t="shared" si="3"/>
        <v>107</v>
      </c>
      <c r="M10" s="65">
        <v>476</v>
      </c>
      <c r="N10" s="66">
        <f t="shared" si="4"/>
        <v>2.1666666666666665</v>
      </c>
      <c r="O10" s="66">
        <f t="shared" si="5"/>
        <v>13</v>
      </c>
      <c r="P10" s="67">
        <f t="shared" si="6"/>
        <v>120</v>
      </c>
      <c r="Q10" s="65">
        <v>489</v>
      </c>
      <c r="R10" s="66">
        <f t="shared" si="7"/>
        <v>32.520325203252028</v>
      </c>
      <c r="S10" s="68">
        <v>58.89</v>
      </c>
      <c r="T10" s="68">
        <v>61.5</v>
      </c>
      <c r="U10" s="68">
        <v>0</v>
      </c>
      <c r="V10" s="68">
        <v>7</v>
      </c>
      <c r="W10" s="68">
        <v>3</v>
      </c>
      <c r="X10" s="68">
        <v>261.39999999999998</v>
      </c>
      <c r="Y10" s="66">
        <f t="shared" si="8"/>
        <v>-46.543967280163606</v>
      </c>
      <c r="Z10" s="68">
        <v>280</v>
      </c>
      <c r="AA10" s="68">
        <v>0</v>
      </c>
      <c r="AB10" s="68">
        <v>7</v>
      </c>
      <c r="AC10" s="68" t="s">
        <v>67</v>
      </c>
      <c r="AD10" s="68">
        <v>0</v>
      </c>
      <c r="AE10" s="68">
        <v>5.37</v>
      </c>
      <c r="AF10" s="68">
        <v>65</v>
      </c>
      <c r="AG10" s="68">
        <v>140</v>
      </c>
      <c r="AH10" s="68">
        <v>75</v>
      </c>
      <c r="AI10" s="68">
        <v>6.8</v>
      </c>
      <c r="AJ10" s="68">
        <v>13</v>
      </c>
      <c r="AK10" s="68" t="s">
        <v>76</v>
      </c>
      <c r="AL10" s="68" t="s">
        <v>68</v>
      </c>
      <c r="AM10" s="69">
        <v>96</v>
      </c>
      <c r="AN10" s="69">
        <v>0</v>
      </c>
      <c r="AO10" s="69">
        <v>0</v>
      </c>
      <c r="AP10" s="69">
        <v>0</v>
      </c>
      <c r="AQ10" s="69"/>
      <c r="AR10" s="70"/>
      <c r="AS10" s="70" t="s">
        <v>70</v>
      </c>
      <c r="AT10" s="70"/>
      <c r="AU10" s="63">
        <v>63</v>
      </c>
      <c r="AV10" s="63" t="s">
        <v>70</v>
      </c>
      <c r="AX10" s="65">
        <v>1</v>
      </c>
      <c r="AY10" s="65" t="s">
        <v>91</v>
      </c>
      <c r="AZ10" s="65">
        <v>1</v>
      </c>
      <c r="BA10" s="65"/>
      <c r="BB10" s="65">
        <v>3</v>
      </c>
      <c r="BC10" s="65">
        <v>127</v>
      </c>
      <c r="BD10" s="65"/>
      <c r="BE10" s="65">
        <v>3</v>
      </c>
      <c r="BF10" s="65" t="s">
        <v>117</v>
      </c>
    </row>
    <row r="11" spans="1:58" x14ac:dyDescent="0.3">
      <c r="A11" s="64">
        <v>13841</v>
      </c>
      <c r="B11" s="64" t="s">
        <v>84</v>
      </c>
      <c r="C11" s="80">
        <v>3</v>
      </c>
      <c r="D11" s="65" t="s">
        <v>72</v>
      </c>
      <c r="E11" s="82" t="s">
        <v>73</v>
      </c>
      <c r="F11" s="65">
        <v>375</v>
      </c>
      <c r="G11" s="66">
        <f t="shared" si="9"/>
        <v>1.1282051282051282</v>
      </c>
      <c r="H11" s="63">
        <f t="shared" si="0"/>
        <v>44</v>
      </c>
      <c r="I11" s="65">
        <v>419</v>
      </c>
      <c r="J11" s="66">
        <f t="shared" si="1"/>
        <v>2.0333333333333332</v>
      </c>
      <c r="K11" s="63">
        <f t="shared" si="2"/>
        <v>61</v>
      </c>
      <c r="L11" s="63">
        <f t="shared" si="3"/>
        <v>105</v>
      </c>
      <c r="M11" s="65">
        <v>480</v>
      </c>
      <c r="N11" s="66">
        <f t="shared" si="4"/>
        <v>2.3333333333333335</v>
      </c>
      <c r="O11" s="66">
        <f t="shared" si="5"/>
        <v>14</v>
      </c>
      <c r="P11" s="67">
        <f t="shared" si="6"/>
        <v>119</v>
      </c>
      <c r="Q11" s="65">
        <v>494</v>
      </c>
      <c r="R11" s="66">
        <f t="shared" si="7"/>
        <v>31.733333333333334</v>
      </c>
      <c r="S11" s="68">
        <v>58.88</v>
      </c>
      <c r="T11" s="68">
        <v>61.49</v>
      </c>
      <c r="U11" s="68">
        <v>0</v>
      </c>
      <c r="V11" s="68">
        <v>11</v>
      </c>
      <c r="W11" s="68">
        <v>3</v>
      </c>
      <c r="X11" s="68">
        <v>256.5</v>
      </c>
      <c r="Y11" s="66">
        <f t="shared" si="8"/>
        <v>-48.07692307692308</v>
      </c>
      <c r="Z11" s="68">
        <v>350</v>
      </c>
      <c r="AA11" s="68">
        <v>1</v>
      </c>
      <c r="AB11" s="68">
        <v>10</v>
      </c>
      <c r="AC11" s="68" t="s">
        <v>75</v>
      </c>
      <c r="AD11" s="68">
        <v>1</v>
      </c>
      <c r="AE11" s="68">
        <v>5.39</v>
      </c>
      <c r="AF11" s="68">
        <v>70</v>
      </c>
      <c r="AG11" s="68">
        <v>120</v>
      </c>
      <c r="AH11" s="68">
        <v>100</v>
      </c>
      <c r="AI11" s="68">
        <v>7.1</v>
      </c>
      <c r="AJ11" s="68">
        <v>13</v>
      </c>
      <c r="AK11" s="68" t="s">
        <v>76</v>
      </c>
      <c r="AL11" s="68" t="s">
        <v>68</v>
      </c>
      <c r="AM11" s="69">
        <v>42</v>
      </c>
      <c r="AN11" s="69">
        <v>0</v>
      </c>
      <c r="AO11" s="69">
        <v>0</v>
      </c>
      <c r="AP11" s="69">
        <v>0</v>
      </c>
      <c r="AQ11" s="69"/>
      <c r="AR11" s="70"/>
      <c r="AS11" s="70" t="s">
        <v>70</v>
      </c>
      <c r="AT11" s="70"/>
      <c r="AU11" s="63">
        <v>73</v>
      </c>
      <c r="AV11" s="63" t="s">
        <v>70</v>
      </c>
      <c r="AX11" s="65">
        <v>2</v>
      </c>
      <c r="AY11" s="65" t="s">
        <v>115</v>
      </c>
      <c r="AZ11" s="65">
        <v>5</v>
      </c>
      <c r="BA11" s="65"/>
      <c r="BB11" s="65">
        <v>5</v>
      </c>
      <c r="BC11" s="65">
        <v>130</v>
      </c>
      <c r="BD11" s="65"/>
      <c r="BE11" s="65">
        <v>3.5</v>
      </c>
      <c r="BF11" s="65">
        <v>1</v>
      </c>
    </row>
    <row r="12" spans="1:58" x14ac:dyDescent="0.3">
      <c r="A12" s="64">
        <v>13837</v>
      </c>
      <c r="B12" s="64" t="s">
        <v>84</v>
      </c>
      <c r="C12" s="80">
        <v>3</v>
      </c>
      <c r="D12" s="65" t="s">
        <v>72</v>
      </c>
      <c r="E12" s="82" t="s">
        <v>73</v>
      </c>
      <c r="F12" s="65">
        <v>399</v>
      </c>
      <c r="G12" s="66">
        <f t="shared" si="9"/>
        <v>1.4615384615384615</v>
      </c>
      <c r="H12" s="63">
        <f t="shared" si="0"/>
        <v>57</v>
      </c>
      <c r="I12" s="65">
        <v>456</v>
      </c>
      <c r="J12" s="66">
        <f t="shared" si="1"/>
        <v>1.8666666666666667</v>
      </c>
      <c r="K12" s="63">
        <f t="shared" si="2"/>
        <v>56</v>
      </c>
      <c r="L12" s="63">
        <f t="shared" si="3"/>
        <v>113</v>
      </c>
      <c r="M12" s="65">
        <v>512</v>
      </c>
      <c r="N12" s="66">
        <f t="shared" si="4"/>
        <v>2.1666666666666665</v>
      </c>
      <c r="O12" s="66">
        <f t="shared" si="5"/>
        <v>13</v>
      </c>
      <c r="P12" s="67">
        <f t="shared" si="6"/>
        <v>126</v>
      </c>
      <c r="Q12" s="65">
        <v>525</v>
      </c>
      <c r="R12" s="66">
        <f t="shared" si="7"/>
        <v>31.578947368421051</v>
      </c>
      <c r="S12" s="68">
        <v>53.11</v>
      </c>
      <c r="T12" s="68">
        <v>55.72</v>
      </c>
      <c r="U12" s="68">
        <v>0</v>
      </c>
      <c r="V12" s="68">
        <v>14</v>
      </c>
      <c r="W12" s="68">
        <v>4</v>
      </c>
      <c r="X12" s="68">
        <v>252.1</v>
      </c>
      <c r="Y12" s="66">
        <f t="shared" si="8"/>
        <v>-51.980952380952374</v>
      </c>
      <c r="Z12" s="68">
        <v>370</v>
      </c>
      <c r="AA12" s="68">
        <v>1</v>
      </c>
      <c r="AB12" s="68">
        <v>10</v>
      </c>
      <c r="AC12" s="68" t="s">
        <v>75</v>
      </c>
      <c r="AD12" s="68">
        <v>1</v>
      </c>
      <c r="AE12" s="68">
        <v>5.33</v>
      </c>
      <c r="AF12" s="68">
        <v>69</v>
      </c>
      <c r="AG12" s="68">
        <v>180</v>
      </c>
      <c r="AH12" s="68">
        <v>115</v>
      </c>
      <c r="AI12" s="68">
        <v>6.9</v>
      </c>
      <c r="AJ12" s="68">
        <v>13</v>
      </c>
      <c r="AK12" s="68" t="s">
        <v>76</v>
      </c>
      <c r="AL12" s="68" t="s">
        <v>68</v>
      </c>
      <c r="AM12" s="69">
        <v>24</v>
      </c>
      <c r="AN12" s="69">
        <v>0</v>
      </c>
      <c r="AO12" s="69">
        <v>0</v>
      </c>
      <c r="AP12" s="69">
        <v>0</v>
      </c>
      <c r="AQ12" s="69"/>
      <c r="AR12" s="70"/>
      <c r="AS12" s="70" t="s">
        <v>70</v>
      </c>
      <c r="AT12" s="70"/>
      <c r="AU12" s="63">
        <v>43</v>
      </c>
      <c r="AV12" s="63" t="s">
        <v>70</v>
      </c>
      <c r="AX12" s="65">
        <v>3</v>
      </c>
      <c r="AY12" s="65" t="s">
        <v>71</v>
      </c>
      <c r="AZ12" s="65">
        <v>4</v>
      </c>
      <c r="BA12" s="65"/>
      <c r="BB12" s="65">
        <v>3</v>
      </c>
      <c r="BC12" s="65">
        <v>138</v>
      </c>
      <c r="BD12" s="65"/>
      <c r="BE12" s="65">
        <v>3.25</v>
      </c>
      <c r="BF12" s="65">
        <v>2</v>
      </c>
    </row>
    <row r="13" spans="1:58" x14ac:dyDescent="0.3">
      <c r="A13" s="64">
        <v>13844</v>
      </c>
      <c r="B13" s="64" t="s">
        <v>84</v>
      </c>
      <c r="C13" s="80">
        <v>3</v>
      </c>
      <c r="D13" s="65" t="s">
        <v>72</v>
      </c>
      <c r="E13" s="85" t="s">
        <v>64</v>
      </c>
      <c r="F13" s="65">
        <v>343</v>
      </c>
      <c r="G13" s="66">
        <f t="shared" si="9"/>
        <v>1.1538461538461537</v>
      </c>
      <c r="H13" s="63">
        <f t="shared" si="0"/>
        <v>45</v>
      </c>
      <c r="I13" s="65">
        <v>388</v>
      </c>
      <c r="J13" s="66">
        <f t="shared" si="1"/>
        <v>1.8</v>
      </c>
      <c r="K13" s="63">
        <f t="shared" si="2"/>
        <v>54</v>
      </c>
      <c r="L13" s="63">
        <f t="shared" si="3"/>
        <v>99</v>
      </c>
      <c r="M13" s="65">
        <v>442</v>
      </c>
      <c r="N13" s="66">
        <f t="shared" si="4"/>
        <v>1.5</v>
      </c>
      <c r="O13" s="66">
        <f t="shared" si="5"/>
        <v>9</v>
      </c>
      <c r="P13" s="67">
        <f t="shared" si="6"/>
        <v>108</v>
      </c>
      <c r="Q13" s="65">
        <v>451</v>
      </c>
      <c r="R13" s="66">
        <f t="shared" si="7"/>
        <v>31.486880466472307</v>
      </c>
      <c r="S13" s="68">
        <v>60.7</v>
      </c>
      <c r="T13" s="68">
        <v>63.31</v>
      </c>
      <c r="U13" s="68">
        <v>0</v>
      </c>
      <c r="V13" s="68">
        <v>8</v>
      </c>
      <c r="W13" s="68">
        <v>3</v>
      </c>
      <c r="X13" s="68">
        <v>229.9</v>
      </c>
      <c r="Y13" s="66">
        <f t="shared" si="8"/>
        <v>-49.024390243902438</v>
      </c>
      <c r="Z13" s="68">
        <v>480</v>
      </c>
      <c r="AA13" s="68">
        <v>2</v>
      </c>
      <c r="AB13" s="68">
        <v>8</v>
      </c>
      <c r="AC13" s="68" t="s">
        <v>75</v>
      </c>
      <c r="AD13" s="68">
        <v>1</v>
      </c>
      <c r="AE13" s="68">
        <v>5.52</v>
      </c>
      <c r="AF13" s="68">
        <v>72</v>
      </c>
      <c r="AG13" s="68">
        <v>160</v>
      </c>
      <c r="AH13" s="68">
        <v>75</v>
      </c>
      <c r="AI13" s="68">
        <v>9.1</v>
      </c>
      <c r="AJ13" s="68">
        <v>13</v>
      </c>
      <c r="AK13" s="68" t="s">
        <v>101</v>
      </c>
      <c r="AL13" s="68" t="s">
        <v>68</v>
      </c>
      <c r="AM13" s="69">
        <v>95</v>
      </c>
      <c r="AN13" s="76" t="s">
        <v>105</v>
      </c>
      <c r="AO13" s="69">
        <v>0</v>
      </c>
      <c r="AP13" s="69">
        <v>0</v>
      </c>
      <c r="AQ13" s="69"/>
      <c r="AR13" s="70"/>
      <c r="AS13" s="70" t="s">
        <v>106</v>
      </c>
      <c r="AT13" s="70"/>
      <c r="AU13" s="63">
        <v>108</v>
      </c>
      <c r="AV13" s="63" t="s">
        <v>70</v>
      </c>
      <c r="AX13" s="65">
        <v>4</v>
      </c>
      <c r="AY13" s="65" t="s">
        <v>61</v>
      </c>
      <c r="AZ13" s="65">
        <v>3</v>
      </c>
      <c r="BA13" s="65"/>
      <c r="BB13" s="65">
        <v>5</v>
      </c>
      <c r="BC13" s="65">
        <v>136</v>
      </c>
      <c r="BD13" s="65"/>
      <c r="BE13" s="65">
        <v>3.5</v>
      </c>
      <c r="BF13" s="65">
        <v>1</v>
      </c>
    </row>
    <row r="14" spans="1:58" x14ac:dyDescent="0.3">
      <c r="A14" s="64">
        <v>13895</v>
      </c>
      <c r="B14" s="65" t="s">
        <v>62</v>
      </c>
      <c r="C14" s="78">
        <v>1</v>
      </c>
      <c r="D14" s="65" t="s">
        <v>57</v>
      </c>
      <c r="E14" s="65" t="s">
        <v>79</v>
      </c>
      <c r="F14" s="65">
        <v>351</v>
      </c>
      <c r="G14" s="66">
        <f t="shared" si="9"/>
        <v>1.4615384615384615</v>
      </c>
      <c r="H14" s="63">
        <f t="shared" si="0"/>
        <v>57</v>
      </c>
      <c r="I14" s="65">
        <v>408</v>
      </c>
      <c r="J14" s="66">
        <f t="shared" si="1"/>
        <v>1.2333333333333334</v>
      </c>
      <c r="K14" s="63">
        <f t="shared" si="2"/>
        <v>37</v>
      </c>
      <c r="L14" s="63">
        <f t="shared" si="3"/>
        <v>94</v>
      </c>
      <c r="M14" s="65">
        <v>445</v>
      </c>
      <c r="N14" s="66">
        <f t="shared" si="4"/>
        <v>2</v>
      </c>
      <c r="O14" s="66">
        <f t="shared" si="5"/>
        <v>12</v>
      </c>
      <c r="P14" s="67">
        <f t="shared" si="6"/>
        <v>106</v>
      </c>
      <c r="Q14" s="65">
        <v>457</v>
      </c>
      <c r="R14" s="66">
        <f t="shared" si="7"/>
        <v>30.1994301994302</v>
      </c>
      <c r="S14" s="68">
        <v>53.46</v>
      </c>
      <c r="T14" s="68">
        <v>56.07</v>
      </c>
      <c r="U14" s="68">
        <v>0</v>
      </c>
      <c r="V14" s="68">
        <v>11</v>
      </c>
      <c r="W14" s="68">
        <v>3</v>
      </c>
      <c r="X14" s="68">
        <v>264.89999999999998</v>
      </c>
      <c r="Y14" s="66">
        <f t="shared" si="8"/>
        <v>-42.035010940919044</v>
      </c>
      <c r="Z14" s="68">
        <v>240</v>
      </c>
      <c r="AA14" s="68">
        <v>0</v>
      </c>
      <c r="AB14" s="68">
        <v>5</v>
      </c>
      <c r="AC14" s="68" t="s">
        <v>75</v>
      </c>
      <c r="AD14" s="68">
        <v>2</v>
      </c>
      <c r="AE14" s="68">
        <v>5.41</v>
      </c>
      <c r="AF14" s="68">
        <v>71</v>
      </c>
      <c r="AG14" s="68">
        <v>130</v>
      </c>
      <c r="AH14" s="68">
        <v>150</v>
      </c>
      <c r="AI14" s="68">
        <v>8.1</v>
      </c>
      <c r="AJ14" s="68">
        <v>13</v>
      </c>
      <c r="AK14" s="68" t="s">
        <v>67</v>
      </c>
      <c r="AL14" s="68" t="s">
        <v>68</v>
      </c>
      <c r="AM14" s="69">
        <v>30</v>
      </c>
      <c r="AN14" s="76" t="s">
        <v>105</v>
      </c>
      <c r="AO14" s="69">
        <v>0</v>
      </c>
      <c r="AP14" s="69">
        <v>0</v>
      </c>
      <c r="AQ14" s="69"/>
      <c r="AR14" s="77" t="s">
        <v>82</v>
      </c>
      <c r="AS14" s="70" t="s">
        <v>83</v>
      </c>
      <c r="AT14" s="70"/>
      <c r="AU14" s="63">
        <v>46</v>
      </c>
      <c r="AV14" s="63" t="s">
        <v>70</v>
      </c>
      <c r="AX14" s="65">
        <v>3</v>
      </c>
      <c r="AY14" s="65" t="s">
        <v>63</v>
      </c>
      <c r="AZ14" s="65">
        <v>14</v>
      </c>
      <c r="BA14" s="65"/>
      <c r="BB14" s="65">
        <v>3</v>
      </c>
      <c r="BC14" s="65">
        <v>119</v>
      </c>
      <c r="BD14" s="65"/>
      <c r="BE14" s="65">
        <v>3.75</v>
      </c>
      <c r="BF14" s="65">
        <v>2</v>
      </c>
    </row>
    <row r="15" spans="1:58" x14ac:dyDescent="0.3">
      <c r="A15" s="64">
        <v>13855</v>
      </c>
      <c r="B15" s="64" t="s">
        <v>84</v>
      </c>
      <c r="C15" s="80">
        <v>3</v>
      </c>
      <c r="D15" s="65" t="s">
        <v>72</v>
      </c>
      <c r="E15" s="83" t="s">
        <v>88</v>
      </c>
      <c r="F15" s="65">
        <v>377</v>
      </c>
      <c r="G15" s="66">
        <f t="shared" si="9"/>
        <v>1.7435897435897436</v>
      </c>
      <c r="H15" s="63">
        <f t="shared" si="0"/>
        <v>68</v>
      </c>
      <c r="I15" s="65">
        <v>445</v>
      </c>
      <c r="J15" s="66">
        <f t="shared" si="1"/>
        <v>1</v>
      </c>
      <c r="K15" s="63">
        <f t="shared" si="2"/>
        <v>30</v>
      </c>
      <c r="L15" s="63">
        <f t="shared" si="3"/>
        <v>98</v>
      </c>
      <c r="M15" s="65">
        <v>475</v>
      </c>
      <c r="N15" s="66">
        <f t="shared" si="4"/>
        <v>2.1666666666666665</v>
      </c>
      <c r="O15" s="66">
        <f t="shared" si="5"/>
        <v>13</v>
      </c>
      <c r="P15" s="67">
        <f t="shared" si="6"/>
        <v>111</v>
      </c>
      <c r="Q15" s="65">
        <v>488</v>
      </c>
      <c r="R15" s="66">
        <f t="shared" si="7"/>
        <v>29.442970822281168</v>
      </c>
      <c r="S15" s="68">
        <v>56.95</v>
      </c>
      <c r="T15" s="68">
        <v>59.56</v>
      </c>
      <c r="U15" s="68">
        <v>0</v>
      </c>
      <c r="V15" s="68">
        <v>3</v>
      </c>
      <c r="W15" s="68">
        <v>2</v>
      </c>
      <c r="X15" s="68">
        <v>310.89999999999998</v>
      </c>
      <c r="Y15" s="66">
        <f t="shared" si="8"/>
        <v>-36.290983606557383</v>
      </c>
      <c r="Z15" s="68">
        <v>190</v>
      </c>
      <c r="AA15" s="68">
        <v>0</v>
      </c>
      <c r="AB15" s="68">
        <v>3</v>
      </c>
      <c r="AC15" s="68" t="s">
        <v>67</v>
      </c>
      <c r="AD15" s="68">
        <v>1</v>
      </c>
      <c r="AE15" s="68">
        <v>5.38</v>
      </c>
      <c r="AF15" s="68">
        <v>108</v>
      </c>
      <c r="AG15" s="68">
        <v>130</v>
      </c>
      <c r="AH15" s="68">
        <v>90</v>
      </c>
      <c r="AI15" s="68">
        <v>7</v>
      </c>
      <c r="AJ15" s="68">
        <v>13</v>
      </c>
      <c r="AK15" s="68" t="s">
        <v>76</v>
      </c>
      <c r="AL15" s="68" t="s">
        <v>68</v>
      </c>
      <c r="AM15" s="69">
        <v>103</v>
      </c>
      <c r="AN15" s="69">
        <v>0</v>
      </c>
      <c r="AO15" s="69">
        <v>0</v>
      </c>
      <c r="AP15" s="69">
        <v>0</v>
      </c>
      <c r="AQ15" s="69"/>
      <c r="AR15" s="70"/>
      <c r="AS15" s="70" t="s">
        <v>70</v>
      </c>
      <c r="AT15" s="70"/>
      <c r="AU15" s="63">
        <v>78</v>
      </c>
      <c r="AV15" s="63" t="s">
        <v>70</v>
      </c>
      <c r="AX15" s="65">
        <v>1</v>
      </c>
      <c r="AY15" s="65" t="s">
        <v>63</v>
      </c>
      <c r="AZ15" s="65">
        <v>14</v>
      </c>
      <c r="BA15" s="65"/>
      <c r="BB15" s="65">
        <v>1</v>
      </c>
      <c r="BC15" s="65">
        <v>131</v>
      </c>
      <c r="BD15" s="65"/>
      <c r="BE15" s="65">
        <v>2.5</v>
      </c>
      <c r="BF15" s="65">
        <v>1</v>
      </c>
    </row>
    <row r="16" spans="1:58" x14ac:dyDescent="0.3">
      <c r="A16" s="64">
        <v>13843</v>
      </c>
      <c r="B16" s="64" t="s">
        <v>84</v>
      </c>
      <c r="C16" s="80">
        <v>3</v>
      </c>
      <c r="D16" s="65" t="s">
        <v>72</v>
      </c>
      <c r="E16" s="84" t="s">
        <v>113</v>
      </c>
      <c r="F16" s="65">
        <v>357</v>
      </c>
      <c r="G16" s="66">
        <f t="shared" si="9"/>
        <v>1.2307692307692308</v>
      </c>
      <c r="H16" s="63">
        <f t="shared" si="0"/>
        <v>48</v>
      </c>
      <c r="I16" s="65">
        <v>405</v>
      </c>
      <c r="J16" s="66">
        <f t="shared" si="1"/>
        <v>1.4333333333333333</v>
      </c>
      <c r="K16" s="63">
        <f t="shared" si="2"/>
        <v>43</v>
      </c>
      <c r="L16" s="63">
        <f t="shared" si="3"/>
        <v>91</v>
      </c>
      <c r="M16" s="65">
        <v>448</v>
      </c>
      <c r="N16" s="66">
        <f t="shared" si="4"/>
        <v>2.1666666666666665</v>
      </c>
      <c r="O16" s="66">
        <f t="shared" si="5"/>
        <v>13</v>
      </c>
      <c r="P16" s="67">
        <f t="shared" si="6"/>
        <v>104</v>
      </c>
      <c r="Q16" s="65">
        <v>461</v>
      </c>
      <c r="R16" s="66">
        <f t="shared" si="7"/>
        <v>29.131652661064429</v>
      </c>
      <c r="S16" s="68">
        <v>57.84</v>
      </c>
      <c r="T16" s="68">
        <v>60.45</v>
      </c>
      <c r="U16" s="68">
        <v>0</v>
      </c>
      <c r="V16" s="68">
        <v>12</v>
      </c>
      <c r="W16" s="68">
        <v>3</v>
      </c>
      <c r="X16" s="68">
        <v>254.7</v>
      </c>
      <c r="Y16" s="66">
        <f t="shared" si="8"/>
        <v>-44.750542299349242</v>
      </c>
      <c r="Z16" s="68">
        <v>380</v>
      </c>
      <c r="AA16" s="68">
        <v>1</v>
      </c>
      <c r="AB16" s="68">
        <v>10</v>
      </c>
      <c r="AC16" s="68" t="s">
        <v>75</v>
      </c>
      <c r="AD16" s="68">
        <v>1</v>
      </c>
      <c r="AE16" s="68">
        <v>5.4</v>
      </c>
      <c r="AF16" s="68">
        <v>64</v>
      </c>
      <c r="AG16" s="68">
        <v>170</v>
      </c>
      <c r="AH16" s="68">
        <v>85</v>
      </c>
      <c r="AI16" s="68">
        <v>7.1</v>
      </c>
      <c r="AJ16" s="68">
        <v>13</v>
      </c>
      <c r="AK16" s="68" t="s">
        <v>76</v>
      </c>
      <c r="AL16" s="68" t="s">
        <v>68</v>
      </c>
      <c r="AM16" s="69">
        <v>52</v>
      </c>
      <c r="AN16" s="69">
        <v>0</v>
      </c>
      <c r="AO16" s="76">
        <v>1</v>
      </c>
      <c r="AP16" s="69">
        <v>0</v>
      </c>
      <c r="AQ16" s="69"/>
      <c r="AR16" s="70"/>
      <c r="AS16" s="70" t="s">
        <v>70</v>
      </c>
      <c r="AT16" s="70"/>
      <c r="AU16" s="63">
        <v>49</v>
      </c>
      <c r="AV16" s="63" t="s">
        <v>83</v>
      </c>
      <c r="AX16" s="65">
        <v>3</v>
      </c>
      <c r="AY16" s="65" t="s">
        <v>115</v>
      </c>
      <c r="AZ16" s="65">
        <v>5</v>
      </c>
      <c r="BA16" s="65"/>
      <c r="BB16" s="65">
        <v>3</v>
      </c>
      <c r="BC16" s="65">
        <v>124</v>
      </c>
      <c r="BD16" s="65"/>
      <c r="BE16" s="65">
        <v>3</v>
      </c>
      <c r="BF16" s="65">
        <v>1</v>
      </c>
    </row>
    <row r="17" spans="1:58" x14ac:dyDescent="0.3">
      <c r="A17" s="64">
        <v>13879</v>
      </c>
      <c r="B17" s="65" t="s">
        <v>62</v>
      </c>
      <c r="C17" s="78">
        <v>1</v>
      </c>
      <c r="D17" s="65" t="s">
        <v>57</v>
      </c>
      <c r="E17" s="85" t="s">
        <v>64</v>
      </c>
      <c r="F17" s="65">
        <v>386</v>
      </c>
      <c r="G17" s="66">
        <f t="shared" si="9"/>
        <v>1.5128205128205128</v>
      </c>
      <c r="H17" s="63">
        <f t="shared" si="0"/>
        <v>59</v>
      </c>
      <c r="I17" s="65">
        <v>445</v>
      </c>
      <c r="J17" s="66">
        <f t="shared" si="1"/>
        <v>1.3</v>
      </c>
      <c r="K17" s="63">
        <f t="shared" si="2"/>
        <v>39</v>
      </c>
      <c r="L17" s="63">
        <f t="shared" si="3"/>
        <v>98</v>
      </c>
      <c r="M17" s="65">
        <v>484</v>
      </c>
      <c r="N17" s="66">
        <f t="shared" si="4"/>
        <v>2.1666666666666665</v>
      </c>
      <c r="O17" s="66">
        <f t="shared" si="5"/>
        <v>13</v>
      </c>
      <c r="P17" s="67">
        <f t="shared" si="6"/>
        <v>111</v>
      </c>
      <c r="Q17" s="65">
        <v>497</v>
      </c>
      <c r="R17" s="66">
        <f t="shared" si="7"/>
        <v>28.756476683937827</v>
      </c>
      <c r="S17" s="68">
        <v>57.08</v>
      </c>
      <c r="T17" s="68">
        <v>59.69</v>
      </c>
      <c r="U17" s="68">
        <v>0</v>
      </c>
      <c r="V17" s="68">
        <v>15</v>
      </c>
      <c r="W17" s="68">
        <v>4</v>
      </c>
      <c r="X17" s="68">
        <v>224.1</v>
      </c>
      <c r="Y17" s="66">
        <f t="shared" si="8"/>
        <v>-54.90945674044265</v>
      </c>
      <c r="Z17" s="68">
        <v>350</v>
      </c>
      <c r="AA17" s="68">
        <v>1</v>
      </c>
      <c r="AB17" s="68">
        <v>15</v>
      </c>
      <c r="AC17" s="68" t="s">
        <v>75</v>
      </c>
      <c r="AD17" s="68">
        <v>1</v>
      </c>
      <c r="AE17" s="68">
        <v>5.33</v>
      </c>
      <c r="AF17" s="68">
        <v>66</v>
      </c>
      <c r="AG17" s="68">
        <v>170</v>
      </c>
      <c r="AH17" s="68">
        <v>85</v>
      </c>
      <c r="AI17" s="68">
        <v>7.2</v>
      </c>
      <c r="AJ17" s="68">
        <v>13</v>
      </c>
      <c r="AK17" s="68" t="s">
        <v>76</v>
      </c>
      <c r="AL17" s="68" t="s">
        <v>68</v>
      </c>
      <c r="AM17" s="69">
        <v>13</v>
      </c>
      <c r="AN17" s="69">
        <v>0</v>
      </c>
      <c r="AO17" s="69">
        <v>0</v>
      </c>
      <c r="AP17" s="69">
        <v>0</v>
      </c>
      <c r="AQ17" s="76" t="s">
        <v>105</v>
      </c>
      <c r="AR17" s="77" t="s">
        <v>112</v>
      </c>
      <c r="AS17" s="70" t="s">
        <v>83</v>
      </c>
      <c r="AT17" s="70"/>
      <c r="AU17" s="63">
        <v>115</v>
      </c>
      <c r="AV17" s="63" t="s">
        <v>70</v>
      </c>
      <c r="AX17" s="65">
        <v>1</v>
      </c>
      <c r="AY17" s="65" t="s">
        <v>95</v>
      </c>
      <c r="AZ17" s="65">
        <v>12</v>
      </c>
      <c r="BA17" s="65"/>
      <c r="BB17" s="65">
        <v>2</v>
      </c>
      <c r="BC17" s="65">
        <v>118</v>
      </c>
      <c r="BD17" s="65"/>
      <c r="BE17" s="65">
        <v>4</v>
      </c>
      <c r="BF17" s="65">
        <v>2</v>
      </c>
    </row>
    <row r="18" spans="1:58" x14ac:dyDescent="0.3">
      <c r="A18" s="64">
        <v>13860</v>
      </c>
      <c r="B18" s="64" t="s">
        <v>84</v>
      </c>
      <c r="C18" s="80">
        <v>3</v>
      </c>
      <c r="D18" s="65" t="s">
        <v>72</v>
      </c>
      <c r="E18" s="85" t="s">
        <v>64</v>
      </c>
      <c r="F18" s="65">
        <v>373</v>
      </c>
      <c r="G18" s="66">
        <f t="shared" si="9"/>
        <v>0.84615384615384615</v>
      </c>
      <c r="H18" s="63">
        <f t="shared" si="0"/>
        <v>33</v>
      </c>
      <c r="I18" s="65">
        <v>406</v>
      </c>
      <c r="J18" s="66">
        <f t="shared" si="1"/>
        <v>2.1</v>
      </c>
      <c r="K18" s="63">
        <f t="shared" si="2"/>
        <v>63</v>
      </c>
      <c r="L18" s="63">
        <f t="shared" si="3"/>
        <v>96</v>
      </c>
      <c r="M18" s="65">
        <v>469</v>
      </c>
      <c r="N18" s="66">
        <f t="shared" si="4"/>
        <v>1.6666666666666667</v>
      </c>
      <c r="O18" s="66">
        <f t="shared" si="5"/>
        <v>10</v>
      </c>
      <c r="P18" s="67">
        <f t="shared" si="6"/>
        <v>106</v>
      </c>
      <c r="Q18" s="65">
        <v>479</v>
      </c>
      <c r="R18" s="66">
        <f t="shared" si="7"/>
        <v>28.418230563002684</v>
      </c>
      <c r="S18" s="68">
        <v>58.79</v>
      </c>
      <c r="T18" s="68">
        <v>61.4</v>
      </c>
      <c r="U18" s="68">
        <v>0</v>
      </c>
      <c r="V18" s="68">
        <v>7</v>
      </c>
      <c r="W18" s="68">
        <v>3</v>
      </c>
      <c r="X18" s="68">
        <v>263.89999999999998</v>
      </c>
      <c r="Y18" s="66">
        <f t="shared" si="8"/>
        <v>-44.906054279749483</v>
      </c>
      <c r="Z18" s="68">
        <v>300</v>
      </c>
      <c r="AA18" s="68">
        <v>1</v>
      </c>
      <c r="AB18" s="68">
        <v>7</v>
      </c>
      <c r="AC18" s="68" t="s">
        <v>75</v>
      </c>
      <c r="AD18" s="68">
        <v>0</v>
      </c>
      <c r="AE18" s="68">
        <v>5.43</v>
      </c>
      <c r="AF18" s="68">
        <v>70</v>
      </c>
      <c r="AG18" s="68">
        <v>130</v>
      </c>
      <c r="AH18" s="68">
        <v>85</v>
      </c>
      <c r="AI18" s="68">
        <v>7</v>
      </c>
      <c r="AJ18" s="68">
        <v>13</v>
      </c>
      <c r="AK18" s="68" t="s">
        <v>76</v>
      </c>
      <c r="AL18" s="68" t="s">
        <v>68</v>
      </c>
      <c r="AM18" s="69">
        <v>7</v>
      </c>
      <c r="AN18" s="76" t="s">
        <v>105</v>
      </c>
      <c r="AO18" s="69">
        <v>0</v>
      </c>
      <c r="AP18" s="69">
        <v>0</v>
      </c>
      <c r="AQ18" s="69"/>
      <c r="AR18" s="70"/>
      <c r="AS18" s="70" t="s">
        <v>106</v>
      </c>
      <c r="AT18" s="70"/>
      <c r="AU18" s="63">
        <v>100</v>
      </c>
      <c r="AV18" s="63" t="s">
        <v>70</v>
      </c>
      <c r="AX18" s="65">
        <v>3</v>
      </c>
      <c r="AY18" s="65" t="s">
        <v>87</v>
      </c>
      <c r="AZ18" s="65">
        <v>10</v>
      </c>
      <c r="BA18" s="65"/>
      <c r="BB18" s="65">
        <v>1</v>
      </c>
      <c r="BC18" s="65">
        <v>122</v>
      </c>
      <c r="BD18" s="65"/>
      <c r="BE18" s="65">
        <v>2.25</v>
      </c>
      <c r="BF18" s="65">
        <v>1</v>
      </c>
    </row>
    <row r="19" spans="1:58" x14ac:dyDescent="0.3">
      <c r="A19" s="64">
        <v>13868</v>
      </c>
      <c r="B19" s="64" t="s">
        <v>84</v>
      </c>
      <c r="C19" s="80">
        <v>3</v>
      </c>
      <c r="D19" s="65" t="s">
        <v>72</v>
      </c>
      <c r="E19" s="85" t="s">
        <v>64</v>
      </c>
      <c r="F19" s="65">
        <v>391</v>
      </c>
      <c r="G19" s="66">
        <f t="shared" si="9"/>
        <v>1.4102564102564104</v>
      </c>
      <c r="H19" s="63">
        <f t="shared" si="0"/>
        <v>55</v>
      </c>
      <c r="I19" s="65">
        <v>446</v>
      </c>
      <c r="J19" s="66">
        <f t="shared" si="1"/>
        <v>1.3666666666666667</v>
      </c>
      <c r="K19" s="63">
        <f t="shared" si="2"/>
        <v>41</v>
      </c>
      <c r="L19" s="63">
        <f t="shared" si="3"/>
        <v>96</v>
      </c>
      <c r="M19" s="65">
        <v>487</v>
      </c>
      <c r="N19" s="66">
        <f t="shared" si="4"/>
        <v>2.3333333333333335</v>
      </c>
      <c r="O19" s="66">
        <f t="shared" si="5"/>
        <v>14</v>
      </c>
      <c r="P19" s="67">
        <f t="shared" si="6"/>
        <v>110</v>
      </c>
      <c r="Q19" s="65">
        <v>501</v>
      </c>
      <c r="R19" s="66">
        <f t="shared" si="7"/>
        <v>28.132992327365731</v>
      </c>
      <c r="S19" s="68">
        <v>54</v>
      </c>
      <c r="T19" s="68">
        <v>56.61</v>
      </c>
      <c r="U19" s="68">
        <v>0</v>
      </c>
      <c r="V19" s="68">
        <v>8</v>
      </c>
      <c r="W19" s="68">
        <v>3</v>
      </c>
      <c r="X19" s="68">
        <v>246</v>
      </c>
      <c r="Y19" s="66">
        <f t="shared" si="8"/>
        <v>-50.898203592814376</v>
      </c>
      <c r="Z19" s="68">
        <v>350</v>
      </c>
      <c r="AA19" s="68">
        <v>1</v>
      </c>
      <c r="AB19" s="68">
        <v>6</v>
      </c>
      <c r="AC19" s="68" t="s">
        <v>75</v>
      </c>
      <c r="AD19" s="68">
        <v>0</v>
      </c>
      <c r="AE19" s="68">
        <v>5.5</v>
      </c>
      <c r="AF19" s="68">
        <v>60</v>
      </c>
      <c r="AG19" s="68">
        <v>190</v>
      </c>
      <c r="AH19" s="68">
        <v>95</v>
      </c>
      <c r="AI19" s="68">
        <v>9.1</v>
      </c>
      <c r="AJ19" s="68">
        <v>13</v>
      </c>
      <c r="AK19" s="68" t="s">
        <v>101</v>
      </c>
      <c r="AL19" s="68" t="s">
        <v>68</v>
      </c>
      <c r="AU19" s="63">
        <v>10</v>
      </c>
      <c r="AV19" s="63" t="s">
        <v>83</v>
      </c>
      <c r="AX19" s="65">
        <v>1</v>
      </c>
      <c r="AY19" s="65" t="s">
        <v>95</v>
      </c>
      <c r="AZ19" s="65">
        <v>12</v>
      </c>
      <c r="BA19" s="65"/>
      <c r="BB19" s="65">
        <v>2</v>
      </c>
      <c r="BC19" s="65">
        <v>126</v>
      </c>
      <c r="BD19" s="65"/>
      <c r="BE19" s="65">
        <v>3.75</v>
      </c>
      <c r="BF19" s="65">
        <v>1</v>
      </c>
    </row>
    <row r="20" spans="1:58" x14ac:dyDescent="0.3">
      <c r="A20" s="64">
        <v>13915</v>
      </c>
      <c r="B20" s="65" t="s">
        <v>78</v>
      </c>
      <c r="C20" s="81">
        <v>4</v>
      </c>
      <c r="D20" s="65" t="s">
        <v>57</v>
      </c>
      <c r="E20" s="65" t="s">
        <v>79</v>
      </c>
      <c r="F20" s="65">
        <v>413</v>
      </c>
      <c r="G20" s="66">
        <f t="shared" si="9"/>
        <v>1.3846153846153846</v>
      </c>
      <c r="H20" s="63">
        <f t="shared" si="0"/>
        <v>54</v>
      </c>
      <c r="I20" s="65">
        <v>467</v>
      </c>
      <c r="J20" s="66">
        <f t="shared" si="1"/>
        <v>1.6333333333333333</v>
      </c>
      <c r="K20" s="63">
        <f t="shared" si="2"/>
        <v>49</v>
      </c>
      <c r="L20" s="63">
        <f t="shared" si="3"/>
        <v>103</v>
      </c>
      <c r="M20" s="65">
        <v>516</v>
      </c>
      <c r="N20" s="66">
        <f t="shared" si="4"/>
        <v>2.1666666666666665</v>
      </c>
      <c r="O20" s="66">
        <f t="shared" si="5"/>
        <v>13</v>
      </c>
      <c r="P20" s="67">
        <f t="shared" si="6"/>
        <v>116</v>
      </c>
      <c r="Q20" s="65">
        <v>529</v>
      </c>
      <c r="R20" s="66">
        <f t="shared" si="7"/>
        <v>28.087167070217916</v>
      </c>
      <c r="S20" s="68">
        <v>57.35</v>
      </c>
      <c r="T20" s="68">
        <v>59.96</v>
      </c>
      <c r="U20" s="68">
        <v>0</v>
      </c>
      <c r="V20" s="68">
        <v>7</v>
      </c>
      <c r="W20" s="68">
        <v>3</v>
      </c>
      <c r="X20" s="68">
        <v>242.9</v>
      </c>
      <c r="Y20" s="66">
        <f t="shared" si="8"/>
        <v>-54.083175803402654</v>
      </c>
      <c r="Z20" s="68">
        <v>300</v>
      </c>
      <c r="AA20" s="68">
        <v>1</v>
      </c>
      <c r="AB20" s="68">
        <v>6</v>
      </c>
      <c r="AC20" s="68" t="s">
        <v>66</v>
      </c>
      <c r="AD20" s="68">
        <v>1</v>
      </c>
      <c r="AE20" s="68">
        <v>5.41</v>
      </c>
      <c r="AF20" s="68">
        <v>61</v>
      </c>
      <c r="AG20" s="68">
        <v>120</v>
      </c>
      <c r="AH20" s="68">
        <v>100</v>
      </c>
      <c r="AI20" s="68">
        <v>7.2</v>
      </c>
      <c r="AJ20" s="68">
        <v>13</v>
      </c>
      <c r="AK20" s="68" t="s">
        <v>76</v>
      </c>
      <c r="AL20" s="68" t="s">
        <v>68</v>
      </c>
      <c r="AM20" s="69">
        <v>36</v>
      </c>
      <c r="AN20" s="69">
        <v>0</v>
      </c>
      <c r="AO20" s="69">
        <v>0</v>
      </c>
      <c r="AP20" s="69">
        <v>0</v>
      </c>
      <c r="AQ20" s="69"/>
      <c r="AR20" s="70"/>
      <c r="AS20" s="70" t="s">
        <v>70</v>
      </c>
      <c r="AT20" s="70"/>
      <c r="AU20" s="63">
        <v>105</v>
      </c>
      <c r="AV20" s="63" t="s">
        <v>70</v>
      </c>
      <c r="AX20" s="65">
        <v>2</v>
      </c>
      <c r="AY20" s="65" t="s">
        <v>95</v>
      </c>
      <c r="AZ20" s="65">
        <v>12</v>
      </c>
      <c r="BA20" s="65"/>
      <c r="BB20" s="65">
        <v>1</v>
      </c>
      <c r="BC20" s="65">
        <v>131</v>
      </c>
      <c r="BD20" s="65"/>
      <c r="BE20" s="65">
        <v>3</v>
      </c>
      <c r="BF20" s="65">
        <v>1</v>
      </c>
    </row>
    <row r="21" spans="1:58" x14ac:dyDescent="0.3">
      <c r="A21" s="64">
        <v>13890</v>
      </c>
      <c r="B21" s="65" t="s">
        <v>62</v>
      </c>
      <c r="C21" s="78">
        <v>1</v>
      </c>
      <c r="D21" s="65" t="s">
        <v>57</v>
      </c>
      <c r="E21" s="82" t="s">
        <v>73</v>
      </c>
      <c r="F21" s="65">
        <v>365</v>
      </c>
      <c r="G21" s="66">
        <f t="shared" si="9"/>
        <v>1.3333333333333333</v>
      </c>
      <c r="H21" s="63">
        <f t="shared" si="0"/>
        <v>52</v>
      </c>
      <c r="I21" s="65">
        <v>417</v>
      </c>
      <c r="J21" s="66">
        <f t="shared" si="1"/>
        <v>1.2666666666666666</v>
      </c>
      <c r="K21" s="63">
        <f t="shared" si="2"/>
        <v>38</v>
      </c>
      <c r="L21" s="63">
        <f t="shared" si="3"/>
        <v>90</v>
      </c>
      <c r="M21" s="65">
        <v>455</v>
      </c>
      <c r="N21" s="66">
        <f t="shared" si="4"/>
        <v>2</v>
      </c>
      <c r="O21" s="66">
        <f t="shared" si="5"/>
        <v>12</v>
      </c>
      <c r="P21" s="67">
        <f t="shared" si="6"/>
        <v>102</v>
      </c>
      <c r="Q21" s="65">
        <v>467</v>
      </c>
      <c r="R21" s="66">
        <f t="shared" si="7"/>
        <v>27.945205479452056</v>
      </c>
      <c r="S21" s="68">
        <v>58.03</v>
      </c>
      <c r="T21" s="68">
        <v>60.64</v>
      </c>
      <c r="U21" s="68">
        <v>0</v>
      </c>
      <c r="V21" s="68">
        <v>12</v>
      </c>
      <c r="W21" s="68">
        <v>3</v>
      </c>
      <c r="X21" s="68">
        <v>273.5</v>
      </c>
      <c r="Y21" s="66">
        <f t="shared" si="8"/>
        <v>-41.434689507494646</v>
      </c>
      <c r="Z21" s="68">
        <v>300</v>
      </c>
      <c r="AA21" s="68">
        <v>1</v>
      </c>
      <c r="AB21" s="68">
        <v>10</v>
      </c>
      <c r="AC21" s="68" t="s">
        <v>75</v>
      </c>
      <c r="AD21" s="68">
        <v>1</v>
      </c>
      <c r="AE21" s="68">
        <v>5.41</v>
      </c>
      <c r="AF21" s="68">
        <v>79</v>
      </c>
      <c r="AG21" s="68">
        <v>130</v>
      </c>
      <c r="AH21" s="68">
        <v>95</v>
      </c>
      <c r="AI21" s="68">
        <v>6.8</v>
      </c>
      <c r="AJ21" s="68">
        <v>13</v>
      </c>
      <c r="AK21" s="68" t="s">
        <v>76</v>
      </c>
      <c r="AL21" s="68" t="s">
        <v>68</v>
      </c>
      <c r="AM21" s="69">
        <v>100</v>
      </c>
      <c r="AN21" s="69">
        <v>0</v>
      </c>
      <c r="AO21" s="69">
        <v>0</v>
      </c>
      <c r="AP21" s="69">
        <v>0</v>
      </c>
      <c r="AQ21" s="69"/>
      <c r="AR21" s="70"/>
      <c r="AS21" s="70" t="s">
        <v>83</v>
      </c>
      <c r="AT21" s="70"/>
      <c r="AU21" s="63">
        <v>103</v>
      </c>
      <c r="AV21" s="63" t="s">
        <v>70</v>
      </c>
      <c r="AX21" s="65">
        <v>2</v>
      </c>
      <c r="AY21" s="65" t="s">
        <v>95</v>
      </c>
      <c r="AZ21" s="65">
        <v>12</v>
      </c>
      <c r="BA21" s="65"/>
      <c r="BB21" s="65">
        <v>2</v>
      </c>
      <c r="BC21" s="65">
        <v>122</v>
      </c>
      <c r="BD21" s="65"/>
      <c r="BE21" s="65">
        <v>3.75</v>
      </c>
      <c r="BF21" s="65">
        <v>2</v>
      </c>
    </row>
    <row r="22" spans="1:58" x14ac:dyDescent="0.3">
      <c r="A22" s="64">
        <v>13846</v>
      </c>
      <c r="B22" s="64" t="s">
        <v>84</v>
      </c>
      <c r="C22" s="80">
        <v>3</v>
      </c>
      <c r="D22" s="65" t="s">
        <v>72</v>
      </c>
      <c r="E22" s="65" t="s">
        <v>110</v>
      </c>
      <c r="F22" s="65">
        <v>394</v>
      </c>
      <c r="G22" s="66">
        <f t="shared" si="9"/>
        <v>1.6153846153846154</v>
      </c>
      <c r="H22" s="63">
        <f t="shared" si="0"/>
        <v>63</v>
      </c>
      <c r="I22" s="65">
        <v>457</v>
      </c>
      <c r="J22" s="66">
        <f t="shared" si="1"/>
        <v>1.0666666666666667</v>
      </c>
      <c r="K22" s="63">
        <f t="shared" si="2"/>
        <v>32</v>
      </c>
      <c r="L22" s="63">
        <f t="shared" si="3"/>
        <v>95</v>
      </c>
      <c r="M22" s="65">
        <v>489</v>
      </c>
      <c r="N22" s="66">
        <f t="shared" si="4"/>
        <v>2.3333333333333335</v>
      </c>
      <c r="O22" s="66">
        <f t="shared" si="5"/>
        <v>14</v>
      </c>
      <c r="P22" s="67">
        <f t="shared" si="6"/>
        <v>109</v>
      </c>
      <c r="Q22" s="65">
        <v>503</v>
      </c>
      <c r="R22" s="66">
        <f t="shared" si="7"/>
        <v>27.664974619289339</v>
      </c>
      <c r="S22" s="68">
        <v>60.64</v>
      </c>
      <c r="T22" s="68">
        <v>63.25</v>
      </c>
      <c r="U22" s="68">
        <v>0</v>
      </c>
      <c r="V22" s="68">
        <v>8</v>
      </c>
      <c r="W22" s="68">
        <v>3</v>
      </c>
      <c r="X22" s="68">
        <v>227.2</v>
      </c>
      <c r="Y22" s="66">
        <f t="shared" si="8"/>
        <v>-54.831013916500993</v>
      </c>
      <c r="Z22" s="68">
        <v>300</v>
      </c>
      <c r="AA22" s="68">
        <v>1</v>
      </c>
      <c r="AB22" s="68">
        <v>8</v>
      </c>
      <c r="AC22" s="68" t="s">
        <v>66</v>
      </c>
      <c r="AD22" s="68">
        <v>0</v>
      </c>
      <c r="AE22" s="68">
        <v>5.36</v>
      </c>
      <c r="AF22" s="68">
        <v>71</v>
      </c>
      <c r="AG22" s="68">
        <v>140</v>
      </c>
      <c r="AH22" s="68">
        <v>65</v>
      </c>
      <c r="AI22" s="68">
        <v>6.5</v>
      </c>
      <c r="AJ22" s="68">
        <v>13</v>
      </c>
      <c r="AK22" s="68" t="s">
        <v>76</v>
      </c>
      <c r="AL22" s="68" t="s">
        <v>68</v>
      </c>
      <c r="AM22" s="69">
        <v>99</v>
      </c>
      <c r="AN22" s="69">
        <v>0</v>
      </c>
      <c r="AO22" s="69">
        <v>0</v>
      </c>
      <c r="AP22" s="69">
        <v>0</v>
      </c>
      <c r="AQ22" s="69"/>
      <c r="AR22" s="70"/>
      <c r="AS22" s="70" t="s">
        <v>70</v>
      </c>
      <c r="AT22" s="70"/>
      <c r="AU22" s="63">
        <v>107</v>
      </c>
      <c r="AV22" s="63" t="s">
        <v>70</v>
      </c>
      <c r="AX22" s="65">
        <v>3</v>
      </c>
      <c r="AY22" s="65" t="s">
        <v>87</v>
      </c>
      <c r="AZ22" s="65">
        <v>10</v>
      </c>
      <c r="BA22" s="65"/>
      <c r="BB22" s="65">
        <v>3</v>
      </c>
      <c r="BC22" s="65">
        <v>124</v>
      </c>
      <c r="BD22" s="65"/>
      <c r="BE22" s="65">
        <v>3</v>
      </c>
      <c r="BF22" s="65">
        <v>1</v>
      </c>
    </row>
    <row r="23" spans="1:58" x14ac:dyDescent="0.3">
      <c r="A23" s="64">
        <v>13888</v>
      </c>
      <c r="B23" s="65" t="s">
        <v>62</v>
      </c>
      <c r="C23" s="78">
        <v>1</v>
      </c>
      <c r="D23" s="65" t="s">
        <v>57</v>
      </c>
      <c r="E23" s="85" t="s">
        <v>64</v>
      </c>
      <c r="F23" s="65">
        <v>351</v>
      </c>
      <c r="G23" s="66">
        <f t="shared" si="9"/>
        <v>1.4615384615384615</v>
      </c>
      <c r="H23" s="63">
        <f t="shared" si="0"/>
        <v>57</v>
      </c>
      <c r="I23" s="65">
        <v>408</v>
      </c>
      <c r="J23" s="66">
        <f t="shared" si="1"/>
        <v>0.8666666666666667</v>
      </c>
      <c r="K23" s="63">
        <f t="shared" si="2"/>
        <v>26</v>
      </c>
      <c r="L23" s="63">
        <f t="shared" si="3"/>
        <v>83</v>
      </c>
      <c r="M23" s="65">
        <v>434</v>
      </c>
      <c r="N23" s="66">
        <f t="shared" si="4"/>
        <v>2</v>
      </c>
      <c r="O23" s="66">
        <f t="shared" si="5"/>
        <v>12</v>
      </c>
      <c r="P23" s="67">
        <f t="shared" si="6"/>
        <v>95</v>
      </c>
      <c r="Q23" s="65">
        <v>446</v>
      </c>
      <c r="R23" s="66">
        <f t="shared" si="7"/>
        <v>27.065527065527068</v>
      </c>
      <c r="S23" s="68">
        <v>58.97</v>
      </c>
      <c r="T23" s="68">
        <v>61.58</v>
      </c>
      <c r="U23" s="68">
        <v>0</v>
      </c>
      <c r="V23" s="68">
        <v>5</v>
      </c>
      <c r="W23" s="68">
        <v>2</v>
      </c>
      <c r="X23" s="68">
        <v>226.4</v>
      </c>
      <c r="Y23" s="66">
        <f t="shared" si="8"/>
        <v>-49.237668161434975</v>
      </c>
      <c r="Z23" s="68">
        <v>330</v>
      </c>
      <c r="AA23" s="68">
        <v>1</v>
      </c>
      <c r="AB23" s="68">
        <v>5</v>
      </c>
      <c r="AC23" s="68" t="s">
        <v>75</v>
      </c>
      <c r="AD23" s="68">
        <v>0</v>
      </c>
      <c r="AE23" s="68">
        <v>5.37</v>
      </c>
      <c r="AF23" s="68">
        <v>69</v>
      </c>
      <c r="AG23" s="68">
        <v>130</v>
      </c>
      <c r="AH23" s="68">
        <v>80</v>
      </c>
      <c r="AI23" s="68">
        <v>7.1</v>
      </c>
      <c r="AJ23" s="68">
        <v>13</v>
      </c>
      <c r="AK23" s="68" t="s">
        <v>76</v>
      </c>
      <c r="AL23" s="68" t="s">
        <v>68</v>
      </c>
      <c r="AM23" s="69">
        <v>107</v>
      </c>
      <c r="AN23" s="69">
        <v>0</v>
      </c>
      <c r="AO23" s="69">
        <v>0</v>
      </c>
      <c r="AP23" s="69">
        <v>0</v>
      </c>
      <c r="AQ23" s="69"/>
      <c r="AR23" s="70"/>
      <c r="AS23" s="70" t="s">
        <v>70</v>
      </c>
      <c r="AT23" s="70"/>
      <c r="AU23" s="63">
        <v>61</v>
      </c>
      <c r="AV23" s="63" t="s">
        <v>70</v>
      </c>
      <c r="AX23" s="65">
        <v>4</v>
      </c>
      <c r="AY23" s="65" t="s">
        <v>95</v>
      </c>
      <c r="AZ23" s="65">
        <v>12</v>
      </c>
      <c r="BA23" s="65"/>
      <c r="BB23" s="65">
        <v>2</v>
      </c>
      <c r="BC23" s="65">
        <v>117</v>
      </c>
      <c r="BD23" s="65"/>
      <c r="BE23" s="65">
        <v>3.5</v>
      </c>
      <c r="BF23" s="65">
        <v>1</v>
      </c>
    </row>
    <row r="24" spans="1:58" x14ac:dyDescent="0.3">
      <c r="A24" s="64">
        <v>13866</v>
      </c>
      <c r="B24" s="64" t="s">
        <v>84</v>
      </c>
      <c r="C24" s="80">
        <v>3</v>
      </c>
      <c r="D24" s="65" t="s">
        <v>72</v>
      </c>
      <c r="E24" s="83" t="s">
        <v>88</v>
      </c>
      <c r="F24" s="65">
        <v>414</v>
      </c>
      <c r="G24" s="66">
        <f t="shared" si="9"/>
        <v>1.0769230769230769</v>
      </c>
      <c r="H24" s="63">
        <f t="shared" si="0"/>
        <v>42</v>
      </c>
      <c r="I24" s="65">
        <v>456</v>
      </c>
      <c r="J24" s="66">
        <f t="shared" si="1"/>
        <v>1.8</v>
      </c>
      <c r="K24" s="63">
        <f t="shared" si="2"/>
        <v>54</v>
      </c>
      <c r="L24" s="63">
        <f t="shared" si="3"/>
        <v>96</v>
      </c>
      <c r="M24" s="65">
        <v>510</v>
      </c>
      <c r="N24" s="66">
        <f t="shared" si="4"/>
        <v>2.3333333333333335</v>
      </c>
      <c r="O24" s="66">
        <f t="shared" si="5"/>
        <v>14</v>
      </c>
      <c r="P24" s="67">
        <f t="shared" si="6"/>
        <v>110</v>
      </c>
      <c r="Q24" s="65">
        <v>524</v>
      </c>
      <c r="R24" s="66">
        <f t="shared" si="7"/>
        <v>26.570048309178745</v>
      </c>
      <c r="S24" s="68">
        <v>60.18</v>
      </c>
      <c r="T24" s="68">
        <v>62.79</v>
      </c>
      <c r="U24" s="68">
        <v>0</v>
      </c>
      <c r="V24" s="68">
        <v>9</v>
      </c>
      <c r="W24" s="68">
        <v>3</v>
      </c>
      <c r="X24" s="68">
        <v>246</v>
      </c>
      <c r="Y24" s="66">
        <f t="shared" si="8"/>
        <v>-53.05343511450382</v>
      </c>
      <c r="Z24" s="68">
        <v>360</v>
      </c>
      <c r="AA24" s="68">
        <v>1</v>
      </c>
      <c r="AB24" s="68">
        <v>9</v>
      </c>
      <c r="AC24" s="68" t="s">
        <v>75</v>
      </c>
      <c r="AD24" s="68">
        <v>0</v>
      </c>
      <c r="AE24" s="68">
        <v>5.4</v>
      </c>
      <c r="AF24" s="68">
        <v>73</v>
      </c>
      <c r="AG24" s="68">
        <v>120</v>
      </c>
      <c r="AH24" s="68">
        <v>95</v>
      </c>
      <c r="AI24" s="68">
        <v>6.8</v>
      </c>
      <c r="AJ24" s="68">
        <v>13</v>
      </c>
      <c r="AK24" s="68" t="s">
        <v>76</v>
      </c>
      <c r="AL24" s="68" t="s">
        <v>68</v>
      </c>
      <c r="AM24" s="69">
        <v>87</v>
      </c>
      <c r="AN24" s="69">
        <v>0</v>
      </c>
      <c r="AO24" s="69">
        <v>0</v>
      </c>
      <c r="AP24" s="69">
        <v>0</v>
      </c>
      <c r="AQ24" s="69"/>
      <c r="AR24" s="70"/>
      <c r="AS24" s="70" t="s">
        <v>70</v>
      </c>
      <c r="AT24" s="70"/>
      <c r="AU24" s="63">
        <v>30</v>
      </c>
      <c r="AV24" s="63" t="s">
        <v>70</v>
      </c>
      <c r="AX24" s="65">
        <v>1</v>
      </c>
      <c r="AY24" s="65" t="s">
        <v>109</v>
      </c>
      <c r="AZ24" s="65">
        <v>7</v>
      </c>
      <c r="BA24" s="65"/>
      <c r="BB24" s="65">
        <v>2</v>
      </c>
      <c r="BC24" s="65">
        <v>119</v>
      </c>
      <c r="BD24" s="65"/>
      <c r="BE24" s="65">
        <v>3.5</v>
      </c>
      <c r="BF24" s="65">
        <v>1</v>
      </c>
    </row>
    <row r="25" spans="1:58" x14ac:dyDescent="0.3">
      <c r="A25" s="64">
        <v>13861</v>
      </c>
      <c r="B25" s="64" t="s">
        <v>84</v>
      </c>
      <c r="C25" s="80">
        <v>3</v>
      </c>
      <c r="D25" s="65" t="s">
        <v>72</v>
      </c>
      <c r="E25" s="85" t="s">
        <v>64</v>
      </c>
      <c r="F25" s="65">
        <v>394</v>
      </c>
      <c r="G25" s="66">
        <f t="shared" si="9"/>
        <v>1.358974358974359</v>
      </c>
      <c r="H25" s="63">
        <f t="shared" si="0"/>
        <v>53</v>
      </c>
      <c r="I25" s="65">
        <v>447</v>
      </c>
      <c r="J25" s="66">
        <f t="shared" si="1"/>
        <v>1.2333333333333334</v>
      </c>
      <c r="K25" s="63">
        <f t="shared" si="2"/>
        <v>37</v>
      </c>
      <c r="L25" s="63">
        <f t="shared" si="3"/>
        <v>90</v>
      </c>
      <c r="M25" s="65">
        <v>484</v>
      </c>
      <c r="N25" s="66">
        <f t="shared" si="4"/>
        <v>2.3333333333333335</v>
      </c>
      <c r="O25" s="66">
        <f t="shared" si="5"/>
        <v>14</v>
      </c>
      <c r="P25" s="67">
        <f t="shared" si="6"/>
        <v>104</v>
      </c>
      <c r="Q25" s="65">
        <v>498</v>
      </c>
      <c r="R25" s="66">
        <f t="shared" si="7"/>
        <v>26.395939086294419</v>
      </c>
      <c r="S25" s="68">
        <v>61.21</v>
      </c>
      <c r="T25" s="68">
        <v>63.82</v>
      </c>
      <c r="U25" s="68">
        <v>0</v>
      </c>
      <c r="V25" s="68">
        <v>5</v>
      </c>
      <c r="W25" s="68">
        <v>2</v>
      </c>
      <c r="X25" s="68">
        <v>281.3</v>
      </c>
      <c r="Y25" s="66">
        <f t="shared" si="8"/>
        <v>-43.514056224899598</v>
      </c>
      <c r="Z25" s="68">
        <v>350</v>
      </c>
      <c r="AA25" s="68">
        <v>1</v>
      </c>
      <c r="AB25" s="68">
        <v>5</v>
      </c>
      <c r="AC25" s="68" t="s">
        <v>75</v>
      </c>
      <c r="AD25" s="68">
        <v>0</v>
      </c>
      <c r="AE25" s="68">
        <v>5.37</v>
      </c>
      <c r="AF25" s="68">
        <v>84</v>
      </c>
      <c r="AG25" s="68">
        <v>120</v>
      </c>
      <c r="AH25" s="68">
        <v>85</v>
      </c>
      <c r="AI25" s="68">
        <v>7.2</v>
      </c>
      <c r="AJ25" s="68">
        <v>13</v>
      </c>
      <c r="AK25" s="68" t="s">
        <v>76</v>
      </c>
      <c r="AL25" s="68" t="s">
        <v>68</v>
      </c>
      <c r="AM25" s="69">
        <v>35</v>
      </c>
      <c r="AN25" s="69">
        <v>0</v>
      </c>
      <c r="AO25" s="69">
        <v>0</v>
      </c>
      <c r="AP25" s="69">
        <v>0</v>
      </c>
      <c r="AQ25" s="69"/>
      <c r="AR25" s="77" t="s">
        <v>108</v>
      </c>
      <c r="AS25" s="70" t="s">
        <v>83</v>
      </c>
      <c r="AT25" s="70"/>
      <c r="AU25" s="63">
        <v>76</v>
      </c>
      <c r="AV25" s="63" t="s">
        <v>70</v>
      </c>
      <c r="AX25" s="65">
        <v>1</v>
      </c>
      <c r="AY25" s="65" t="s">
        <v>87</v>
      </c>
      <c r="AZ25" s="65">
        <v>10</v>
      </c>
      <c r="BA25" s="65"/>
      <c r="BB25" s="65">
        <v>3</v>
      </c>
      <c r="BC25" s="65">
        <v>130</v>
      </c>
      <c r="BD25" s="65"/>
      <c r="BE25" s="65">
        <v>2.75</v>
      </c>
      <c r="BF25" s="65">
        <v>1</v>
      </c>
    </row>
    <row r="26" spans="1:58" x14ac:dyDescent="0.3">
      <c r="A26" s="64">
        <v>13884</v>
      </c>
      <c r="B26" s="65" t="s">
        <v>62</v>
      </c>
      <c r="C26" s="78">
        <v>1</v>
      </c>
      <c r="D26" s="65" t="s">
        <v>57</v>
      </c>
      <c r="E26" s="85" t="s">
        <v>64</v>
      </c>
      <c r="F26" s="65">
        <v>399</v>
      </c>
      <c r="G26" s="66">
        <f t="shared" si="9"/>
        <v>1.5384615384615385</v>
      </c>
      <c r="H26" s="63">
        <f t="shared" si="0"/>
        <v>60</v>
      </c>
      <c r="I26" s="65">
        <v>459</v>
      </c>
      <c r="J26" s="66">
        <f t="shared" si="1"/>
        <v>1.0333333333333334</v>
      </c>
      <c r="K26" s="63">
        <f t="shared" si="2"/>
        <v>31</v>
      </c>
      <c r="L26" s="63">
        <f t="shared" si="3"/>
        <v>91</v>
      </c>
      <c r="M26" s="65">
        <v>490</v>
      </c>
      <c r="N26" s="66">
        <f t="shared" si="4"/>
        <v>2.1666666666666665</v>
      </c>
      <c r="O26" s="66">
        <f t="shared" si="5"/>
        <v>13</v>
      </c>
      <c r="P26" s="67">
        <f t="shared" si="6"/>
        <v>104</v>
      </c>
      <c r="Q26" s="65">
        <v>503</v>
      </c>
      <c r="R26" s="66">
        <f t="shared" si="7"/>
        <v>26.065162907268167</v>
      </c>
      <c r="S26" s="68">
        <v>60.46</v>
      </c>
      <c r="T26" s="68">
        <v>63.07</v>
      </c>
      <c r="U26" s="68">
        <v>0</v>
      </c>
      <c r="V26" s="68">
        <v>8</v>
      </c>
      <c r="W26" s="68">
        <v>3</v>
      </c>
      <c r="X26" s="68">
        <v>239.9</v>
      </c>
      <c r="Y26" s="66">
        <f t="shared" si="8"/>
        <v>-52.306163021868791</v>
      </c>
      <c r="Z26" s="68">
        <v>300</v>
      </c>
      <c r="AA26" s="68">
        <v>1</v>
      </c>
      <c r="AB26" s="68">
        <v>8</v>
      </c>
      <c r="AC26" s="68" t="s">
        <v>67</v>
      </c>
      <c r="AD26" s="68">
        <v>1</v>
      </c>
      <c r="AE26" s="68">
        <v>5.39</v>
      </c>
      <c r="AF26" s="68">
        <v>70</v>
      </c>
      <c r="AG26" s="68">
        <v>130</v>
      </c>
      <c r="AH26" s="68">
        <v>70</v>
      </c>
      <c r="AI26" s="68">
        <v>6.8</v>
      </c>
      <c r="AJ26" s="68">
        <v>13</v>
      </c>
      <c r="AK26" s="68" t="s">
        <v>76</v>
      </c>
      <c r="AL26" s="68" t="s">
        <v>68</v>
      </c>
      <c r="AM26" s="69">
        <v>68</v>
      </c>
      <c r="AN26" s="69">
        <v>0</v>
      </c>
      <c r="AO26" s="69">
        <v>0</v>
      </c>
      <c r="AP26" s="76">
        <v>1</v>
      </c>
      <c r="AQ26" s="76" t="s">
        <v>100</v>
      </c>
      <c r="AR26" s="70"/>
      <c r="AS26" s="70" t="s">
        <v>70</v>
      </c>
      <c r="AT26" s="70"/>
      <c r="AU26" s="63">
        <v>59</v>
      </c>
      <c r="AV26" s="63" t="s">
        <v>83</v>
      </c>
      <c r="AX26" s="65">
        <v>1</v>
      </c>
      <c r="AY26" s="65" t="s">
        <v>61</v>
      </c>
      <c r="AZ26" s="65">
        <v>3</v>
      </c>
      <c r="BA26" s="65"/>
      <c r="BB26" s="65">
        <v>3</v>
      </c>
      <c r="BC26" s="65">
        <v>120</v>
      </c>
      <c r="BD26" s="65"/>
      <c r="BE26" s="65">
        <v>3.5</v>
      </c>
      <c r="BF26" s="65">
        <v>1</v>
      </c>
    </row>
    <row r="27" spans="1:58" x14ac:dyDescent="0.3">
      <c r="A27" s="64">
        <v>13872</v>
      </c>
      <c r="B27" s="64" t="s">
        <v>84</v>
      </c>
      <c r="C27" s="80">
        <v>3</v>
      </c>
      <c r="D27" s="65" t="s">
        <v>72</v>
      </c>
      <c r="E27" s="83" t="s">
        <v>88</v>
      </c>
      <c r="F27" s="65">
        <v>358</v>
      </c>
      <c r="G27" s="66">
        <f t="shared" si="9"/>
        <v>1.1025641025641026</v>
      </c>
      <c r="H27" s="63">
        <f t="shared" si="0"/>
        <v>43</v>
      </c>
      <c r="I27" s="65">
        <v>401</v>
      </c>
      <c r="J27" s="66">
        <f t="shared" si="1"/>
        <v>1.3</v>
      </c>
      <c r="K27" s="63">
        <f t="shared" si="2"/>
        <v>39</v>
      </c>
      <c r="L27" s="63">
        <f t="shared" si="3"/>
        <v>82</v>
      </c>
      <c r="M27" s="65">
        <v>440</v>
      </c>
      <c r="N27" s="66">
        <f t="shared" si="4"/>
        <v>1.8333333333333333</v>
      </c>
      <c r="O27" s="66">
        <f t="shared" si="5"/>
        <v>11</v>
      </c>
      <c r="P27" s="67">
        <f t="shared" si="6"/>
        <v>93</v>
      </c>
      <c r="Q27" s="65">
        <v>451</v>
      </c>
      <c r="R27" s="66">
        <f t="shared" si="7"/>
        <v>25.977653631284912</v>
      </c>
      <c r="S27" s="68">
        <v>0</v>
      </c>
      <c r="T27" s="68">
        <v>0</v>
      </c>
      <c r="U27" s="68">
        <v>0</v>
      </c>
      <c r="V27" s="68">
        <v>12</v>
      </c>
      <c r="W27" s="68">
        <v>3</v>
      </c>
      <c r="X27" s="68">
        <v>304.2</v>
      </c>
      <c r="Y27" s="66">
        <f t="shared" si="8"/>
        <v>-32.549889135254986</v>
      </c>
      <c r="Z27" s="68">
        <v>240</v>
      </c>
      <c r="AA27" s="68">
        <v>0</v>
      </c>
      <c r="AB27" s="68">
        <v>10</v>
      </c>
      <c r="AC27" s="68" t="s">
        <v>101</v>
      </c>
      <c r="AD27" s="68">
        <v>1</v>
      </c>
      <c r="AE27" s="68">
        <v>5.8</v>
      </c>
      <c r="AF27" s="68">
        <v>87</v>
      </c>
      <c r="AG27" s="68">
        <v>120</v>
      </c>
      <c r="AH27" s="68">
        <v>85</v>
      </c>
      <c r="AI27" s="68">
        <v>7</v>
      </c>
      <c r="AJ27" s="68">
        <v>13</v>
      </c>
      <c r="AK27" s="68" t="s">
        <v>76</v>
      </c>
      <c r="AL27" s="68" t="s">
        <v>68</v>
      </c>
      <c r="AM27" s="69">
        <v>58</v>
      </c>
      <c r="AN27" s="76" t="s">
        <v>105</v>
      </c>
      <c r="AO27" s="69">
        <v>0</v>
      </c>
      <c r="AP27" s="69">
        <v>0</v>
      </c>
      <c r="AQ27" s="69"/>
      <c r="AR27" s="77" t="s">
        <v>107</v>
      </c>
      <c r="AS27" s="70" t="s">
        <v>106</v>
      </c>
      <c r="AT27" s="70"/>
      <c r="AU27" s="63">
        <v>82</v>
      </c>
      <c r="AV27" s="63" t="s">
        <v>70</v>
      </c>
      <c r="AX27" s="65">
        <v>3</v>
      </c>
      <c r="AY27" s="65" t="s">
        <v>61</v>
      </c>
      <c r="AZ27" s="65">
        <v>3</v>
      </c>
      <c r="BA27" s="65"/>
      <c r="BB27" s="65">
        <v>4</v>
      </c>
      <c r="BC27" s="65">
        <v>108</v>
      </c>
      <c r="BD27" s="65"/>
      <c r="BE27" s="65">
        <v>3.5</v>
      </c>
      <c r="BF27" s="65">
        <v>1</v>
      </c>
    </row>
    <row r="28" spans="1:58" x14ac:dyDescent="0.3">
      <c r="A28" s="64">
        <v>13891</v>
      </c>
      <c r="B28" s="65" t="s">
        <v>62</v>
      </c>
      <c r="C28" s="78">
        <v>1</v>
      </c>
      <c r="D28" s="65" t="s">
        <v>57</v>
      </c>
      <c r="E28" s="82" t="s">
        <v>73</v>
      </c>
      <c r="F28" s="65">
        <v>343</v>
      </c>
      <c r="G28" s="66">
        <f t="shared" si="9"/>
        <v>1.1282051282051282</v>
      </c>
      <c r="H28" s="63">
        <f t="shared" si="0"/>
        <v>44</v>
      </c>
      <c r="I28" s="65">
        <v>387</v>
      </c>
      <c r="J28" s="66">
        <f t="shared" si="1"/>
        <v>1.1000000000000001</v>
      </c>
      <c r="K28" s="63">
        <f t="shared" si="2"/>
        <v>33</v>
      </c>
      <c r="L28" s="63">
        <f t="shared" si="3"/>
        <v>77</v>
      </c>
      <c r="M28" s="65">
        <v>420</v>
      </c>
      <c r="N28" s="66">
        <f t="shared" si="4"/>
        <v>2</v>
      </c>
      <c r="O28" s="66">
        <f t="shared" si="5"/>
        <v>12</v>
      </c>
      <c r="P28" s="67">
        <f t="shared" si="6"/>
        <v>89</v>
      </c>
      <c r="Q28" s="65">
        <v>432</v>
      </c>
      <c r="R28" s="66">
        <f t="shared" si="7"/>
        <v>25.947521865889211</v>
      </c>
      <c r="S28" s="68">
        <v>60.4</v>
      </c>
      <c r="T28" s="68">
        <v>63.01</v>
      </c>
      <c r="U28" s="68">
        <v>2</v>
      </c>
      <c r="V28" s="68">
        <v>8</v>
      </c>
      <c r="W28" s="68">
        <v>3</v>
      </c>
      <c r="X28" s="68">
        <v>255.7</v>
      </c>
      <c r="Y28" s="66">
        <f t="shared" si="8"/>
        <v>-40.81018518518519</v>
      </c>
      <c r="Z28" s="68">
        <v>340</v>
      </c>
      <c r="AA28" s="68">
        <v>1</v>
      </c>
      <c r="AB28" s="68">
        <v>8</v>
      </c>
      <c r="AC28" s="68" t="s">
        <v>67</v>
      </c>
      <c r="AD28" s="68">
        <v>0</v>
      </c>
      <c r="AE28" s="68">
        <v>5.4</v>
      </c>
      <c r="AF28" s="68">
        <v>79</v>
      </c>
      <c r="AG28" s="68">
        <v>120</v>
      </c>
      <c r="AH28" s="68">
        <v>85</v>
      </c>
      <c r="AI28" s="68">
        <v>6.8</v>
      </c>
      <c r="AJ28" s="68">
        <v>13</v>
      </c>
      <c r="AK28" s="68" t="s">
        <v>76</v>
      </c>
      <c r="AL28" s="68" t="s">
        <v>68</v>
      </c>
      <c r="AM28" s="69">
        <v>110</v>
      </c>
      <c r="AN28" s="69">
        <v>0</v>
      </c>
      <c r="AO28" s="69">
        <v>0</v>
      </c>
      <c r="AP28" s="69">
        <v>0</v>
      </c>
      <c r="AQ28" s="69"/>
      <c r="AR28" s="70"/>
      <c r="AS28" s="70" t="s">
        <v>70</v>
      </c>
      <c r="AT28" s="70"/>
      <c r="AU28" s="63">
        <v>37</v>
      </c>
      <c r="AV28" s="63" t="s">
        <v>70</v>
      </c>
      <c r="AX28" s="65">
        <v>2</v>
      </c>
      <c r="AY28" s="65" t="s">
        <v>95</v>
      </c>
      <c r="AZ28" s="65">
        <v>12</v>
      </c>
      <c r="BA28" s="65"/>
      <c r="BB28" s="65">
        <v>3</v>
      </c>
      <c r="BC28" s="65">
        <v>123</v>
      </c>
      <c r="BD28" s="65"/>
      <c r="BE28" s="65">
        <v>3.75</v>
      </c>
      <c r="BF28" s="65">
        <v>1</v>
      </c>
    </row>
    <row r="29" spans="1:58" x14ac:dyDescent="0.3">
      <c r="A29" s="64">
        <v>13883</v>
      </c>
      <c r="B29" s="65" t="s">
        <v>62</v>
      </c>
      <c r="C29" s="78">
        <v>1</v>
      </c>
      <c r="D29" s="65" t="s">
        <v>57</v>
      </c>
      <c r="E29" s="83" t="s">
        <v>88</v>
      </c>
      <c r="F29" s="65">
        <v>345</v>
      </c>
      <c r="G29" s="66">
        <f t="shared" si="9"/>
        <v>0.92307692307692313</v>
      </c>
      <c r="H29" s="63">
        <f t="shared" si="0"/>
        <v>36</v>
      </c>
      <c r="I29" s="65">
        <v>381</v>
      </c>
      <c r="J29" s="66">
        <f t="shared" si="1"/>
        <v>1.4</v>
      </c>
      <c r="K29" s="63">
        <f t="shared" si="2"/>
        <v>42</v>
      </c>
      <c r="L29" s="63">
        <f t="shared" si="3"/>
        <v>78</v>
      </c>
      <c r="M29" s="65">
        <v>423</v>
      </c>
      <c r="N29" s="66">
        <f t="shared" si="4"/>
        <v>1.8333333333333333</v>
      </c>
      <c r="O29" s="66">
        <f t="shared" si="5"/>
        <v>11</v>
      </c>
      <c r="P29" s="67">
        <f t="shared" si="6"/>
        <v>89</v>
      </c>
      <c r="Q29" s="65">
        <v>434</v>
      </c>
      <c r="R29" s="66">
        <f t="shared" si="7"/>
        <v>25.79710144927536</v>
      </c>
      <c r="S29" s="68">
        <v>54.41</v>
      </c>
      <c r="T29" s="68">
        <v>57.02</v>
      </c>
      <c r="U29" s="68">
        <v>0</v>
      </c>
      <c r="V29" s="68">
        <v>7</v>
      </c>
      <c r="W29" s="68">
        <v>3</v>
      </c>
      <c r="X29" s="68">
        <v>295.10000000000002</v>
      </c>
      <c r="Y29" s="66">
        <f t="shared" si="8"/>
        <v>-32.004608294930868</v>
      </c>
      <c r="Z29" s="68">
        <v>290</v>
      </c>
      <c r="AA29" s="68">
        <v>0</v>
      </c>
      <c r="AB29" s="68">
        <v>7</v>
      </c>
      <c r="AC29" s="68" t="s">
        <v>67</v>
      </c>
      <c r="AD29" s="68">
        <v>1</v>
      </c>
      <c r="AE29" s="68">
        <v>5.51</v>
      </c>
      <c r="AF29" s="68">
        <v>79</v>
      </c>
      <c r="AG29" s="68">
        <v>190</v>
      </c>
      <c r="AH29" s="68">
        <v>95</v>
      </c>
      <c r="AI29" s="68">
        <v>7</v>
      </c>
      <c r="AJ29" s="68">
        <v>13</v>
      </c>
      <c r="AK29" s="68" t="s">
        <v>76</v>
      </c>
      <c r="AL29" s="68" t="s">
        <v>68</v>
      </c>
      <c r="AM29" s="69">
        <v>17</v>
      </c>
      <c r="AN29" s="76" t="s">
        <v>105</v>
      </c>
      <c r="AO29" s="69">
        <v>0</v>
      </c>
      <c r="AP29" s="76">
        <v>1</v>
      </c>
      <c r="AQ29" s="69"/>
      <c r="AR29" s="70"/>
      <c r="AS29" s="70" t="s">
        <v>106</v>
      </c>
      <c r="AT29" s="70"/>
      <c r="AU29" s="63">
        <v>66</v>
      </c>
      <c r="AV29" s="63" t="s">
        <v>70</v>
      </c>
      <c r="AX29" s="65">
        <v>2</v>
      </c>
      <c r="AY29" s="65" t="s">
        <v>95</v>
      </c>
      <c r="AZ29" s="65">
        <v>12</v>
      </c>
      <c r="BA29" s="65"/>
      <c r="BB29" s="65">
        <v>2</v>
      </c>
      <c r="BC29" s="65">
        <v>114</v>
      </c>
      <c r="BD29" s="65"/>
      <c r="BE29" s="65">
        <v>2.75</v>
      </c>
      <c r="BF29" s="65">
        <v>1</v>
      </c>
    </row>
    <row r="30" spans="1:58" x14ac:dyDescent="0.3">
      <c r="A30" s="64">
        <v>13854</v>
      </c>
      <c r="B30" s="64" t="s">
        <v>84</v>
      </c>
      <c r="C30" s="80">
        <v>3</v>
      </c>
      <c r="D30" s="65" t="s">
        <v>72</v>
      </c>
      <c r="E30" s="83" t="s">
        <v>88</v>
      </c>
      <c r="F30" s="65">
        <v>373</v>
      </c>
      <c r="G30" s="66">
        <f t="shared" si="9"/>
        <v>1.2051282051282051</v>
      </c>
      <c r="H30" s="63">
        <f t="shared" si="0"/>
        <v>47</v>
      </c>
      <c r="I30" s="65">
        <v>420</v>
      </c>
      <c r="J30" s="66">
        <f t="shared" si="1"/>
        <v>1.1666666666666667</v>
      </c>
      <c r="K30" s="63">
        <f t="shared" si="2"/>
        <v>35</v>
      </c>
      <c r="L30" s="63">
        <f t="shared" si="3"/>
        <v>82</v>
      </c>
      <c r="M30" s="65">
        <v>455</v>
      </c>
      <c r="N30" s="66">
        <f t="shared" si="4"/>
        <v>2</v>
      </c>
      <c r="O30" s="66">
        <f t="shared" si="5"/>
        <v>12</v>
      </c>
      <c r="P30" s="67">
        <f t="shared" si="6"/>
        <v>94</v>
      </c>
      <c r="Q30" s="65">
        <v>467</v>
      </c>
      <c r="R30" s="66">
        <f t="shared" si="7"/>
        <v>25.201072386058982</v>
      </c>
      <c r="S30" s="68">
        <v>61.09</v>
      </c>
      <c r="T30" s="68">
        <v>63.7</v>
      </c>
      <c r="U30" s="68">
        <v>0</v>
      </c>
      <c r="V30" s="68">
        <v>9</v>
      </c>
      <c r="W30" s="68">
        <v>3</v>
      </c>
      <c r="X30" s="68">
        <v>273</v>
      </c>
      <c r="Y30" s="66">
        <f t="shared" si="8"/>
        <v>-41.541755888650968</v>
      </c>
      <c r="Z30" s="68">
        <v>320</v>
      </c>
      <c r="AA30" s="68">
        <v>1</v>
      </c>
      <c r="AB30" s="68">
        <v>9</v>
      </c>
      <c r="AC30" s="68" t="s">
        <v>75</v>
      </c>
      <c r="AD30" s="68">
        <v>0</v>
      </c>
      <c r="AE30" s="68">
        <v>5.45</v>
      </c>
      <c r="AF30" s="68">
        <v>71</v>
      </c>
      <c r="AG30" s="68">
        <v>120</v>
      </c>
      <c r="AH30" s="68">
        <v>80</v>
      </c>
      <c r="AI30" s="68">
        <v>6.5</v>
      </c>
      <c r="AJ30" s="68">
        <v>13</v>
      </c>
      <c r="AK30" s="68" t="s">
        <v>76</v>
      </c>
      <c r="AL30" s="68" t="s">
        <v>68</v>
      </c>
      <c r="AM30" s="69">
        <v>20</v>
      </c>
      <c r="AN30" s="69">
        <v>0</v>
      </c>
      <c r="AO30" s="69">
        <v>0</v>
      </c>
      <c r="AP30" s="76">
        <v>1</v>
      </c>
      <c r="AQ30" s="76" t="s">
        <v>100</v>
      </c>
      <c r="AR30" s="70"/>
      <c r="AS30" s="70" t="s">
        <v>83</v>
      </c>
      <c r="AT30" s="70"/>
      <c r="AU30" s="63">
        <v>38</v>
      </c>
      <c r="AV30" s="63" t="s">
        <v>70</v>
      </c>
      <c r="AX30" s="65">
        <v>3</v>
      </c>
      <c r="AY30" s="65" t="s">
        <v>61</v>
      </c>
      <c r="AZ30" s="65">
        <v>3</v>
      </c>
      <c r="BA30" s="65"/>
      <c r="BB30" s="65">
        <v>2</v>
      </c>
      <c r="BC30" s="65">
        <v>125</v>
      </c>
      <c r="BD30" s="65"/>
      <c r="BE30" s="65">
        <v>3.5</v>
      </c>
      <c r="BF30" s="65">
        <v>1</v>
      </c>
    </row>
    <row r="31" spans="1:58" x14ac:dyDescent="0.3">
      <c r="A31" s="64">
        <v>13839</v>
      </c>
      <c r="B31" s="64" t="s">
        <v>84</v>
      </c>
      <c r="C31" s="80">
        <v>3</v>
      </c>
      <c r="D31" s="65" t="s">
        <v>72</v>
      </c>
      <c r="E31" s="65" t="s">
        <v>103</v>
      </c>
      <c r="F31" s="65">
        <v>381</v>
      </c>
      <c r="G31" s="66">
        <f t="shared" si="9"/>
        <v>1.4102564102564104</v>
      </c>
      <c r="H31" s="63">
        <f t="shared" si="0"/>
        <v>55</v>
      </c>
      <c r="I31" s="65">
        <v>436</v>
      </c>
      <c r="J31" s="66">
        <f t="shared" si="1"/>
        <v>0.8666666666666667</v>
      </c>
      <c r="K31" s="63">
        <f t="shared" si="2"/>
        <v>26</v>
      </c>
      <c r="L31" s="63">
        <f t="shared" si="3"/>
        <v>81</v>
      </c>
      <c r="M31" s="65">
        <v>462</v>
      </c>
      <c r="N31" s="66">
        <f t="shared" si="4"/>
        <v>2</v>
      </c>
      <c r="O31" s="66">
        <f t="shared" si="5"/>
        <v>12</v>
      </c>
      <c r="P31" s="67">
        <f t="shared" si="6"/>
        <v>93</v>
      </c>
      <c r="Q31" s="65">
        <v>474</v>
      </c>
      <c r="R31" s="66">
        <f t="shared" si="7"/>
        <v>24.409448818897637</v>
      </c>
      <c r="S31" s="68">
        <v>59.69</v>
      </c>
      <c r="T31" s="68">
        <v>62.3</v>
      </c>
      <c r="U31" s="68">
        <v>0</v>
      </c>
      <c r="V31" s="68">
        <v>7</v>
      </c>
      <c r="W31" s="68">
        <v>3</v>
      </c>
      <c r="X31" s="68">
        <v>263.3</v>
      </c>
      <c r="Y31" s="66">
        <f t="shared" si="8"/>
        <v>-44.451476793248943</v>
      </c>
      <c r="Z31" s="68">
        <v>190</v>
      </c>
      <c r="AA31" s="68">
        <v>0</v>
      </c>
      <c r="AB31" s="68">
        <v>7</v>
      </c>
      <c r="AC31" s="68" t="s">
        <v>67</v>
      </c>
      <c r="AD31" s="68">
        <v>1</v>
      </c>
      <c r="AE31" s="68">
        <v>5.47</v>
      </c>
      <c r="AF31" s="68">
        <v>79</v>
      </c>
      <c r="AG31" s="68">
        <v>110</v>
      </c>
      <c r="AH31" s="68">
        <v>80</v>
      </c>
      <c r="AI31" s="68">
        <v>8.6999999999999993</v>
      </c>
      <c r="AJ31" s="68">
        <v>13</v>
      </c>
      <c r="AK31" s="68" t="s">
        <v>101</v>
      </c>
      <c r="AL31" s="68" t="s">
        <v>68</v>
      </c>
      <c r="AM31" s="69">
        <v>8</v>
      </c>
      <c r="AN31" s="69">
        <v>0</v>
      </c>
      <c r="AO31" s="69">
        <v>0</v>
      </c>
      <c r="AP31" s="76">
        <v>1</v>
      </c>
      <c r="AQ31" s="69"/>
      <c r="AR31" s="70"/>
      <c r="AS31" s="70" t="s">
        <v>70</v>
      </c>
      <c r="AT31" s="70"/>
      <c r="AU31" s="63">
        <v>87</v>
      </c>
      <c r="AV31" s="63" t="s">
        <v>83</v>
      </c>
      <c r="AX31" s="65">
        <v>4</v>
      </c>
      <c r="AY31" s="65" t="s">
        <v>87</v>
      </c>
      <c r="AZ31" s="65">
        <v>10</v>
      </c>
      <c r="BA31" s="65"/>
      <c r="BB31" s="65">
        <v>3</v>
      </c>
      <c r="BC31" s="65">
        <v>124</v>
      </c>
      <c r="BD31" s="65"/>
      <c r="BE31" s="65">
        <v>3.25</v>
      </c>
      <c r="BF31" s="65">
        <v>2</v>
      </c>
    </row>
    <row r="32" spans="1:58" x14ac:dyDescent="0.3">
      <c r="A32" s="64">
        <v>13898</v>
      </c>
      <c r="B32" s="65" t="s">
        <v>56</v>
      </c>
      <c r="C32" s="79">
        <v>2</v>
      </c>
      <c r="D32" s="65" t="s">
        <v>57</v>
      </c>
      <c r="E32" s="85" t="s">
        <v>64</v>
      </c>
      <c r="F32" s="65">
        <v>379</v>
      </c>
      <c r="G32" s="66">
        <f t="shared" si="9"/>
        <v>0.71794871794871795</v>
      </c>
      <c r="H32" s="63">
        <f t="shared" si="0"/>
        <v>28</v>
      </c>
      <c r="I32" s="65">
        <v>407</v>
      </c>
      <c r="M32" s="65"/>
      <c r="N32" s="66"/>
      <c r="P32" s="67">
        <f t="shared" si="6"/>
        <v>91</v>
      </c>
      <c r="Q32" s="65">
        <v>470</v>
      </c>
      <c r="R32" s="66">
        <f t="shared" si="7"/>
        <v>24.010554089709764</v>
      </c>
      <c r="S32" s="68">
        <v>54.1</v>
      </c>
      <c r="T32" s="68">
        <v>56.71</v>
      </c>
      <c r="U32" s="68">
        <v>0</v>
      </c>
      <c r="V32" s="68">
        <v>12</v>
      </c>
      <c r="W32" s="68">
        <v>3</v>
      </c>
      <c r="X32" s="68">
        <v>297</v>
      </c>
      <c r="Y32" s="66">
        <f t="shared" si="8"/>
        <v>-36.808510638297868</v>
      </c>
      <c r="Z32" s="68">
        <v>380</v>
      </c>
      <c r="AA32" s="68">
        <v>1</v>
      </c>
      <c r="AB32" s="68">
        <v>10</v>
      </c>
      <c r="AC32" s="68" t="s">
        <v>75</v>
      </c>
      <c r="AD32" s="68">
        <v>1</v>
      </c>
      <c r="AE32" s="68">
        <v>5.4</v>
      </c>
      <c r="AF32" s="68">
        <v>79</v>
      </c>
      <c r="AG32" s="68">
        <v>170</v>
      </c>
      <c r="AH32" s="68">
        <v>125</v>
      </c>
      <c r="AI32" s="68">
        <v>8.6999999999999993</v>
      </c>
      <c r="AJ32" s="68">
        <v>13</v>
      </c>
      <c r="AK32" s="68" t="s">
        <v>101</v>
      </c>
      <c r="AL32" s="68" t="s">
        <v>68</v>
      </c>
      <c r="AM32" s="69">
        <v>59</v>
      </c>
      <c r="AN32" s="69">
        <v>0</v>
      </c>
      <c r="AO32" s="69">
        <v>0</v>
      </c>
      <c r="AP32" s="69">
        <v>0</v>
      </c>
      <c r="AQ32" s="69"/>
      <c r="AR32" s="70"/>
      <c r="AS32" s="70" t="s">
        <v>70</v>
      </c>
      <c r="AT32" s="70"/>
      <c r="AU32" s="63">
        <v>48</v>
      </c>
      <c r="AV32" s="63" t="s">
        <v>70</v>
      </c>
      <c r="AX32" s="65">
        <v>4</v>
      </c>
      <c r="AY32" s="65" t="s">
        <v>63</v>
      </c>
      <c r="AZ32" s="65">
        <v>14</v>
      </c>
      <c r="BA32" s="65"/>
      <c r="BB32" s="65">
        <v>3</v>
      </c>
      <c r="BC32" s="65">
        <v>126</v>
      </c>
      <c r="BD32" s="65"/>
      <c r="BE32" s="65">
        <v>3.5</v>
      </c>
      <c r="BF32" s="65">
        <v>1</v>
      </c>
    </row>
    <row r="33" spans="1:58" x14ac:dyDescent="0.3">
      <c r="A33" s="64">
        <v>13892</v>
      </c>
      <c r="B33" s="65" t="s">
        <v>62</v>
      </c>
      <c r="C33" s="78">
        <v>1</v>
      </c>
      <c r="D33" s="65" t="s">
        <v>57</v>
      </c>
      <c r="E33" s="82" t="s">
        <v>73</v>
      </c>
      <c r="F33" s="65">
        <v>387</v>
      </c>
      <c r="G33" s="66">
        <f t="shared" si="9"/>
        <v>1.0769230769230769</v>
      </c>
      <c r="H33" s="63">
        <f t="shared" si="0"/>
        <v>42</v>
      </c>
      <c r="I33" s="65">
        <v>429</v>
      </c>
      <c r="J33" s="66">
        <f t="shared" ref="J33:J44" si="10">(M33-I33)/30</f>
        <v>1.5333333333333334</v>
      </c>
      <c r="K33" s="63">
        <f t="shared" ref="K33:K44" si="11">M33-I33</f>
        <v>46</v>
      </c>
      <c r="L33" s="63">
        <f t="shared" ref="L33:L44" si="12">M33-F33</f>
        <v>88</v>
      </c>
      <c r="M33" s="65">
        <v>475</v>
      </c>
      <c r="N33" s="66">
        <f t="shared" ref="N33:N44" si="13">(Q33-M33)/6</f>
        <v>0.5</v>
      </c>
      <c r="O33" s="66">
        <f t="shared" ref="O33:O44" si="14">Q33-M33</f>
        <v>3</v>
      </c>
      <c r="P33" s="67">
        <f t="shared" si="6"/>
        <v>91</v>
      </c>
      <c r="Q33" s="65">
        <v>478</v>
      </c>
      <c r="R33" s="66">
        <f t="shared" si="7"/>
        <v>23.51421188630491</v>
      </c>
      <c r="S33" s="68">
        <v>53.37</v>
      </c>
      <c r="T33" s="68">
        <v>55.98</v>
      </c>
      <c r="U33" s="68">
        <v>0</v>
      </c>
      <c r="V33" s="68">
        <v>12</v>
      </c>
      <c r="W33" s="68">
        <v>3</v>
      </c>
      <c r="X33" s="68">
        <v>253.9</v>
      </c>
      <c r="Y33" s="66">
        <f t="shared" si="8"/>
        <v>-46.88284518828452</v>
      </c>
      <c r="Z33" s="68">
        <v>190</v>
      </c>
      <c r="AA33" s="68">
        <v>0</v>
      </c>
      <c r="AB33" s="68">
        <v>10</v>
      </c>
      <c r="AC33" s="68" t="s">
        <v>75</v>
      </c>
      <c r="AD33" s="68">
        <v>1</v>
      </c>
      <c r="AE33" s="68">
        <v>5.43</v>
      </c>
      <c r="AF33" s="68">
        <v>69</v>
      </c>
      <c r="AG33" s="68">
        <v>130</v>
      </c>
      <c r="AH33" s="68">
        <v>115</v>
      </c>
      <c r="AI33" s="68">
        <v>7.4</v>
      </c>
      <c r="AJ33" s="68">
        <v>13</v>
      </c>
      <c r="AK33" s="68" t="s">
        <v>76</v>
      </c>
      <c r="AL33" s="68" t="s">
        <v>68</v>
      </c>
      <c r="AM33" s="69">
        <v>12</v>
      </c>
      <c r="AN33" s="69">
        <v>0</v>
      </c>
      <c r="AO33" s="69">
        <v>0</v>
      </c>
      <c r="AP33" s="76">
        <v>1</v>
      </c>
      <c r="AQ33" s="76" t="s">
        <v>100</v>
      </c>
      <c r="AR33" s="70"/>
      <c r="AS33" s="70" t="s">
        <v>70</v>
      </c>
      <c r="AT33" s="70"/>
      <c r="AU33" s="63">
        <v>69</v>
      </c>
      <c r="AV33" s="63" t="s">
        <v>70</v>
      </c>
      <c r="AX33" s="65">
        <v>2</v>
      </c>
      <c r="AY33" s="65" t="s">
        <v>87</v>
      </c>
      <c r="AZ33" s="65">
        <v>10</v>
      </c>
      <c r="BA33" s="65"/>
      <c r="BB33" s="65">
        <v>1</v>
      </c>
      <c r="BC33" s="65">
        <v>121</v>
      </c>
      <c r="BD33" s="65"/>
      <c r="BE33" s="65">
        <v>3.75</v>
      </c>
      <c r="BF33" s="65">
        <v>1</v>
      </c>
    </row>
    <row r="34" spans="1:58" x14ac:dyDescent="0.3">
      <c r="A34" s="64">
        <v>13903</v>
      </c>
      <c r="B34" s="65" t="s">
        <v>56</v>
      </c>
      <c r="C34" s="79">
        <v>2</v>
      </c>
      <c r="D34" s="65" t="s">
        <v>72</v>
      </c>
      <c r="E34" s="82" t="s">
        <v>73</v>
      </c>
      <c r="F34" s="65">
        <v>358</v>
      </c>
      <c r="G34" s="66">
        <f t="shared" ref="G34:G50" si="15">(I34-F34)/39</f>
        <v>0.87179487179487181</v>
      </c>
      <c r="H34" s="63">
        <f t="shared" ref="H34:H50" si="16">I34-F34</f>
        <v>34</v>
      </c>
      <c r="I34" s="65">
        <v>392</v>
      </c>
      <c r="J34" s="66">
        <f t="shared" si="10"/>
        <v>1.2</v>
      </c>
      <c r="K34" s="63">
        <f t="shared" si="11"/>
        <v>36</v>
      </c>
      <c r="L34" s="63">
        <f t="shared" si="12"/>
        <v>70</v>
      </c>
      <c r="M34" s="65">
        <v>428</v>
      </c>
      <c r="N34" s="66">
        <f t="shared" si="13"/>
        <v>1.8333333333333333</v>
      </c>
      <c r="O34" s="66">
        <f t="shared" si="14"/>
        <v>11</v>
      </c>
      <c r="P34" s="67">
        <f t="shared" si="6"/>
        <v>81</v>
      </c>
      <c r="Q34" s="65">
        <v>439</v>
      </c>
      <c r="R34" s="66">
        <f t="shared" si="7"/>
        <v>22.625698324022348</v>
      </c>
      <c r="S34" s="68">
        <v>55.13</v>
      </c>
      <c r="T34" s="68">
        <v>57.74</v>
      </c>
      <c r="U34" s="68">
        <v>2</v>
      </c>
      <c r="V34" s="68">
        <v>4</v>
      </c>
      <c r="W34" s="68">
        <v>2</v>
      </c>
      <c r="X34" s="68">
        <v>279.89999999999998</v>
      </c>
      <c r="Y34" s="66">
        <f t="shared" si="8"/>
        <v>-36.241457858769941</v>
      </c>
      <c r="Z34" s="68">
        <v>330</v>
      </c>
      <c r="AA34" s="68">
        <v>1</v>
      </c>
      <c r="AB34" s="68">
        <v>4</v>
      </c>
      <c r="AC34" s="68" t="s">
        <v>75</v>
      </c>
      <c r="AD34" s="68">
        <v>1</v>
      </c>
      <c r="AE34" s="68">
        <v>5.45</v>
      </c>
      <c r="AF34" s="68">
        <v>80</v>
      </c>
      <c r="AG34" s="68">
        <v>170</v>
      </c>
      <c r="AH34" s="68">
        <v>95</v>
      </c>
      <c r="AI34" s="68">
        <v>8.6</v>
      </c>
      <c r="AJ34" s="68">
        <v>13</v>
      </c>
      <c r="AK34" s="68" t="s">
        <v>101</v>
      </c>
      <c r="AL34" s="68" t="s">
        <v>68</v>
      </c>
      <c r="AM34" s="69">
        <v>101</v>
      </c>
      <c r="AN34" s="69">
        <v>0</v>
      </c>
      <c r="AO34" s="69">
        <v>0</v>
      </c>
      <c r="AP34" s="76">
        <v>1</v>
      </c>
      <c r="AQ34" s="76" t="s">
        <v>100</v>
      </c>
      <c r="AR34" s="70"/>
      <c r="AS34" s="70" t="s">
        <v>70</v>
      </c>
      <c r="AT34" s="70"/>
      <c r="AU34" s="63">
        <v>40</v>
      </c>
      <c r="AV34" s="63" t="s">
        <v>83</v>
      </c>
      <c r="AX34" s="65"/>
      <c r="AY34" s="65" t="s">
        <v>71</v>
      </c>
      <c r="AZ34" s="65">
        <v>4</v>
      </c>
      <c r="BA34" s="65"/>
      <c r="BB34" s="65">
        <v>4</v>
      </c>
      <c r="BC34" s="65">
        <v>119</v>
      </c>
      <c r="BD34" s="65"/>
      <c r="BE34" s="65">
        <v>3.5</v>
      </c>
      <c r="BF34" s="65">
        <v>2</v>
      </c>
    </row>
    <row r="35" spans="1:58" x14ac:dyDescent="0.3">
      <c r="A35" s="64">
        <v>13896</v>
      </c>
      <c r="B35" s="65" t="s">
        <v>62</v>
      </c>
      <c r="C35" s="78">
        <v>1</v>
      </c>
      <c r="D35" s="65" t="s">
        <v>57</v>
      </c>
      <c r="E35" s="82" t="s">
        <v>73</v>
      </c>
      <c r="F35" s="65">
        <v>350</v>
      </c>
      <c r="G35" s="66">
        <f t="shared" si="15"/>
        <v>0.82051282051282048</v>
      </c>
      <c r="H35" s="63">
        <f t="shared" si="16"/>
        <v>32</v>
      </c>
      <c r="I35" s="65">
        <v>382</v>
      </c>
      <c r="J35" s="66">
        <f t="shared" si="10"/>
        <v>1</v>
      </c>
      <c r="K35" s="63">
        <f t="shared" si="11"/>
        <v>30</v>
      </c>
      <c r="L35" s="63">
        <f t="shared" si="12"/>
        <v>62</v>
      </c>
      <c r="M35" s="65">
        <v>412</v>
      </c>
      <c r="N35" s="66">
        <f t="shared" si="13"/>
        <v>1.8333333333333333</v>
      </c>
      <c r="O35" s="66">
        <f t="shared" si="14"/>
        <v>11</v>
      </c>
      <c r="P35" s="67">
        <f t="shared" si="6"/>
        <v>73</v>
      </c>
      <c r="Q35" s="65">
        <v>423</v>
      </c>
      <c r="R35" s="66">
        <f t="shared" si="7"/>
        <v>20.857142857142858</v>
      </c>
      <c r="S35" s="68">
        <v>60.49</v>
      </c>
      <c r="T35" s="68">
        <v>63.1</v>
      </c>
      <c r="U35" s="68">
        <v>0</v>
      </c>
      <c r="V35" s="68">
        <v>5</v>
      </c>
      <c r="W35" s="68">
        <v>2</v>
      </c>
      <c r="X35" s="68">
        <v>285.89999999999998</v>
      </c>
      <c r="Y35" s="66">
        <f t="shared" si="8"/>
        <v>-32.411347517730505</v>
      </c>
      <c r="Z35" s="68">
        <v>380</v>
      </c>
      <c r="AA35" s="68">
        <v>1</v>
      </c>
      <c r="AB35" s="68">
        <v>5</v>
      </c>
      <c r="AC35" s="68" t="s">
        <v>66</v>
      </c>
      <c r="AD35" s="68">
        <v>1</v>
      </c>
      <c r="AE35" s="68">
        <v>5.39</v>
      </c>
      <c r="AF35" s="68">
        <v>68</v>
      </c>
      <c r="AG35" s="68">
        <v>120</v>
      </c>
      <c r="AH35" s="68">
        <v>95</v>
      </c>
      <c r="AI35" s="68">
        <v>6.8</v>
      </c>
      <c r="AJ35" s="68">
        <v>13</v>
      </c>
      <c r="AK35" s="68" t="s">
        <v>76</v>
      </c>
      <c r="AL35" s="68" t="s">
        <v>68</v>
      </c>
      <c r="AM35" s="69">
        <v>16</v>
      </c>
      <c r="AN35" s="69">
        <v>0</v>
      </c>
      <c r="AO35" s="69">
        <v>0</v>
      </c>
      <c r="AP35" s="76">
        <v>2</v>
      </c>
      <c r="AQ35" s="76" t="s">
        <v>100</v>
      </c>
      <c r="AR35" s="70"/>
      <c r="AS35" s="70" t="s">
        <v>83</v>
      </c>
      <c r="AT35" s="70"/>
      <c r="AU35" s="63">
        <v>32</v>
      </c>
      <c r="AV35" s="63" t="s">
        <v>70</v>
      </c>
      <c r="AX35" s="65">
        <v>3.5</v>
      </c>
      <c r="AY35" s="65" t="s">
        <v>94</v>
      </c>
      <c r="AZ35" s="65">
        <v>2</v>
      </c>
      <c r="BA35" s="65"/>
      <c r="BB35" s="65">
        <v>3</v>
      </c>
      <c r="BC35" s="65">
        <v>120</v>
      </c>
      <c r="BD35" s="65"/>
      <c r="BE35" s="65">
        <v>3.75</v>
      </c>
      <c r="BF35" s="65">
        <v>1</v>
      </c>
    </row>
    <row r="36" spans="1:58" x14ac:dyDescent="0.3">
      <c r="A36" s="64">
        <v>13904</v>
      </c>
      <c r="B36" s="65" t="s">
        <v>56</v>
      </c>
      <c r="C36" s="79">
        <v>2</v>
      </c>
      <c r="D36" s="65" t="s">
        <v>72</v>
      </c>
      <c r="E36" s="82" t="s">
        <v>73</v>
      </c>
      <c r="F36" s="65">
        <v>356</v>
      </c>
      <c r="G36" s="66">
        <f t="shared" si="15"/>
        <v>0.33333333333333331</v>
      </c>
      <c r="H36" s="63">
        <f t="shared" si="16"/>
        <v>13</v>
      </c>
      <c r="I36" s="65">
        <v>369</v>
      </c>
      <c r="J36" s="66">
        <f t="shared" si="10"/>
        <v>1.6666666666666667</v>
      </c>
      <c r="K36" s="63">
        <f t="shared" si="11"/>
        <v>50</v>
      </c>
      <c r="L36" s="63">
        <f t="shared" si="12"/>
        <v>63</v>
      </c>
      <c r="M36" s="65">
        <v>419</v>
      </c>
      <c r="N36" s="66">
        <f t="shared" si="13"/>
        <v>1.8333333333333333</v>
      </c>
      <c r="O36" s="66">
        <f t="shared" si="14"/>
        <v>11</v>
      </c>
      <c r="P36" s="67">
        <f t="shared" si="6"/>
        <v>74</v>
      </c>
      <c r="Q36" s="65">
        <v>430</v>
      </c>
      <c r="R36" s="66">
        <f t="shared" si="7"/>
        <v>20.786516853932586</v>
      </c>
      <c r="S36" s="68">
        <v>56.93</v>
      </c>
      <c r="T36" s="68">
        <v>59.54</v>
      </c>
      <c r="U36" s="68">
        <v>0</v>
      </c>
      <c r="V36" s="68">
        <v>5</v>
      </c>
      <c r="W36" s="68">
        <v>2</v>
      </c>
      <c r="X36" s="68">
        <v>256.10000000000002</v>
      </c>
      <c r="Y36" s="66">
        <f t="shared" si="8"/>
        <v>-40.441860465116278</v>
      </c>
      <c r="Z36" s="68">
        <v>240</v>
      </c>
      <c r="AA36" s="68">
        <v>0</v>
      </c>
      <c r="AB36" s="68">
        <v>4</v>
      </c>
      <c r="AC36" s="68" t="s">
        <v>75</v>
      </c>
      <c r="AD36" s="68">
        <v>1</v>
      </c>
      <c r="AE36" s="68">
        <v>5.38</v>
      </c>
      <c r="AF36" s="68">
        <v>74</v>
      </c>
      <c r="AG36" s="68">
        <v>140</v>
      </c>
      <c r="AH36" s="68">
        <v>80</v>
      </c>
      <c r="AI36" s="68">
        <v>8.1</v>
      </c>
      <c r="AJ36" s="68">
        <v>13</v>
      </c>
      <c r="AK36" s="68" t="s">
        <v>67</v>
      </c>
      <c r="AL36" s="68" t="s">
        <v>68</v>
      </c>
      <c r="AM36" s="69">
        <v>108</v>
      </c>
      <c r="AN36" s="69">
        <v>0</v>
      </c>
      <c r="AO36" s="69">
        <v>0</v>
      </c>
      <c r="AP36" s="69">
        <v>0</v>
      </c>
      <c r="AQ36" s="69"/>
      <c r="AR36" s="70"/>
      <c r="AS36" s="70" t="s">
        <v>70</v>
      </c>
      <c r="AT36" s="70" t="s">
        <v>99</v>
      </c>
      <c r="AU36" s="63">
        <v>77</v>
      </c>
      <c r="AV36" s="63" t="s">
        <v>70</v>
      </c>
      <c r="AX36" s="65">
        <v>2</v>
      </c>
      <c r="AY36" s="65" t="s">
        <v>63</v>
      </c>
      <c r="AZ36" s="65">
        <v>14</v>
      </c>
      <c r="BA36" s="65"/>
      <c r="BB36" s="65">
        <v>3</v>
      </c>
      <c r="BC36" s="65">
        <v>121</v>
      </c>
      <c r="BD36" s="65"/>
      <c r="BE36" s="65">
        <v>3.5</v>
      </c>
      <c r="BF36" s="65">
        <v>1</v>
      </c>
    </row>
    <row r="37" spans="1:58" x14ac:dyDescent="0.3">
      <c r="A37" s="64">
        <v>13901</v>
      </c>
      <c r="B37" s="65" t="s">
        <v>56</v>
      </c>
      <c r="C37" s="79">
        <v>2</v>
      </c>
      <c r="D37" s="65" t="s">
        <v>72</v>
      </c>
      <c r="E37" s="65" t="s">
        <v>96</v>
      </c>
      <c r="F37" s="65">
        <v>396</v>
      </c>
      <c r="G37" s="66">
        <f t="shared" si="15"/>
        <v>0.30769230769230771</v>
      </c>
      <c r="H37" s="63">
        <f t="shared" si="16"/>
        <v>12</v>
      </c>
      <c r="I37" s="65">
        <v>408</v>
      </c>
      <c r="J37" s="66">
        <f t="shared" si="10"/>
        <v>1.9</v>
      </c>
      <c r="K37" s="63">
        <f t="shared" si="11"/>
        <v>57</v>
      </c>
      <c r="L37" s="63">
        <f t="shared" si="12"/>
        <v>69</v>
      </c>
      <c r="M37" s="65">
        <v>465</v>
      </c>
      <c r="N37" s="66">
        <f t="shared" si="13"/>
        <v>2.1666666666666665</v>
      </c>
      <c r="O37" s="66">
        <f t="shared" si="14"/>
        <v>13</v>
      </c>
      <c r="P37" s="67">
        <f t="shared" si="6"/>
        <v>82</v>
      </c>
      <c r="Q37" s="65">
        <v>478</v>
      </c>
      <c r="R37" s="66">
        <f t="shared" si="7"/>
        <v>20.707070707070706</v>
      </c>
      <c r="S37" s="68">
        <v>61.2</v>
      </c>
      <c r="T37" s="68">
        <v>63.81</v>
      </c>
      <c r="U37" s="68">
        <v>0</v>
      </c>
      <c r="V37" s="68">
        <v>14</v>
      </c>
      <c r="W37" s="68">
        <v>4</v>
      </c>
      <c r="X37" s="68">
        <v>266</v>
      </c>
      <c r="Y37" s="66">
        <f t="shared" si="8"/>
        <v>-44.35146443514644</v>
      </c>
      <c r="Z37" s="68">
        <v>380</v>
      </c>
      <c r="AA37" s="68">
        <v>1</v>
      </c>
      <c r="AB37" s="68">
        <v>8</v>
      </c>
      <c r="AC37" s="68" t="s">
        <v>75</v>
      </c>
      <c r="AD37" s="68">
        <v>1</v>
      </c>
      <c r="AE37" s="68">
        <v>5.36</v>
      </c>
      <c r="AF37" s="68">
        <v>65</v>
      </c>
      <c r="AG37" s="68">
        <v>120</v>
      </c>
      <c r="AH37" s="68">
        <v>85</v>
      </c>
      <c r="AI37" s="68">
        <v>7</v>
      </c>
      <c r="AJ37" s="68">
        <v>13</v>
      </c>
      <c r="AK37" s="68" t="s">
        <v>76</v>
      </c>
      <c r="AL37" s="68" t="s">
        <v>68</v>
      </c>
      <c r="AM37" s="69">
        <v>88</v>
      </c>
      <c r="AN37" s="69">
        <v>0</v>
      </c>
      <c r="AO37" s="69">
        <v>0</v>
      </c>
      <c r="AP37" s="76">
        <v>1</v>
      </c>
      <c r="AQ37" s="69"/>
      <c r="AR37" s="70"/>
      <c r="AS37" s="70" t="s">
        <v>70</v>
      </c>
      <c r="AT37" s="70"/>
      <c r="AU37" s="63">
        <v>9</v>
      </c>
      <c r="AV37" s="63" t="s">
        <v>70</v>
      </c>
      <c r="AX37" s="65">
        <v>1</v>
      </c>
      <c r="AY37" s="65" t="s">
        <v>98</v>
      </c>
      <c r="AZ37" s="65">
        <v>8</v>
      </c>
      <c r="BA37" s="65"/>
      <c r="BB37" s="65">
        <v>3</v>
      </c>
      <c r="BC37" s="65">
        <v>125</v>
      </c>
      <c r="BD37" s="65"/>
      <c r="BE37" s="65">
        <v>3.25</v>
      </c>
      <c r="BF37" s="65">
        <v>1</v>
      </c>
    </row>
    <row r="38" spans="1:58" x14ac:dyDescent="0.3">
      <c r="A38" s="64">
        <v>13852</v>
      </c>
      <c r="B38" s="64" t="s">
        <v>84</v>
      </c>
      <c r="C38" s="80">
        <v>3</v>
      </c>
      <c r="D38" s="65" t="s">
        <v>72</v>
      </c>
      <c r="E38" s="83" t="s">
        <v>88</v>
      </c>
      <c r="F38" s="65">
        <v>380</v>
      </c>
      <c r="G38" s="66">
        <f t="shared" si="15"/>
        <v>0.74358974358974361</v>
      </c>
      <c r="H38" s="63">
        <f t="shared" si="16"/>
        <v>29</v>
      </c>
      <c r="I38" s="65">
        <v>409</v>
      </c>
      <c r="J38" s="66">
        <f t="shared" si="10"/>
        <v>1.2333333333333334</v>
      </c>
      <c r="K38" s="63">
        <f t="shared" si="11"/>
        <v>37</v>
      </c>
      <c r="L38" s="63">
        <f t="shared" si="12"/>
        <v>66</v>
      </c>
      <c r="M38" s="65">
        <v>446</v>
      </c>
      <c r="N38" s="66">
        <f t="shared" si="13"/>
        <v>2</v>
      </c>
      <c r="O38" s="66">
        <f t="shared" si="14"/>
        <v>12</v>
      </c>
      <c r="P38" s="67">
        <f t="shared" si="6"/>
        <v>78</v>
      </c>
      <c r="Q38" s="65">
        <v>458</v>
      </c>
      <c r="R38" s="66">
        <f t="shared" si="7"/>
        <v>20.526315789473685</v>
      </c>
      <c r="S38" s="68">
        <v>61.25</v>
      </c>
      <c r="T38" s="68">
        <v>63.86</v>
      </c>
      <c r="U38" s="68">
        <v>0</v>
      </c>
      <c r="V38" s="68">
        <v>12</v>
      </c>
      <c r="W38" s="68">
        <v>3</v>
      </c>
      <c r="X38" s="68">
        <v>251</v>
      </c>
      <c r="Y38" s="66">
        <f t="shared" si="8"/>
        <v>-45.196506550218338</v>
      </c>
      <c r="Z38" s="68">
        <v>350</v>
      </c>
      <c r="AA38" s="68">
        <v>1</v>
      </c>
      <c r="AB38" s="68">
        <v>8</v>
      </c>
      <c r="AC38" s="68" t="s">
        <v>75</v>
      </c>
      <c r="AD38" s="68">
        <v>0</v>
      </c>
      <c r="AE38" s="68">
        <v>5.39</v>
      </c>
      <c r="AF38" s="68">
        <v>70</v>
      </c>
      <c r="AG38" s="68">
        <v>120</v>
      </c>
      <c r="AH38" s="68">
        <v>85</v>
      </c>
      <c r="AI38" s="68">
        <v>6.9</v>
      </c>
      <c r="AJ38" s="68">
        <v>13</v>
      </c>
      <c r="AK38" s="68" t="s">
        <v>76</v>
      </c>
      <c r="AL38" s="68" t="s">
        <v>68</v>
      </c>
      <c r="AM38" s="69">
        <v>115</v>
      </c>
      <c r="AN38" s="69">
        <v>0</v>
      </c>
      <c r="AO38" s="69">
        <v>0</v>
      </c>
      <c r="AP38" s="69">
        <v>0</v>
      </c>
      <c r="AQ38" s="69"/>
      <c r="AR38" s="70"/>
      <c r="AS38" s="70" t="s">
        <v>70</v>
      </c>
      <c r="AT38" s="70"/>
      <c r="AU38" s="63">
        <v>89</v>
      </c>
      <c r="AV38" s="63" t="s">
        <v>70</v>
      </c>
      <c r="AX38" s="65">
        <v>4</v>
      </c>
      <c r="AY38" s="65" t="s">
        <v>91</v>
      </c>
      <c r="AZ38" s="65">
        <v>1</v>
      </c>
      <c r="BA38" s="65"/>
      <c r="BB38" s="65">
        <v>2</v>
      </c>
      <c r="BC38" s="65">
        <v>128</v>
      </c>
      <c r="BD38" s="65"/>
      <c r="BE38" s="65">
        <v>3.25</v>
      </c>
      <c r="BF38" s="65">
        <v>1</v>
      </c>
    </row>
    <row r="39" spans="1:58" x14ac:dyDescent="0.3">
      <c r="A39" s="64">
        <v>13907</v>
      </c>
      <c r="B39" s="65" t="s">
        <v>56</v>
      </c>
      <c r="C39" s="79">
        <v>2</v>
      </c>
      <c r="D39" s="65" t="s">
        <v>57</v>
      </c>
      <c r="E39" s="82" t="s">
        <v>73</v>
      </c>
      <c r="F39" s="65">
        <v>352</v>
      </c>
      <c r="G39" s="66">
        <f t="shared" si="15"/>
        <v>0.5641025641025641</v>
      </c>
      <c r="H39" s="63">
        <f t="shared" si="16"/>
        <v>22</v>
      </c>
      <c r="I39" s="65">
        <v>374</v>
      </c>
      <c r="J39" s="66">
        <f t="shared" si="10"/>
        <v>1.2</v>
      </c>
      <c r="K39" s="63">
        <f t="shared" si="11"/>
        <v>36</v>
      </c>
      <c r="L39" s="63">
        <f t="shared" si="12"/>
        <v>58</v>
      </c>
      <c r="M39" s="65">
        <v>410</v>
      </c>
      <c r="N39" s="66">
        <f t="shared" si="13"/>
        <v>2.3333333333333335</v>
      </c>
      <c r="O39" s="66">
        <f t="shared" si="14"/>
        <v>14</v>
      </c>
      <c r="P39" s="67">
        <f t="shared" si="6"/>
        <v>72</v>
      </c>
      <c r="Q39" s="65">
        <v>424</v>
      </c>
      <c r="R39" s="66">
        <f t="shared" si="7"/>
        <v>20.454545454545457</v>
      </c>
      <c r="S39" s="68">
        <v>51.85</v>
      </c>
      <c r="T39" s="68">
        <v>54.46</v>
      </c>
      <c r="U39" s="68">
        <v>0</v>
      </c>
      <c r="V39" s="68">
        <v>6</v>
      </c>
      <c r="W39" s="68">
        <v>2</v>
      </c>
      <c r="X39" s="68">
        <v>248.4</v>
      </c>
      <c r="Y39" s="66">
        <f t="shared" si="8"/>
        <v>-41.415094339622641</v>
      </c>
      <c r="Z39" s="68">
        <v>240</v>
      </c>
      <c r="AA39" s="68">
        <v>0</v>
      </c>
      <c r="AB39" s="68">
        <v>5</v>
      </c>
      <c r="AC39" s="68" t="s">
        <v>75</v>
      </c>
      <c r="AD39" s="68">
        <v>1</v>
      </c>
      <c r="AE39" s="68">
        <v>5.36</v>
      </c>
      <c r="AF39" s="68">
        <v>66</v>
      </c>
      <c r="AG39" s="68">
        <v>150</v>
      </c>
      <c r="AH39" s="68">
        <v>135</v>
      </c>
      <c r="AI39" s="68">
        <v>8.1999999999999993</v>
      </c>
      <c r="AJ39" s="68">
        <v>13</v>
      </c>
      <c r="AK39" s="68" t="s">
        <v>67</v>
      </c>
      <c r="AL39" s="68" t="s">
        <v>68</v>
      </c>
      <c r="AM39" s="69">
        <v>1</v>
      </c>
      <c r="AN39" s="69">
        <v>0</v>
      </c>
      <c r="AO39" s="69">
        <v>0</v>
      </c>
      <c r="AP39" s="76">
        <v>1</v>
      </c>
      <c r="AQ39" s="69"/>
      <c r="AR39" s="70"/>
      <c r="AS39" s="70" t="s">
        <v>70</v>
      </c>
      <c r="AT39" s="70"/>
      <c r="AU39" s="63">
        <v>71</v>
      </c>
      <c r="AV39" s="63" t="s">
        <v>70</v>
      </c>
      <c r="AX39" s="65">
        <v>1</v>
      </c>
      <c r="AY39" s="65" t="s">
        <v>61</v>
      </c>
      <c r="AZ39" s="65">
        <v>3</v>
      </c>
      <c r="BA39" s="65"/>
      <c r="BB39" s="65">
        <v>4</v>
      </c>
      <c r="BC39" s="65">
        <v>119</v>
      </c>
      <c r="BD39" s="65"/>
      <c r="BE39" s="65">
        <v>3.25</v>
      </c>
      <c r="BF39" s="65">
        <v>1</v>
      </c>
    </row>
    <row r="40" spans="1:58" x14ac:dyDescent="0.3">
      <c r="A40" s="64">
        <v>13877</v>
      </c>
      <c r="B40" s="65" t="s">
        <v>62</v>
      </c>
      <c r="C40" s="78">
        <v>1</v>
      </c>
      <c r="D40" s="65" t="s">
        <v>57</v>
      </c>
      <c r="E40" s="83" t="s">
        <v>88</v>
      </c>
      <c r="F40" s="65">
        <v>358</v>
      </c>
      <c r="G40" s="66">
        <f t="shared" si="15"/>
        <v>0.84615384615384615</v>
      </c>
      <c r="H40" s="63">
        <f t="shared" si="16"/>
        <v>33</v>
      </c>
      <c r="I40" s="65">
        <v>391</v>
      </c>
      <c r="J40" s="66">
        <f t="shared" si="10"/>
        <v>1.0333333333333334</v>
      </c>
      <c r="K40" s="63">
        <f t="shared" si="11"/>
        <v>31</v>
      </c>
      <c r="L40" s="63">
        <f t="shared" si="12"/>
        <v>64</v>
      </c>
      <c r="M40" s="65">
        <v>422</v>
      </c>
      <c r="N40" s="66">
        <f t="shared" si="13"/>
        <v>1.5</v>
      </c>
      <c r="O40" s="66">
        <f t="shared" si="14"/>
        <v>9</v>
      </c>
      <c r="P40" s="67">
        <f t="shared" si="6"/>
        <v>73</v>
      </c>
      <c r="Q40" s="65">
        <v>431</v>
      </c>
      <c r="R40" s="66">
        <f t="shared" si="7"/>
        <v>20.391061452513966</v>
      </c>
      <c r="S40" s="68">
        <v>55.96</v>
      </c>
      <c r="T40" s="68">
        <v>58.57</v>
      </c>
      <c r="U40" s="68">
        <v>0</v>
      </c>
      <c r="V40" s="68">
        <v>6</v>
      </c>
      <c r="W40" s="68">
        <v>2</v>
      </c>
      <c r="X40" s="68">
        <v>270</v>
      </c>
      <c r="Y40" s="66">
        <f t="shared" si="8"/>
        <v>-37.354988399071928</v>
      </c>
      <c r="Z40" s="68">
        <v>190</v>
      </c>
      <c r="AA40" s="68">
        <v>0</v>
      </c>
      <c r="AB40" s="68">
        <v>6</v>
      </c>
      <c r="AC40" s="68" t="s">
        <v>75</v>
      </c>
      <c r="AD40" s="68">
        <v>1</v>
      </c>
      <c r="AE40" s="68">
        <v>5.4</v>
      </c>
      <c r="AF40" s="68">
        <v>69</v>
      </c>
      <c r="AG40" s="68">
        <v>120</v>
      </c>
      <c r="AH40" s="68">
        <v>100</v>
      </c>
      <c r="AI40" s="68">
        <v>7</v>
      </c>
      <c r="AJ40" s="68">
        <v>13</v>
      </c>
      <c r="AK40" s="68" t="s">
        <v>76</v>
      </c>
      <c r="AL40" s="68" t="s">
        <v>68</v>
      </c>
      <c r="AM40" s="69">
        <v>19</v>
      </c>
      <c r="AN40" s="69">
        <v>0</v>
      </c>
      <c r="AO40" s="69">
        <v>0</v>
      </c>
      <c r="AP40" s="76">
        <v>1</v>
      </c>
      <c r="AQ40" s="69"/>
      <c r="AR40" s="70"/>
      <c r="AS40" s="70" t="s">
        <v>70</v>
      </c>
      <c r="AT40" s="70"/>
      <c r="AU40" s="63">
        <v>13</v>
      </c>
      <c r="AV40" s="63" t="s">
        <v>70</v>
      </c>
      <c r="AX40" s="65">
        <v>1</v>
      </c>
      <c r="AY40" s="65" t="s">
        <v>95</v>
      </c>
      <c r="AZ40" s="65">
        <v>12</v>
      </c>
      <c r="BA40" s="65"/>
      <c r="BB40" s="65">
        <v>2</v>
      </c>
      <c r="BC40" s="65">
        <v>119</v>
      </c>
      <c r="BD40" s="65"/>
      <c r="BE40" s="65">
        <v>3.5</v>
      </c>
      <c r="BF40" s="65">
        <v>1</v>
      </c>
    </row>
    <row r="41" spans="1:58" x14ac:dyDescent="0.3">
      <c r="A41" s="64">
        <v>13887</v>
      </c>
      <c r="B41" s="65" t="s">
        <v>62</v>
      </c>
      <c r="C41" s="78">
        <v>1</v>
      </c>
      <c r="D41" s="65" t="s">
        <v>57</v>
      </c>
      <c r="E41" s="82" t="s">
        <v>73</v>
      </c>
      <c r="F41" s="65">
        <v>365</v>
      </c>
      <c r="G41" s="66">
        <f t="shared" si="15"/>
        <v>0.58974358974358976</v>
      </c>
      <c r="H41" s="63">
        <f t="shared" si="16"/>
        <v>23</v>
      </c>
      <c r="I41" s="65">
        <v>388</v>
      </c>
      <c r="J41" s="66">
        <f t="shared" si="10"/>
        <v>1.3333333333333333</v>
      </c>
      <c r="K41" s="63">
        <f t="shared" si="11"/>
        <v>40</v>
      </c>
      <c r="L41" s="63">
        <f t="shared" si="12"/>
        <v>63</v>
      </c>
      <c r="M41" s="65">
        <v>428</v>
      </c>
      <c r="N41" s="66">
        <f t="shared" si="13"/>
        <v>1.6666666666666667</v>
      </c>
      <c r="O41" s="66">
        <f t="shared" si="14"/>
        <v>10</v>
      </c>
      <c r="P41" s="67">
        <f t="shared" si="6"/>
        <v>73</v>
      </c>
      <c r="Q41" s="65">
        <v>438</v>
      </c>
      <c r="R41" s="66">
        <f t="shared" si="7"/>
        <v>20</v>
      </c>
      <c r="S41" s="68">
        <v>57.45</v>
      </c>
      <c r="T41" s="68">
        <v>60.06</v>
      </c>
      <c r="U41" s="68">
        <v>0</v>
      </c>
      <c r="V41" s="68">
        <v>14</v>
      </c>
      <c r="W41" s="68">
        <v>4</v>
      </c>
      <c r="X41" s="68">
        <v>253.8</v>
      </c>
      <c r="Y41" s="66">
        <f t="shared" si="8"/>
        <v>-42.054794520547944</v>
      </c>
      <c r="Z41" s="68">
        <v>300</v>
      </c>
      <c r="AA41" s="68">
        <v>1</v>
      </c>
      <c r="AB41" s="68">
        <v>10</v>
      </c>
      <c r="AC41" s="68" t="s">
        <v>75</v>
      </c>
      <c r="AD41" s="68">
        <v>1</v>
      </c>
      <c r="AE41" s="68">
        <v>5.43</v>
      </c>
      <c r="AF41" s="68">
        <v>68</v>
      </c>
      <c r="AG41" s="68">
        <v>150</v>
      </c>
      <c r="AH41" s="68">
        <v>85</v>
      </c>
      <c r="AI41" s="68">
        <v>6.5</v>
      </c>
      <c r="AJ41" s="68">
        <v>13</v>
      </c>
      <c r="AK41" s="68" t="s">
        <v>76</v>
      </c>
      <c r="AL41" s="68" t="s">
        <v>68</v>
      </c>
      <c r="AM41" s="69">
        <v>45</v>
      </c>
      <c r="AN41" s="69">
        <v>0</v>
      </c>
      <c r="AO41" s="69">
        <v>0</v>
      </c>
      <c r="AP41" s="76">
        <v>1</v>
      </c>
      <c r="AQ41" s="69"/>
      <c r="AR41" s="70"/>
      <c r="AS41" s="70" t="s">
        <v>70</v>
      </c>
      <c r="AT41" s="70"/>
      <c r="AU41" s="63">
        <v>7</v>
      </c>
      <c r="AV41" s="63" t="s">
        <v>70</v>
      </c>
      <c r="AX41" s="65">
        <v>2</v>
      </c>
      <c r="AY41" s="65" t="s">
        <v>95</v>
      </c>
      <c r="AZ41" s="65">
        <v>12</v>
      </c>
      <c r="BA41" s="65"/>
      <c r="BB41" s="65">
        <v>2</v>
      </c>
      <c r="BC41" s="65">
        <v>120</v>
      </c>
      <c r="BD41" s="65"/>
      <c r="BE41" s="65">
        <v>3.5</v>
      </c>
      <c r="BF41" s="65">
        <v>2</v>
      </c>
    </row>
    <row r="42" spans="1:58" x14ac:dyDescent="0.3">
      <c r="A42" s="64">
        <v>13902</v>
      </c>
      <c r="B42" s="65" t="s">
        <v>56</v>
      </c>
      <c r="C42" s="79">
        <v>2</v>
      </c>
      <c r="D42" s="65" t="s">
        <v>72</v>
      </c>
      <c r="E42" s="83" t="s">
        <v>88</v>
      </c>
      <c r="F42" s="65">
        <v>385</v>
      </c>
      <c r="G42" s="66">
        <f t="shared" si="15"/>
        <v>0.64102564102564108</v>
      </c>
      <c r="H42" s="63">
        <f t="shared" si="16"/>
        <v>25</v>
      </c>
      <c r="I42" s="65">
        <v>410</v>
      </c>
      <c r="J42" s="66">
        <f t="shared" si="10"/>
        <v>1.3</v>
      </c>
      <c r="K42" s="63">
        <f t="shared" si="11"/>
        <v>39</v>
      </c>
      <c r="L42" s="63">
        <f t="shared" si="12"/>
        <v>64</v>
      </c>
      <c r="M42" s="65">
        <v>449</v>
      </c>
      <c r="N42" s="66">
        <f t="shared" si="13"/>
        <v>2</v>
      </c>
      <c r="O42" s="66">
        <f t="shared" si="14"/>
        <v>12</v>
      </c>
      <c r="P42" s="67">
        <f t="shared" si="6"/>
        <v>76</v>
      </c>
      <c r="Q42" s="65">
        <v>461</v>
      </c>
      <c r="R42" s="66">
        <f t="shared" si="7"/>
        <v>19.740259740259742</v>
      </c>
      <c r="S42" s="68">
        <v>60.31</v>
      </c>
      <c r="T42" s="68">
        <v>62.92</v>
      </c>
      <c r="U42" s="68">
        <v>0</v>
      </c>
      <c r="V42" s="68">
        <v>8</v>
      </c>
      <c r="W42" s="68">
        <v>3</v>
      </c>
      <c r="X42" s="68">
        <v>271</v>
      </c>
      <c r="Y42" s="66">
        <f t="shared" si="8"/>
        <v>-41.214750542299349</v>
      </c>
      <c r="Z42" s="68">
        <v>350</v>
      </c>
      <c r="AA42" s="68">
        <v>1</v>
      </c>
      <c r="AB42" s="68">
        <v>5</v>
      </c>
      <c r="AC42" s="68" t="s">
        <v>75</v>
      </c>
      <c r="AD42" s="68">
        <v>0</v>
      </c>
      <c r="AE42" s="68">
        <v>5.43</v>
      </c>
      <c r="AF42" s="68">
        <v>72</v>
      </c>
      <c r="AG42" s="68">
        <v>120</v>
      </c>
      <c r="AH42" s="68">
        <v>85</v>
      </c>
      <c r="AI42" s="68">
        <v>6.9</v>
      </c>
      <c r="AJ42" s="68">
        <v>13</v>
      </c>
      <c r="AK42" s="68" t="s">
        <v>76</v>
      </c>
      <c r="AL42" s="68" t="s">
        <v>68</v>
      </c>
      <c r="AM42" s="69">
        <v>111</v>
      </c>
      <c r="AN42" s="69">
        <v>0</v>
      </c>
      <c r="AO42" s="69">
        <v>0</v>
      </c>
      <c r="AP42" s="69">
        <v>0</v>
      </c>
      <c r="AQ42" s="69"/>
      <c r="AR42" s="70"/>
      <c r="AS42" s="70" t="s">
        <v>70</v>
      </c>
      <c r="AT42" s="70"/>
      <c r="AU42" s="63">
        <v>21</v>
      </c>
      <c r="AV42" s="63" t="s">
        <v>70</v>
      </c>
      <c r="AX42" s="65">
        <v>2</v>
      </c>
      <c r="AY42" s="65" t="s">
        <v>63</v>
      </c>
      <c r="AZ42" s="65">
        <v>14</v>
      </c>
      <c r="BA42" s="65"/>
      <c r="BB42" s="65">
        <v>2</v>
      </c>
      <c r="BC42" s="65">
        <v>130</v>
      </c>
      <c r="BD42" s="65"/>
      <c r="BE42" s="65">
        <v>3.25</v>
      </c>
      <c r="BF42" s="65">
        <v>1</v>
      </c>
    </row>
    <row r="43" spans="1:58" x14ac:dyDescent="0.3">
      <c r="A43" s="64">
        <v>13899</v>
      </c>
      <c r="B43" s="65" t="s">
        <v>56</v>
      </c>
      <c r="C43" s="79">
        <v>2</v>
      </c>
      <c r="D43" s="65" t="s">
        <v>57</v>
      </c>
      <c r="E43" s="65" t="s">
        <v>92</v>
      </c>
      <c r="F43" s="65">
        <v>349</v>
      </c>
      <c r="G43" s="66">
        <f t="shared" si="15"/>
        <v>0.38461538461538464</v>
      </c>
      <c r="H43" s="63">
        <f t="shared" si="16"/>
        <v>15</v>
      </c>
      <c r="I43" s="65">
        <v>364</v>
      </c>
      <c r="J43" s="66">
        <f t="shared" si="10"/>
        <v>1.3333333333333333</v>
      </c>
      <c r="K43" s="63">
        <f t="shared" si="11"/>
        <v>40</v>
      </c>
      <c r="L43" s="63">
        <f t="shared" si="12"/>
        <v>55</v>
      </c>
      <c r="M43" s="65">
        <v>404</v>
      </c>
      <c r="N43" s="66">
        <f t="shared" si="13"/>
        <v>1.8333333333333333</v>
      </c>
      <c r="O43" s="66">
        <f t="shared" si="14"/>
        <v>11</v>
      </c>
      <c r="P43" s="67">
        <f t="shared" si="6"/>
        <v>66</v>
      </c>
      <c r="Q43" s="65">
        <v>415</v>
      </c>
      <c r="R43" s="66">
        <f t="shared" si="7"/>
        <v>18.911174785100286</v>
      </c>
      <c r="S43" s="68">
        <v>58.73</v>
      </c>
      <c r="T43" s="68">
        <v>61.34</v>
      </c>
      <c r="U43" s="68">
        <v>0</v>
      </c>
      <c r="V43" s="68">
        <v>5</v>
      </c>
      <c r="W43" s="68">
        <v>2</v>
      </c>
      <c r="X43" s="68">
        <v>275.10000000000002</v>
      </c>
      <c r="Y43" s="66">
        <f t="shared" si="8"/>
        <v>-33.710843373493972</v>
      </c>
      <c r="Z43" s="68">
        <v>300</v>
      </c>
      <c r="AA43" s="68">
        <v>1</v>
      </c>
      <c r="AB43" s="68">
        <v>5</v>
      </c>
      <c r="AC43" s="68" t="s">
        <v>75</v>
      </c>
      <c r="AD43" s="68">
        <v>1</v>
      </c>
      <c r="AE43" s="68">
        <v>5.51</v>
      </c>
      <c r="AF43" s="68">
        <v>70</v>
      </c>
      <c r="AG43" s="68">
        <v>110</v>
      </c>
      <c r="AH43" s="68">
        <v>100</v>
      </c>
      <c r="AI43" s="68">
        <v>7.2</v>
      </c>
      <c r="AJ43" s="68">
        <v>13</v>
      </c>
      <c r="AK43" s="68" t="s">
        <v>76</v>
      </c>
      <c r="AL43" s="68" t="s">
        <v>68</v>
      </c>
      <c r="AM43" s="69">
        <v>92</v>
      </c>
      <c r="AN43" s="69">
        <v>0</v>
      </c>
      <c r="AO43" s="69">
        <v>0</v>
      </c>
      <c r="AP43" s="69">
        <v>0</v>
      </c>
      <c r="AQ43" s="69"/>
      <c r="AR43" s="70"/>
      <c r="AS43" s="70" t="s">
        <v>70</v>
      </c>
      <c r="AT43" s="70"/>
      <c r="AU43" s="63">
        <v>112</v>
      </c>
      <c r="AV43" s="63" t="s">
        <v>70</v>
      </c>
      <c r="AX43" s="65">
        <v>3</v>
      </c>
      <c r="AY43" s="65" t="s">
        <v>94</v>
      </c>
      <c r="AZ43" s="65">
        <v>2</v>
      </c>
      <c r="BA43" s="65"/>
      <c r="BB43" s="65">
        <v>3</v>
      </c>
      <c r="BC43" s="65">
        <v>122</v>
      </c>
      <c r="BD43" s="65"/>
      <c r="BE43" s="65">
        <v>3.25</v>
      </c>
      <c r="BF43" s="65">
        <v>1</v>
      </c>
    </row>
    <row r="44" spans="1:58" x14ac:dyDescent="0.3">
      <c r="A44" s="64">
        <v>13882</v>
      </c>
      <c r="B44" s="65" t="s">
        <v>62</v>
      </c>
      <c r="C44" s="78">
        <v>1</v>
      </c>
      <c r="D44" s="65" t="s">
        <v>57</v>
      </c>
      <c r="E44" s="83" t="s">
        <v>88</v>
      </c>
      <c r="F44" s="65">
        <v>345</v>
      </c>
      <c r="G44" s="66">
        <f t="shared" si="15"/>
        <v>0.79487179487179482</v>
      </c>
      <c r="H44" s="63">
        <f t="shared" si="16"/>
        <v>31</v>
      </c>
      <c r="I44" s="65">
        <v>376</v>
      </c>
      <c r="J44" s="66">
        <f t="shared" si="10"/>
        <v>0.66666666666666663</v>
      </c>
      <c r="K44" s="63">
        <f t="shared" si="11"/>
        <v>20</v>
      </c>
      <c r="L44" s="63">
        <f t="shared" si="12"/>
        <v>51</v>
      </c>
      <c r="M44" s="65">
        <v>396</v>
      </c>
      <c r="N44" s="66">
        <f t="shared" si="13"/>
        <v>1.8333333333333333</v>
      </c>
      <c r="O44" s="66">
        <f t="shared" si="14"/>
        <v>11</v>
      </c>
      <c r="P44" s="67">
        <f t="shared" si="6"/>
        <v>62</v>
      </c>
      <c r="Q44" s="65">
        <v>407</v>
      </c>
      <c r="R44" s="66">
        <f t="shared" si="7"/>
        <v>17.971014492753625</v>
      </c>
      <c r="S44" s="68">
        <v>60.33</v>
      </c>
      <c r="T44" s="68">
        <v>62.94</v>
      </c>
      <c r="U44" s="68">
        <v>0</v>
      </c>
      <c r="V44" s="68">
        <v>5</v>
      </c>
      <c r="W44" s="68">
        <v>2</v>
      </c>
      <c r="X44" s="68">
        <v>251.1</v>
      </c>
      <c r="Y44" s="66">
        <f t="shared" si="8"/>
        <v>-38.304668304668304</v>
      </c>
      <c r="Z44" s="68">
        <v>350</v>
      </c>
      <c r="AA44" s="68">
        <v>1</v>
      </c>
      <c r="AB44" s="68">
        <v>5</v>
      </c>
      <c r="AC44" s="68" t="s">
        <v>75</v>
      </c>
      <c r="AD44" s="68">
        <v>0</v>
      </c>
      <c r="AE44" s="68">
        <v>5.39</v>
      </c>
      <c r="AF44" s="68">
        <v>70</v>
      </c>
      <c r="AG44" s="68">
        <v>130</v>
      </c>
      <c r="AH44" s="68">
        <v>75</v>
      </c>
      <c r="AI44" s="68">
        <v>6.9</v>
      </c>
      <c r="AJ44" s="68">
        <v>13</v>
      </c>
      <c r="AK44" s="68" t="s">
        <v>76</v>
      </c>
      <c r="AL44" s="68" t="s">
        <v>68</v>
      </c>
      <c r="AM44" s="69">
        <v>63</v>
      </c>
      <c r="AN44" s="69">
        <v>0</v>
      </c>
      <c r="AO44" s="69">
        <v>0</v>
      </c>
      <c r="AP44" s="69">
        <v>0</v>
      </c>
      <c r="AQ44" s="69"/>
      <c r="AR44" s="77" t="s">
        <v>90</v>
      </c>
      <c r="AS44" s="70" t="s">
        <v>70</v>
      </c>
      <c r="AT44" s="70"/>
      <c r="AU44" s="63">
        <v>97</v>
      </c>
      <c r="AV44" s="63" t="s">
        <v>70</v>
      </c>
      <c r="AX44" s="65">
        <v>2</v>
      </c>
      <c r="AY44" s="65" t="s">
        <v>91</v>
      </c>
      <c r="AZ44" s="65">
        <v>1</v>
      </c>
      <c r="BA44" s="65"/>
      <c r="BB44" s="65">
        <v>4</v>
      </c>
      <c r="BC44" s="65">
        <v>120</v>
      </c>
      <c r="BD44" s="65"/>
      <c r="BE44" s="65">
        <v>2.25</v>
      </c>
      <c r="BF44" s="65">
        <v>1</v>
      </c>
    </row>
    <row r="45" spans="1:58" x14ac:dyDescent="0.3">
      <c r="A45" s="64">
        <v>13833</v>
      </c>
      <c r="B45" s="64" t="s">
        <v>84</v>
      </c>
      <c r="C45" s="80">
        <v>3</v>
      </c>
      <c r="D45" s="65" t="s">
        <v>72</v>
      </c>
      <c r="E45" s="83" t="s">
        <v>85</v>
      </c>
      <c r="F45" s="65">
        <v>379</v>
      </c>
      <c r="G45" s="66">
        <f t="shared" si="15"/>
        <v>0.79487179487179482</v>
      </c>
      <c r="H45" s="63">
        <f t="shared" si="16"/>
        <v>31</v>
      </c>
      <c r="I45" s="65">
        <v>410</v>
      </c>
      <c r="K45" s="72"/>
      <c r="L45" s="72"/>
      <c r="M45" s="73"/>
      <c r="N45" s="72"/>
      <c r="O45" s="74"/>
      <c r="P45" s="67">
        <f t="shared" si="6"/>
        <v>66</v>
      </c>
      <c r="Q45" s="65">
        <v>445</v>
      </c>
      <c r="R45" s="66">
        <f t="shared" si="7"/>
        <v>17.414248021108179</v>
      </c>
      <c r="S45" s="68">
        <v>56.48</v>
      </c>
      <c r="T45" s="68">
        <v>59.09</v>
      </c>
      <c r="U45" s="68">
        <v>0</v>
      </c>
      <c r="V45" s="68">
        <v>6</v>
      </c>
      <c r="W45" s="68">
        <v>2</v>
      </c>
      <c r="X45" s="68">
        <v>270.5</v>
      </c>
      <c r="Y45" s="66">
        <f t="shared" si="8"/>
        <v>-39.213483146067418</v>
      </c>
      <c r="Z45" s="68">
        <v>300</v>
      </c>
      <c r="AA45" s="68">
        <v>1</v>
      </c>
      <c r="AB45" s="68">
        <v>6</v>
      </c>
      <c r="AC45" s="68" t="s">
        <v>75</v>
      </c>
      <c r="AD45" s="68">
        <v>1</v>
      </c>
      <c r="AE45" s="68">
        <v>5.43</v>
      </c>
      <c r="AF45" s="68">
        <v>63</v>
      </c>
      <c r="AG45" s="68">
        <v>120</v>
      </c>
      <c r="AH45" s="68">
        <v>110</v>
      </c>
      <c r="AI45" s="68">
        <v>7.2</v>
      </c>
      <c r="AJ45" s="68">
        <v>13</v>
      </c>
      <c r="AK45" s="68" t="s">
        <v>76</v>
      </c>
      <c r="AL45" s="68" t="s">
        <v>68</v>
      </c>
      <c r="AM45" s="69">
        <v>46</v>
      </c>
      <c r="AN45" s="69">
        <v>0</v>
      </c>
      <c r="AO45" s="69">
        <v>0</v>
      </c>
      <c r="AP45" s="69">
        <v>0</v>
      </c>
      <c r="AQ45" s="69"/>
      <c r="AR45" s="70"/>
      <c r="AS45" s="70" t="s">
        <v>70</v>
      </c>
      <c r="AT45" s="70"/>
      <c r="AU45" s="63">
        <v>34</v>
      </c>
      <c r="AV45" s="63" t="s">
        <v>70</v>
      </c>
      <c r="AX45" s="65">
        <v>1</v>
      </c>
      <c r="AY45" s="65" t="s">
        <v>87</v>
      </c>
      <c r="AZ45" s="65">
        <v>10</v>
      </c>
      <c r="BA45" s="65"/>
      <c r="BB45" s="65">
        <v>3</v>
      </c>
      <c r="BC45" s="65">
        <v>112</v>
      </c>
      <c r="BD45" s="65"/>
      <c r="BE45" s="65">
        <v>4.25</v>
      </c>
      <c r="BF45" s="65">
        <v>1</v>
      </c>
    </row>
    <row r="46" spans="1:58" x14ac:dyDescent="0.3">
      <c r="A46" s="64">
        <v>13916</v>
      </c>
      <c r="B46" s="65" t="s">
        <v>78</v>
      </c>
      <c r="C46" s="81">
        <v>4</v>
      </c>
      <c r="D46" s="65" t="s">
        <v>57</v>
      </c>
      <c r="E46" s="65" t="s">
        <v>79</v>
      </c>
      <c r="F46" s="65">
        <v>352</v>
      </c>
      <c r="G46" s="66">
        <f t="shared" si="15"/>
        <v>0.20512820512820512</v>
      </c>
      <c r="H46" s="63">
        <f t="shared" si="16"/>
        <v>8</v>
      </c>
      <c r="I46" s="65">
        <v>360</v>
      </c>
      <c r="J46" s="66">
        <f>(M46-I46)/30</f>
        <v>1.3333333333333333</v>
      </c>
      <c r="K46" s="63">
        <f>M46-I46</f>
        <v>40</v>
      </c>
      <c r="L46" s="63">
        <f>M46-F46</f>
        <v>48</v>
      </c>
      <c r="M46" s="65">
        <v>400</v>
      </c>
      <c r="N46" s="66">
        <f>(Q46-M46)/6</f>
        <v>1.8333333333333333</v>
      </c>
      <c r="O46" s="66">
        <f>Q46-M46</f>
        <v>11</v>
      </c>
      <c r="P46" s="67">
        <f t="shared" si="6"/>
        <v>59</v>
      </c>
      <c r="Q46" s="65">
        <v>411</v>
      </c>
      <c r="R46" s="66">
        <f t="shared" si="7"/>
        <v>16.761363636363637</v>
      </c>
      <c r="S46" s="68">
        <v>58.71</v>
      </c>
      <c r="T46" s="68">
        <v>61.32</v>
      </c>
      <c r="U46" s="68">
        <v>0</v>
      </c>
      <c r="V46" s="68">
        <v>7</v>
      </c>
      <c r="W46" s="68">
        <v>3</v>
      </c>
      <c r="X46" s="68">
        <v>244.9</v>
      </c>
      <c r="Y46" s="66">
        <f t="shared" si="8"/>
        <v>-40.413625304136254</v>
      </c>
      <c r="Z46" s="68">
        <v>390</v>
      </c>
      <c r="AA46" s="68">
        <v>1</v>
      </c>
      <c r="AB46" s="68">
        <v>7</v>
      </c>
      <c r="AC46" s="68" t="s">
        <v>75</v>
      </c>
      <c r="AD46" s="68">
        <v>1</v>
      </c>
      <c r="AE46" s="68">
        <v>5.39</v>
      </c>
      <c r="AF46" s="68">
        <v>73</v>
      </c>
      <c r="AG46" s="68">
        <v>170</v>
      </c>
      <c r="AH46" s="68">
        <v>75</v>
      </c>
      <c r="AI46" s="68">
        <v>7</v>
      </c>
      <c r="AJ46" s="68">
        <v>13</v>
      </c>
      <c r="AK46" s="68" t="s">
        <v>76</v>
      </c>
      <c r="AL46" s="68" t="s">
        <v>68</v>
      </c>
      <c r="AM46" s="69">
        <v>32</v>
      </c>
      <c r="AN46" s="69">
        <v>0</v>
      </c>
      <c r="AO46" s="69">
        <v>0</v>
      </c>
      <c r="AP46" s="69">
        <v>0</v>
      </c>
      <c r="AQ46" s="69"/>
      <c r="AR46" s="77" t="s">
        <v>82</v>
      </c>
      <c r="AS46" s="70" t="s">
        <v>83</v>
      </c>
      <c r="AT46" s="70"/>
      <c r="AU46" s="63">
        <v>54</v>
      </c>
      <c r="AV46" s="63" t="s">
        <v>70</v>
      </c>
      <c r="AX46" s="65">
        <v>2.5</v>
      </c>
      <c r="AY46" s="65" t="s">
        <v>61</v>
      </c>
      <c r="AZ46" s="65">
        <v>3</v>
      </c>
      <c r="BA46" s="65"/>
      <c r="BB46" s="65">
        <v>2</v>
      </c>
      <c r="BC46" s="65">
        <v>131</v>
      </c>
      <c r="BD46" s="65"/>
      <c r="BE46" s="65">
        <v>3</v>
      </c>
      <c r="BF46" s="65">
        <v>3</v>
      </c>
    </row>
    <row r="47" spans="1:58" x14ac:dyDescent="0.3">
      <c r="A47" s="64">
        <v>13910</v>
      </c>
      <c r="B47" s="65" t="s">
        <v>56</v>
      </c>
      <c r="C47" s="79">
        <v>2</v>
      </c>
      <c r="D47" s="65" t="s">
        <v>72</v>
      </c>
      <c r="E47" s="82" t="s">
        <v>73</v>
      </c>
      <c r="F47" s="65">
        <v>381</v>
      </c>
      <c r="G47" s="66">
        <f t="shared" si="15"/>
        <v>0.23076923076923078</v>
      </c>
      <c r="H47" s="63">
        <f t="shared" si="16"/>
        <v>9</v>
      </c>
      <c r="I47" s="65">
        <v>390</v>
      </c>
      <c r="J47" s="66">
        <f>(M47-I47)/30</f>
        <v>1.2333333333333334</v>
      </c>
      <c r="K47" s="63">
        <f>M47-I47</f>
        <v>37</v>
      </c>
      <c r="L47" s="63">
        <f>M47-F47</f>
        <v>46</v>
      </c>
      <c r="M47" s="65">
        <v>427</v>
      </c>
      <c r="N47" s="66">
        <f>(Q47-M47)/6</f>
        <v>2.1666666666666665</v>
      </c>
      <c r="O47" s="66">
        <f>Q47-M47</f>
        <v>13</v>
      </c>
      <c r="P47" s="67">
        <f t="shared" si="6"/>
        <v>59</v>
      </c>
      <c r="Q47" s="65">
        <v>440</v>
      </c>
      <c r="R47" s="66">
        <f t="shared" si="7"/>
        <v>15.485564304461944</v>
      </c>
      <c r="S47" s="68">
        <v>60.95</v>
      </c>
      <c r="T47" s="68">
        <v>63.56</v>
      </c>
      <c r="U47" s="68">
        <v>0</v>
      </c>
      <c r="V47" s="68">
        <v>5</v>
      </c>
      <c r="W47" s="68">
        <v>2</v>
      </c>
      <c r="X47" s="68">
        <v>249.8</v>
      </c>
      <c r="Y47" s="66">
        <f t="shared" si="8"/>
        <v>-43.227272727272727</v>
      </c>
      <c r="Z47" s="68">
        <v>330</v>
      </c>
      <c r="AA47" s="68">
        <v>1</v>
      </c>
      <c r="AB47" s="68">
        <v>5</v>
      </c>
      <c r="AC47" s="68" t="s">
        <v>75</v>
      </c>
      <c r="AD47" s="68">
        <v>0</v>
      </c>
      <c r="AE47" s="68">
        <v>5.47</v>
      </c>
      <c r="AF47" s="68">
        <v>73</v>
      </c>
      <c r="AG47" s="68">
        <v>120</v>
      </c>
      <c r="AH47" s="68">
        <v>75</v>
      </c>
      <c r="AI47" s="68">
        <v>7.1</v>
      </c>
      <c r="AJ47" s="68">
        <v>13</v>
      </c>
      <c r="AK47" s="68" t="s">
        <v>76</v>
      </c>
      <c r="AL47" s="68" t="s">
        <v>68</v>
      </c>
      <c r="AM47" s="69">
        <v>23</v>
      </c>
      <c r="AN47" s="69">
        <v>0</v>
      </c>
      <c r="AO47" s="69">
        <v>0</v>
      </c>
      <c r="AP47" s="76">
        <v>1</v>
      </c>
      <c r="AQ47" s="69"/>
      <c r="AR47" s="70"/>
      <c r="AS47" s="70" t="s">
        <v>70</v>
      </c>
      <c r="AT47" s="70"/>
      <c r="AU47" s="63">
        <v>60</v>
      </c>
      <c r="AV47" s="63" t="s">
        <v>70</v>
      </c>
      <c r="AX47" s="65">
        <v>1</v>
      </c>
      <c r="AY47" s="65" t="s">
        <v>77</v>
      </c>
      <c r="AZ47" s="65">
        <v>6</v>
      </c>
      <c r="BA47" s="65"/>
      <c r="BB47" s="65">
        <v>2</v>
      </c>
      <c r="BC47" s="65">
        <v>121</v>
      </c>
      <c r="BD47" s="65"/>
      <c r="BE47" s="65">
        <v>3</v>
      </c>
      <c r="BF47" s="65">
        <v>1</v>
      </c>
    </row>
    <row r="48" spans="1:58" x14ac:dyDescent="0.3">
      <c r="A48" s="64">
        <v>13880</v>
      </c>
      <c r="B48" s="65" t="s">
        <v>62</v>
      </c>
      <c r="C48" s="78">
        <v>1</v>
      </c>
      <c r="D48" s="65" t="s">
        <v>57</v>
      </c>
      <c r="E48" s="85" t="s">
        <v>64</v>
      </c>
      <c r="F48" s="65">
        <v>417</v>
      </c>
      <c r="G48" s="66">
        <f t="shared" si="15"/>
        <v>0.12820512820512819</v>
      </c>
      <c r="H48" s="63">
        <f t="shared" si="16"/>
        <v>5</v>
      </c>
      <c r="I48" s="65">
        <v>422</v>
      </c>
      <c r="J48" s="66">
        <f>(M48-I48)/30</f>
        <v>1.4666666666666666</v>
      </c>
      <c r="K48" s="63">
        <f>M48-I48</f>
        <v>44</v>
      </c>
      <c r="L48" s="63">
        <f>M48-F48</f>
        <v>49</v>
      </c>
      <c r="M48" s="65">
        <v>466</v>
      </c>
      <c r="N48" s="66">
        <f>(Q48-M48)/6</f>
        <v>2</v>
      </c>
      <c r="O48" s="66">
        <f>Q48-M48</f>
        <v>12</v>
      </c>
      <c r="P48" s="67">
        <f t="shared" si="6"/>
        <v>61</v>
      </c>
      <c r="Q48" s="65">
        <v>478</v>
      </c>
      <c r="R48" s="66">
        <f t="shared" si="7"/>
        <v>14.628297362110313</v>
      </c>
      <c r="S48" s="68">
        <v>54.81</v>
      </c>
      <c r="T48" s="68">
        <v>57.42</v>
      </c>
      <c r="U48" s="68">
        <v>0</v>
      </c>
      <c r="V48" s="68">
        <v>7</v>
      </c>
      <c r="W48" s="68">
        <v>3</v>
      </c>
      <c r="X48" s="68">
        <v>255.6</v>
      </c>
      <c r="Y48" s="66">
        <f t="shared" si="8"/>
        <v>-46.527196652719667</v>
      </c>
      <c r="Z48" s="68">
        <v>200</v>
      </c>
      <c r="AA48" s="68">
        <v>0</v>
      </c>
      <c r="AB48" s="68">
        <v>5</v>
      </c>
      <c r="AC48" s="68" t="s">
        <v>66</v>
      </c>
      <c r="AD48" s="68">
        <v>2</v>
      </c>
      <c r="AE48" s="68">
        <v>5.44</v>
      </c>
      <c r="AF48" s="68">
        <v>74</v>
      </c>
      <c r="AG48" s="68">
        <v>190</v>
      </c>
      <c r="AH48" s="68">
        <v>70</v>
      </c>
      <c r="AI48" s="68">
        <v>8.3000000000000007</v>
      </c>
      <c r="AJ48" s="68">
        <v>13</v>
      </c>
      <c r="AK48" s="68" t="s">
        <v>67</v>
      </c>
      <c r="AL48" s="68" t="s">
        <v>68</v>
      </c>
      <c r="AM48" s="69">
        <v>50</v>
      </c>
      <c r="AN48" s="69">
        <v>0</v>
      </c>
      <c r="AO48" s="69">
        <v>0</v>
      </c>
      <c r="AP48" s="69">
        <v>0</v>
      </c>
      <c r="AQ48" s="69"/>
      <c r="AR48" s="77" t="s">
        <v>69</v>
      </c>
      <c r="AS48" s="70" t="s">
        <v>70</v>
      </c>
      <c r="AT48" s="70"/>
      <c r="AU48" s="63">
        <v>51</v>
      </c>
      <c r="AV48" s="63" t="s">
        <v>70</v>
      </c>
      <c r="AX48" s="65">
        <v>2</v>
      </c>
      <c r="AY48" s="65" t="s">
        <v>71</v>
      </c>
      <c r="AZ48" s="65">
        <v>4</v>
      </c>
      <c r="BA48" s="65"/>
      <c r="BB48" s="65">
        <v>3</v>
      </c>
      <c r="BC48" s="65">
        <v>118</v>
      </c>
      <c r="BD48" s="65"/>
      <c r="BE48" s="65">
        <v>3.5</v>
      </c>
      <c r="BF48" s="65">
        <v>1</v>
      </c>
    </row>
    <row r="49" spans="1:58" x14ac:dyDescent="0.3">
      <c r="A49" s="64">
        <v>13894</v>
      </c>
      <c r="B49" s="65" t="s">
        <v>62</v>
      </c>
      <c r="C49" s="78">
        <v>1</v>
      </c>
      <c r="D49" s="65" t="s">
        <v>57</v>
      </c>
      <c r="E49" s="65" t="s">
        <v>58</v>
      </c>
      <c r="F49" s="65">
        <v>352</v>
      </c>
      <c r="G49" s="66">
        <f t="shared" si="15"/>
        <v>0.51282051282051277</v>
      </c>
      <c r="H49" s="63">
        <f t="shared" si="16"/>
        <v>20</v>
      </c>
      <c r="I49" s="65">
        <v>372</v>
      </c>
      <c r="J49" s="66">
        <f>(M49-I49)/30</f>
        <v>0.36666666666666664</v>
      </c>
      <c r="K49" s="63">
        <f>M49-I49</f>
        <v>11</v>
      </c>
      <c r="L49" s="63">
        <f>M49-F49</f>
        <v>31</v>
      </c>
      <c r="M49" s="65">
        <v>383</v>
      </c>
      <c r="N49" s="66"/>
      <c r="P49" s="67"/>
      <c r="Q49" s="75"/>
      <c r="R49" s="66">
        <f>((M49-F49)/F49)*100</f>
        <v>8.8068181818181817</v>
      </c>
      <c r="Y49" s="66"/>
      <c r="AX49" s="65">
        <v>2</v>
      </c>
      <c r="AY49" s="65" t="s">
        <v>63</v>
      </c>
      <c r="AZ49" s="65">
        <v>14</v>
      </c>
      <c r="BA49" s="65"/>
      <c r="BB49" s="65">
        <v>3</v>
      </c>
      <c r="BC49" s="65">
        <v>122</v>
      </c>
      <c r="BD49" s="65"/>
      <c r="BE49" s="65">
        <v>3.75</v>
      </c>
      <c r="BF49" s="65">
        <v>1</v>
      </c>
    </row>
    <row r="50" spans="1:58" x14ac:dyDescent="0.3">
      <c r="A50" s="64">
        <v>13906</v>
      </c>
      <c r="B50" s="65" t="s">
        <v>56</v>
      </c>
      <c r="C50" s="79">
        <v>2</v>
      </c>
      <c r="D50" s="65" t="s">
        <v>57</v>
      </c>
      <c r="E50" s="65" t="s">
        <v>58</v>
      </c>
      <c r="F50" s="65">
        <v>333</v>
      </c>
      <c r="G50" s="66">
        <f t="shared" si="15"/>
        <v>0.23076923076923078</v>
      </c>
      <c r="H50" s="63">
        <f t="shared" si="16"/>
        <v>9</v>
      </c>
      <c r="I50" s="65">
        <v>342</v>
      </c>
      <c r="J50" s="66">
        <f>(M50-I50)/30</f>
        <v>0.6333333333333333</v>
      </c>
      <c r="K50" s="63">
        <f>M50-I50</f>
        <v>19</v>
      </c>
      <c r="L50" s="63">
        <f>M50-F50</f>
        <v>28</v>
      </c>
      <c r="M50" s="65">
        <v>361</v>
      </c>
      <c r="N50" s="66"/>
      <c r="P50" s="67"/>
      <c r="Q50" s="75"/>
      <c r="R50" s="66">
        <f>((M50-F50)/F50)*100</f>
        <v>8.408408408408409</v>
      </c>
      <c r="Y50" s="66"/>
      <c r="AX50" s="65">
        <v>3</v>
      </c>
      <c r="AY50" s="65" t="s">
        <v>61</v>
      </c>
      <c r="AZ50" s="65">
        <v>3</v>
      </c>
      <c r="BA50" s="65"/>
      <c r="BB50" s="65">
        <v>3</v>
      </c>
      <c r="BC50" s="65">
        <v>124</v>
      </c>
      <c r="BD50" s="65"/>
      <c r="BE50" s="65">
        <v>3.25</v>
      </c>
      <c r="BF50" s="65">
        <v>1</v>
      </c>
    </row>
  </sheetData>
  <autoFilter ref="A1:BX1" xr:uid="{BF959786-07D5-4D2F-9350-7F9189DC9F5E}">
    <sortState xmlns:xlrd2="http://schemas.microsoft.com/office/spreadsheetml/2017/richdata2" ref="A2:BF50">
      <sortCondition descending="1" ref="R1"/>
    </sortState>
  </autoFilter>
  <conditionalFormatting sqref="R1:R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BE1514A5680F4FA800DF4AD8D706D5" ma:contentTypeVersion="12" ma:contentTypeDescription="Create a new document." ma:contentTypeScope="" ma:versionID="9300f82474b316eb44e6b8f9c28d8d9d">
  <xsd:schema xmlns:xsd="http://www.w3.org/2001/XMLSchema" xmlns:xs="http://www.w3.org/2001/XMLSchema" xmlns:p="http://schemas.microsoft.com/office/2006/metadata/properties" xmlns:ns3="2f17232e-663d-4141-ac5d-6bbfdcfb4afb" xmlns:ns4="615d1567-50e0-41a8-b9ae-24845d7c8b62" targetNamespace="http://schemas.microsoft.com/office/2006/metadata/properties" ma:root="true" ma:fieldsID="cfeac94caf21f2cf23d0586120f8b479" ns3:_="" ns4:_="">
    <xsd:import namespace="2f17232e-663d-4141-ac5d-6bbfdcfb4afb"/>
    <xsd:import namespace="615d1567-50e0-41a8-b9ae-24845d7c8b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7232e-663d-4141-ac5d-6bbfdcfb4a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d1567-50e0-41a8-b9ae-24845d7c8b6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905460-095F-4FBC-A790-C3B92E2505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057DBA-635E-423A-AB86-E3D6483591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17232e-663d-4141-ac5d-6bbfdcfb4afb"/>
    <ds:schemaRef ds:uri="615d1567-50e0-41a8-b9ae-24845d7c8b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128C74-B6B5-4567-9AE7-EEAF1676FCF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data</vt:lpstr>
      <vt:lpstr>Histograms</vt:lpstr>
      <vt:lpstr>Raw data</vt:lpstr>
      <vt:lpstr>ADG calculations</vt:lpstr>
      <vt:lpstr>FOO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Auriol Purdie</dc:creator>
  <cp:keywords/>
  <dc:description/>
  <cp:lastModifiedBy>Auriol Purdie</cp:lastModifiedBy>
  <cp:revision/>
  <dcterms:created xsi:type="dcterms:W3CDTF">2018-10-09T05:24:39Z</dcterms:created>
  <dcterms:modified xsi:type="dcterms:W3CDTF">2026-03-05T01:11:16Z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0x010100DABE1514A5680F4FA800DF4AD8D706D5</vt:lpwstr>
  </property>
</Properties>
</file>