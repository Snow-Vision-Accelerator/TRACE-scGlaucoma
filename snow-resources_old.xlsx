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udit" sheetId="2" r:id="rId6"/>
    <sheet state="visible" name="Harmonised" sheetId="3" r:id="rId7"/>
    <sheet state="visible" name="Dataset-Cell Types" sheetId="4" r:id="rId8"/>
    <sheet state="visible" name="Cell Type Map" sheetId="5" r:id="rId9"/>
    <sheet state="visible" name="Paper_Assignments" sheetId="6" r:id="rId10"/>
    <sheet state="visible" name="note" sheetId="7" r:id="rId11"/>
    <sheet state="visible" name="Guidelines" sheetId="8" r:id="rId12"/>
    <sheet state="visible" name="method" sheetId="9" r:id="rId13"/>
    <sheet state="visible" name="Filtering"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tc={146356bc-934c-43bd-8bc4-c643dc5f6542}</author>
    <author>tc={5e64d54f-aee9-4c22-8449-d0d2c6e53173}</author>
    <author>tc={6e93283c-1f17-4a9c-aca1-dc93215e829a}</author>
    <author>tc={8fdb49a9-4b3f-4b02-a8ce-e8bd3d20aacd}</author>
    <author>tc={97ace5f2-83e6-4b00-ae75-0dfd3e37d14b}</author>
    <author>tc={b49423e2-b8d3-459f-96a9-fe95a2e2ab79}</author>
    <author>tc={c6897cba-fec0-4c7b-9ded-2029beae2412}</author>
    <author>tc={cbef4843-7f78-4ae6-a191-71cbc2b0bec4}</author>
    <author>tc={ebd984cd-178a-4d20-bd28-fbe58f09aa9a}</author>
  </authors>
  <commentList>
    <comment authorId="0" xr:uid="{146356bc-934c-43bd-8bc4-c643dc5f6542}" ref="A1">
      <text>
        <t xml:space="preserve">[Threaded comment]
 Your version of Excel allows you to read this threaded comment; however, any edits to it will get removed if the file is opened in a newer version of Excel. Learn more: https://go.microsoft.com/fwlink/?linkid=870924
Comment:
	note
</t>
      </text>
    </comment>
    <comment authorId="1" xr:uid="{5e64d54f-aee9-4c22-8449-d0d2c6e53173}" ref="M9">
      <text>
        <t xml:space="preserve">[Threaded comment]
 Your version of Excel allows you to read this threaded comment; however, any edits to it will get removed if the file is opened in a newer version of Excel. Learn more: https://go.microsoft.com/fwlink/?linkid=870924
Comment:
	cant upload to drive link as it's too large: GSE137311 (18GB)
</t>
      </text>
    </comment>
    <comment authorId="2" xr:uid="{6e93283c-1f17-4a9c-aca1-dc93215e829a}" ref="M13">
      <text>
        <t xml:space="preserve">[Threaded comment]
 Your version of Excel allows you to read this threaded comment; however, any edits to it will get removed if the file is opened in a newer version of Excel. Learn more: https://go.microsoft.com/fwlink/?linkid=870924
Comment:
	GSE137847: include GSE137537, GSE137846
</t>
      </text>
    </comment>
    <comment authorId="3" xr:uid="{8fdb49a9-4b3f-4b02-a8ce-e8bd3d20aacd}" ref="M15">
      <text>
        <t xml:space="preserve">[Threaded comment]
 Your version of Excel allows you to read this threaded comment; however, any edits to it will get removed if the file is opened in a newer version of Excel. Learn more: https://go.microsoft.com/fwlink/?linkid=870924
Comment:
	download by Anne
</t>
      </text>
    </comment>
    <comment authorId="4" xr:uid="{97ace5f2-83e6-4b00-ae75-0dfd3e37d14b}" ref="A12">
      <text>
        <t xml:space="preserve">[Threaded comment]
 Your version of Excel allows you to read this threaded comment; however, any edits to it will get removed if the file is opened in a newer version of Excel. Learn more: https://go.microsoft.com/fwlink/?linkid=870924
Comment:
	duplicated
</t>
      </text>
    </comment>
    <comment authorId="5" xr:uid="{b49423e2-b8d3-459f-96a9-fe95a2e2ab79}" ref="M18">
      <text>
        <t xml:space="preserve">[Threaded comment]
 Your version of Excel allows you to read this threaded comment; however, any edits to it will get removed if the file is opened in a newer version of Excel. Learn more: https://go.microsoft.com/fwlink/?linkid=870924
Comment:
	large: 10GB
</t>
      </text>
    </comment>
    <comment authorId="6" xr:uid="{c6897cba-fec0-4c7b-9ded-2029beae2412}" ref="M17">
      <text>
        <t xml:space="preserve">[Threaded comment]
 Your version of Excel allows you to read this threaded comment; however, any edits to it will get removed if the file is opened in a newer version of Excel. Learn more: https://go.microsoft.com/fwlink/?linkid=870924
Comment:
	downloaded by Anne
</t>
      </text>
    </comment>
    <comment authorId="7" xr:uid="{cbef4843-7f78-4ae6-a191-71cbc2b0bec4}" ref="M19">
      <text>
        <t xml:space="preserve">[Threaded comment]
 Your version of Excel allows you to read this threaded comment; however, any edits to it will get removed if the file is opened in a newer version of Excel. Learn more: https://go.microsoft.com/fwlink/?linkid=870924
Comment:
	too large: 153.48 GB
</t>
      </text>
    </comment>
    <comment authorId="8" xr:uid="{ebd984cd-178a-4d20-bd28-fbe58f09aa9a}" ref="M46">
      <text>
        <t xml:space="preserve">[Threaded comment]
 Your version of Excel allows you to read this threaded comment; however, any edits to it will get removed if the file is opened in a newer version of Excel. Learn more: https://go.microsoft.com/fwlink/?linkid=870924
Comment:
	S-BSST840: 404 not found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tc={43f506de-146f-4955-b299-7e6ed60f6c47}</author>
    <author>tc={569df47e-c94e-4f94-8050-20dc850e7f1e}</author>
    <author>tc={6b112d64-00b9-4e6f-874a-477654f15d48}</author>
    <author>tc={8d064c00-76a3-41ac-afa8-09b2a3a63f2a}</author>
    <author>tc={d23f6a91-8d79-4e84-b167-288cd52e1a3e}</author>
    <author>tc={f56f8d8b-1dd0-447f-8468-6074e8546013}</author>
  </authors>
  <commentList>
    <comment authorId="0" xr:uid="{43f506de-146f-4955-b299-7e6ed60f6c47}" ref="C1">
      <text>
        <t xml:space="preserve">[Threaded comment]
 Your version of Excel allows you to read this threaded comment; however, any edits to it will get removed if the file is opened in a newer version of Excel. Learn more: https://go.microsoft.com/fwlink/?linkid=870924
Comment:
	Will you write notes in this section ?
</t>
      </text>
    </comment>
    <comment authorId="1" xr:uid="{569df47e-c94e-4f94-8050-20dc850e7f1e}" ref="B2">
      <text>
        <t xml:space="preserve">[Threaded comment]
 Your version of Excel allows you to read this threaded comment; however, any edits to it will get removed if the file is opened in a newer version of Excel. Learn more: https://go.microsoft.com/fwlink/?linkid=870924
Comment:
	This column should be Yes, No, Unsure
</t>
      </text>
    </comment>
    <comment authorId="2" xr:uid="{6b112d64-00b9-4e6f-874a-477654f15d48}" ref="C4">
      <text>
        <t xml:space="preserve">[Threaded comment]
 Your version of Excel allows you to read this threaded comment; however, any edits to it will get removed if the file is opened in a newer version of Excel. Learn more: https://go.microsoft.com/fwlink/?linkid=870924
Comment:
	Could be hard to track
</t>
      </text>
    </comment>
    <comment authorId="3" xr:uid="{8d064c00-76a3-41ac-afa8-09b2a3a63f2a}" ref="C2">
      <text>
        <t xml:space="preserve">[Threaded comment]
 Your version of Excel allows you to read this threaded comment; however, any edits to it will get removed if the file is opened in a newer version of Excel. Learn more: https://go.microsoft.com/fwlink/?linkid=870924
Comment:
	What is the entry to this (e.g. Biomarker, ??
</t>
      </text>
    </comment>
    <comment authorId="4" xr:uid="{d23f6a91-8d79-4e84-b167-288cd52e1a3e}" ref="D1">
      <text>
        <t xml:space="preserve">[Threaded comment]
 Your version of Excel allows you to read this threaded comment; however, any edits to it will get removed if the file is opened in a newer version of Excel. Learn more: https://go.microsoft.com/fwlink/?linkid=870924
Comment:
	We may need to find a few dataset and see whether this works
</t>
      </text>
    </comment>
    <comment authorId="5" xr:uid="{f56f8d8b-1dd0-447f-8468-6074e8546013}" ref="E10">
      <text>
        <t xml:space="preserve">[Threaded comment]
 Your version of Excel allows you to read this threaded comment; however, any edits to it will get removed if the file is opened in a newer version of Excel. Learn more: https://go.microsoft.com/fwlink/?linkid=870924
Comment:
	This will be hard to track.  Not sure what you plan
</t>
      </text>
    </comment>
  </commentList>
</comments>
</file>

<file path=xl/sharedStrings.xml><?xml version="1.0" encoding="utf-8"?>
<sst xmlns="http://schemas.openxmlformats.org/spreadsheetml/2006/main" count="6194" uniqueCount="1603">
  <si>
    <t>Dataset ID</t>
  </si>
  <si>
    <t>ID</t>
  </si>
  <si>
    <t>Dataset</t>
  </si>
  <si>
    <t>Source Name</t>
  </si>
  <si>
    <t>Accession</t>
  </si>
  <si>
    <t>DOI</t>
  </si>
  <si>
    <t>Article Title</t>
  </si>
  <si>
    <t>Journal</t>
  </si>
  <si>
    <t>First Author</t>
  </si>
  <si>
    <t>Last Author</t>
  </si>
  <si>
    <t>Year</t>
  </si>
  <si>
    <t>Species</t>
  </si>
  <si>
    <t>Number of
Controls</t>
  </si>
  <si>
    <t>Number of
Eye Disease</t>
  </si>
  <si>
    <t>Number
Perturbed</t>
  </si>
  <si>
    <t>Number of
Males</t>
  </si>
  <si>
    <t>Number of
Females</t>
  </si>
  <si>
    <t>Number of
Sex-mixed</t>
  </si>
  <si>
    <t>Age
Minimum</t>
  </si>
  <si>
    <t>Age
Maximum</t>
  </si>
  <si>
    <t>Age Unit</t>
  </si>
  <si>
    <t>Number of
Cells</t>
  </si>
  <si>
    <t>Tissue / Region</t>
  </si>
  <si>
    <t>Eye Disease</t>
  </si>
  <si>
    <t>Disease Subtype</t>
  </si>
  <si>
    <t>Assay</t>
  </si>
  <si>
    <t>FASTQ
Files</t>
  </si>
  <si>
    <t>Count
Matrix</t>
  </si>
  <si>
    <t>Batch
Details</t>
  </si>
  <si>
    <t>Donor ID</t>
  </si>
  <si>
    <t>Sample ID</t>
  </si>
  <si>
    <t>Cell Types</t>
  </si>
  <si>
    <t>scBaseCount</t>
  </si>
  <si>
    <t>Number of
Retinal Ganglion Cells</t>
  </si>
  <si>
    <t>Condition
Availability</t>
  </si>
  <si>
    <t>Tissue
Availability</t>
  </si>
  <si>
    <t>Compartment</t>
  </si>
  <si>
    <t>Layer
Availability</t>
  </si>
  <si>
    <t>Article-to-Data
Consistency</t>
  </si>
  <si>
    <t>Consistency
Details</t>
  </si>
  <si>
    <t>Abundance Matrix</t>
  </si>
  <si>
    <t>Perturbation-
treated</t>
  </si>
  <si>
    <t>Genetics</t>
  </si>
  <si>
    <t>ABCA1
Knockout</t>
  </si>
  <si>
    <t>Gene IDs</t>
  </si>
  <si>
    <t>ANGPT1
Knockout</t>
  </si>
  <si>
    <t>ASCL1
Induction</t>
  </si>
  <si>
    <t>BRN3B
Induction</t>
  </si>
  <si>
    <t>IGFBPL1 
Knockout</t>
  </si>
  <si>
    <t>Notes</t>
  </si>
  <si>
    <t>ISLET1
Induction</t>
  </si>
  <si>
    <t>Oprm1
Induction</t>
  </si>
  <si>
    <t>PAX6
Induction</t>
  </si>
  <si>
    <t>Pou4f2
Induction</t>
  </si>
  <si>
    <t>Stim2
Knockout</t>
  </si>
  <si>
    <t>Dexamethasone
Acetate</t>
  </si>
  <si>
    <t>Lipoxin B4
Treatment</t>
  </si>
  <si>
    <t>Optic Nerve Crush</t>
  </si>
  <si>
    <t>Optic Nerve Transection</t>
  </si>
  <si>
    <t>D001</t>
  </si>
  <si>
    <t>Atlas</t>
  </si>
  <si>
    <t>Cell Type</t>
  </si>
  <si>
    <t>GSE125708</t>
  </si>
  <si>
    <t>Basic Information</t>
  </si>
  <si>
    <t>Data</t>
  </si>
  <si>
    <t>JIHE20</t>
  </si>
  <si>
    <t>Gene Expression Omnibus</t>
  </si>
  <si>
    <t>10.1073/pnas.1821122116</t>
  </si>
  <si>
    <t>Hypoxia tolerance in the Norrin-deficient retina and the chronically hypoxic brain studied at single-cell resolution</t>
  </si>
  <si>
    <t>Proceedings of the National Academy of Sciences of the United States of America</t>
  </si>
  <si>
    <t>Jacob Heng</t>
  </si>
  <si>
    <t>Data information</t>
  </si>
  <si>
    <t>Jeremy Nathans</t>
  </si>
  <si>
    <t>Mouse</t>
  </si>
  <si>
    <t>Usefulness</t>
  </si>
  <si>
    <t>No</t>
  </si>
  <si>
    <t>Rod photoreceptor</t>
  </si>
  <si>
    <t>10x Genomics GemCode Platform</t>
  </si>
  <si>
    <t>scRNA</t>
  </si>
  <si>
    <t>Cell</t>
  </si>
  <si>
    <t>Yes</t>
  </si>
  <si>
    <t>Cone photoreceptor</t>
  </si>
  <si>
    <t>JS21</t>
  </si>
  <si>
    <t>10x Genomics Chromium 3' v3</t>
  </si>
  <si>
    <t>Bipolar</t>
  </si>
  <si>
    <t>BESU21</t>
  </si>
  <si>
    <t>10x Genomics Chromium</t>
  </si>
  <si>
    <t>Amacrine</t>
  </si>
  <si>
    <t>BIFE22</t>
  </si>
  <si>
    <t>BD Rhapsody</t>
  </si>
  <si>
    <t>Müller glia</t>
  </si>
  <si>
    <t>LIDO23</t>
  </si>
  <si>
    <t>10x Chromium Next GEM Single Cell 3′</t>
  </si>
  <si>
    <t>Months</t>
  </si>
  <si>
    <t>Retinal ganglion</t>
  </si>
  <si>
    <t>WELU23</t>
  </si>
  <si>
    <t>Retina</t>
  </si>
  <si>
    <t>Familial Exudative Vitreoretinopathy</t>
  </si>
  <si>
    <t>NA</t>
  </si>
  <si>
    <t>Horizontal</t>
  </si>
  <si>
    <t>MIJI24</t>
  </si>
  <si>
    <t>Unstated</t>
  </si>
  <si>
    <t>Microglia</t>
  </si>
  <si>
    <t>RESI24</t>
  </si>
  <si>
    <t>Endothelial</t>
  </si>
  <si>
    <t>ALVI25</t>
  </si>
  <si>
    <t>Pericyte</t>
  </si>
  <si>
    <t>HULU25</t>
  </si>
  <si>
    <t>KUGR25</t>
  </si>
  <si>
    <t>YOSC22</t>
  </si>
  <si>
    <t>GSE178667</t>
  </si>
  <si>
    <t>LETH22</t>
  </si>
  <si>
    <t>D002</t>
  </si>
  <si>
    <t>10.1016/j.exer.2021.108811</t>
  </si>
  <si>
    <t>CHJI24</t>
  </si>
  <si>
    <t>Single-cell RNA-sequencing analysis of the ciliary epithelium and contiguous tissues in the mouse eye</t>
  </si>
  <si>
    <t>B</t>
  </si>
  <si>
    <t>Schwann</t>
  </si>
  <si>
    <t>Experimental Eye Research</t>
  </si>
  <si>
    <t>Jacob Youkilis</t>
  </si>
  <si>
    <t>Steven Bassnet</t>
  </si>
  <si>
    <t>Neutrophil</t>
  </si>
  <si>
    <t>Ciliary Body</t>
  </si>
  <si>
    <t>Smooth Muscle</t>
  </si>
  <si>
    <t>Erythrocyte</t>
  </si>
  <si>
    <t>Fibroblast</t>
  </si>
  <si>
    <t>Melanocyte</t>
  </si>
  <si>
    <t>Pigmented ciliary epithelial</t>
  </si>
  <si>
    <t>Non-pigmented ciliary epithelial</t>
  </si>
  <si>
    <t>Natural killer T</t>
  </si>
  <si>
    <t>Cone bipolar</t>
  </si>
  <si>
    <t>Macrophage</t>
  </si>
  <si>
    <t>PRJNA1002073</t>
  </si>
  <si>
    <t>GSE168200</t>
  </si>
  <si>
    <t>Limbal stem</t>
  </si>
  <si>
    <t>Study ID</t>
  </si>
  <si>
    <t>Astrocyte</t>
  </si>
  <si>
    <t>Smooth muscle</t>
  </si>
  <si>
    <t>10984 cells in data.</t>
  </si>
  <si>
    <t>Retinal pigment epithelium</t>
  </si>
  <si>
    <t>Reviewer</t>
  </si>
  <si>
    <t>Final review</t>
  </si>
  <si>
    <t>Download</t>
  </si>
  <si>
    <t>Monocyte</t>
  </si>
  <si>
    <t>Title</t>
  </si>
  <si>
    <t>D003</t>
  </si>
  <si>
    <t>e148</t>
  </si>
  <si>
    <t>BioProject</t>
  </si>
  <si>
    <t xml:space="preserve">Last author </t>
  </si>
  <si>
    <t>10.1111/cpr.13550</t>
  </si>
  <si>
    <t>Year (use Published Date)</t>
  </si>
  <si>
    <t>Rapid and efficient generation of a transplantable population of functional retinal ganglion cells from fibroblasts</t>
  </si>
  <si>
    <t>Keratinocyte</t>
  </si>
  <si>
    <t>Cell Proliferation</t>
  </si>
  <si>
    <t>Journal name</t>
  </si>
  <si>
    <t>Zihui Xu</t>
  </si>
  <si>
    <t>Mengqing Xiang</t>
  </si>
  <si>
    <t>Published Date</t>
  </si>
  <si>
    <t>Nucleus</t>
  </si>
  <si>
    <t>Fibroblasts</t>
  </si>
  <si>
    <t>T</t>
  </si>
  <si>
    <t>Type of paper</t>
  </si>
  <si>
    <t>GSE206026</t>
  </si>
  <si>
    <t>E-mail</t>
  </si>
  <si>
    <t>Mast</t>
  </si>
  <si>
    <t>Human</t>
  </si>
  <si>
    <t>Plasma</t>
  </si>
  <si>
    <t>D004</t>
  </si>
  <si>
    <t>10.1038/s41467-021-26346-0</t>
  </si>
  <si>
    <t>Cellular crosstalk regulates the aqueous humor outflow pathway and provides new targets for glaucoma therapies</t>
  </si>
  <si>
    <t>Nature Communications</t>
  </si>
  <si>
    <t>License</t>
  </si>
  <si>
    <t>Benjamin Thomson</t>
  </si>
  <si>
    <t>Susan Quaggi</t>
  </si>
  <si>
    <t>Database</t>
  </si>
  <si>
    <t>Accessibility</t>
  </si>
  <si>
    <t>Data platform</t>
  </si>
  <si>
    <t>Data type</t>
  </si>
  <si>
    <t>Number of samples (replicates)</t>
  </si>
  <si>
    <t>Weeks</t>
  </si>
  <si>
    <t>Iridocorneal Angle or Limbus</t>
  </si>
  <si>
    <t>WEZH24</t>
  </si>
  <si>
    <t>Treatment group</t>
  </si>
  <si>
    <t>Number of samples in the treatment group</t>
  </si>
  <si>
    <t>Number of samples in the disease group</t>
  </si>
  <si>
    <t>Number of samples in the control group</t>
  </si>
  <si>
    <t>Study population (Males/ Females)</t>
  </si>
  <si>
    <t>Number of Males</t>
  </si>
  <si>
    <t>WEJO20</t>
  </si>
  <si>
    <t>Number of Females</t>
  </si>
  <si>
    <t>Study population (Demographics )</t>
  </si>
  <si>
    <t xml:space="preserve">Age </t>
  </si>
  <si>
    <t>Number of subjects (people)</t>
  </si>
  <si>
    <t>Number of cells if single cell data</t>
  </si>
  <si>
    <t>Disease</t>
  </si>
  <si>
    <t>Is raw data (fastq) available</t>
  </si>
  <si>
    <t>D005</t>
  </si>
  <si>
    <t>10.1007/s00018-022-04559-w</t>
  </si>
  <si>
    <t>A single-cell transcriptomic atlas of the human ciliary body</t>
  </si>
  <si>
    <t>RDS Missing (Rojashree)</t>
  </si>
  <si>
    <t>Cellular and Molecular Life Sciences</t>
  </si>
  <si>
    <t>Bingsheng Lou</t>
  </si>
  <si>
    <t>Feng Zhang</t>
  </si>
  <si>
    <t>TAJO20</t>
  </si>
  <si>
    <t>10x Genomics Chromium 3' v2</t>
  </si>
  <si>
    <t>Years</t>
  </si>
  <si>
    <t>TAJO22</t>
  </si>
  <si>
    <t>GSE176204</t>
  </si>
  <si>
    <t>RADW22</t>
  </si>
  <si>
    <t>Is count matrix available</t>
  </si>
  <si>
    <t>Glaucoma is once in Introduction, all about AMD.</t>
  </si>
  <si>
    <t>D006</t>
  </si>
  <si>
    <t>SEHO22</t>
  </si>
  <si>
    <t>10x Genomics Single Cell Multiome</t>
  </si>
  <si>
    <t>10.1016/j.celrep.2023.112889</t>
  </si>
  <si>
    <t>IGFBPL1 is a master driver of microglia homeostasis and resolution of neuroinflammation in glaucoma and brain tauopathy</t>
  </si>
  <si>
    <t>Cell Reports</t>
  </si>
  <si>
    <t>Li Pan</t>
  </si>
  <si>
    <t>Dong Feng Chen</t>
  </si>
  <si>
    <t>Is logcount matrix available</t>
  </si>
  <si>
    <t>Is batch information available (whether sample id can be used as batch information?)</t>
  </si>
  <si>
    <t>Natural killer</t>
  </si>
  <si>
    <t>Is the data library-normalised</t>
  </si>
  <si>
    <t>MABR19</t>
  </si>
  <si>
    <t>Donor ID
(refers to individual donor)</t>
  </si>
  <si>
    <t>Sample ID
(refers to within each donor, if there are different samples, eg, from different tissues)</t>
  </si>
  <si>
    <t>Age
(Specific age)</t>
  </si>
  <si>
    <t>Dendritc</t>
  </si>
  <si>
    <t>Sex
(Male / Female)</t>
  </si>
  <si>
    <t>Is cell type annotation available</t>
  </si>
  <si>
    <t>If cell type annotation is available, what is the resolution</t>
  </si>
  <si>
    <t>3500 cells in article</t>
  </si>
  <si>
    <t>Annotation Technique</t>
  </si>
  <si>
    <t>Cell Types Available for Reuse</t>
  </si>
  <si>
    <t>The number of retinal ganglion cells (if no cell type information, leave it blank)</t>
  </si>
  <si>
    <t>Is condition (treatment / disease / healthy) information available</t>
  </si>
  <si>
    <t>No mention of glaucoma anywhere in artcile, only AMD.</t>
  </si>
  <si>
    <t>Is tissue information available (fovea centralis, macula lutea, macula lutea proper, peripheral region of retina)</t>
  </si>
  <si>
    <t>Is layer information available? (ONL (outer nuclear layer)
INL (inner nuclear layer)
GCL (ganglion cell layer)
OPL / IPL)</t>
  </si>
  <si>
    <t>Is the data consistent with the paper</t>
  </si>
  <si>
    <t>SeqWell</t>
  </si>
  <si>
    <t>D007</t>
  </si>
  <si>
    <t>Notes (if not, what is inconsistent)</t>
  </si>
  <si>
    <t>GSE191017</t>
  </si>
  <si>
    <t>10.7554/eLife.87306</t>
  </si>
  <si>
    <t>Process required</t>
  </si>
  <si>
    <t>Self-formation of concentric zones of telencephalic and ocular tissues and directional retinal ganglion cell axons</t>
  </si>
  <si>
    <t>eLife</t>
  </si>
  <si>
    <t>Wei Liu</t>
  </si>
  <si>
    <t>Ludovic Spaeth</t>
  </si>
  <si>
    <t>Drug related</t>
  </si>
  <si>
    <t>H1 Stem Cell</t>
  </si>
  <si>
    <t>MAAL22</t>
  </si>
  <si>
    <t>LUJA20</t>
  </si>
  <si>
    <t>D008</t>
  </si>
  <si>
    <t>GSE247776</t>
  </si>
  <si>
    <t>10.1038/s41467-024-50050-4</t>
  </si>
  <si>
    <t>CRISPR-CasRx-mediated disruption of Aqp1/Adrb2/Rock1/Rock2 genes reduces intraocular pressure and retinal ganglion cell damage in mice</t>
  </si>
  <si>
    <t>CABO20</t>
  </si>
  <si>
    <t>Mingyu Yao</t>
  </si>
  <si>
    <t>Jinhai Huang</t>
  </si>
  <si>
    <t>Genetics data involved</t>
  </si>
  <si>
    <t>Methodology paper</t>
  </si>
  <si>
    <t>Resource / Biotechnology</t>
  </si>
  <si>
    <t>AT19</t>
  </si>
  <si>
    <t>Network construction</t>
  </si>
  <si>
    <t>Before and after the ora serrata</t>
  </si>
  <si>
    <t>ABJS23</t>
  </si>
  <si>
    <t>D009</t>
  </si>
  <si>
    <t>GSE271132</t>
  </si>
  <si>
    <t>10.7554/eLife.96459</t>
  </si>
  <si>
    <t>Transcriptomic profiling of Schlemm's canal cells reveals a lymphatic-biased identity and three major cell states</t>
  </si>
  <si>
    <t>Revathi Balasubramanian</t>
  </si>
  <si>
    <t>SUCO25</t>
  </si>
  <si>
    <t>Simon John</t>
  </si>
  <si>
    <t>Beilei to restore</t>
  </si>
  <si>
    <t>Anterior Segment</t>
  </si>
  <si>
    <t>Curator</t>
  </si>
  <si>
    <t>YIMI24</t>
  </si>
  <si>
    <t>One sample has 6 million cells</t>
  </si>
  <si>
    <t>D010</t>
  </si>
  <si>
    <t>GSE263230</t>
  </si>
  <si>
    <t>10.1038/s41597-025-04528-5</t>
  </si>
  <si>
    <t>Divergence in cellular markers observed in single-cell transcriptomics datasets between cultured primary trabecular meshwork cells and tissues</t>
  </si>
  <si>
    <t>Scientific Data</t>
  </si>
  <si>
    <t>Alice Tian</t>
  </si>
  <si>
    <t>VijayKrishna Raghunathan</t>
  </si>
  <si>
    <t>Trabecular Meshwork</t>
  </si>
  <si>
    <t>Glaucoma</t>
  </si>
  <si>
    <t>SRR28559133 corrupted</t>
  </si>
  <si>
    <t>D011</t>
  </si>
  <si>
    <t>Zenodo</t>
  </si>
  <si>
    <t>10.1038/s41392-025-02438-x</t>
  </si>
  <si>
    <t>Single-cell RNA-seq reveals cell type-specific molecular and genetic associations with primary open-angle glaucoma</t>
  </si>
  <si>
    <t>Signal Transduction and Targeted Therapy</t>
  </si>
  <si>
    <t>Huaping Tian</t>
  </si>
  <si>
    <t>Lulin Huang</t>
  </si>
  <si>
    <t>Peripheral Blood</t>
  </si>
  <si>
    <t>Primary Open Angle</t>
  </si>
  <si>
    <t>Ciliary epithelial</t>
  </si>
  <si>
    <t>Number of samples after filtering</t>
  </si>
  <si>
    <t>Trabecular meshwork</t>
  </si>
  <si>
    <t>D012</t>
  </si>
  <si>
    <t>GSE315712</t>
  </si>
  <si>
    <t>10.1101/2025.08.15.670438</t>
  </si>
  <si>
    <t>Single-Cell Characterization of Anterior Segment Development: Cell Types, Pathways, and Signals Driving Formation of the Trabecular Meshwork and Schlemm’s Canal</t>
  </si>
  <si>
    <t>Days</t>
  </si>
  <si>
    <t>Anterior Segment Limbal Tissue</t>
  </si>
  <si>
    <t>Neuron</t>
  </si>
  <si>
    <t>Single Cell Portal</t>
  </si>
  <si>
    <t>GSE272434</t>
  </si>
  <si>
    <t>snRNA</t>
  </si>
  <si>
    <t>D013</t>
  </si>
  <si>
    <t>GSE251716</t>
  </si>
  <si>
    <t>10.1186/s13024-024-00775-z</t>
  </si>
  <si>
    <t>Regulation of disease-associated microglia in the optic nerve by lipoxin B4 and ocular hypertension</t>
  </si>
  <si>
    <t>Molecular Neurodegeneration</t>
  </si>
  <si>
    <t>Rojashree</t>
  </si>
  <si>
    <t>Kumar Matangi</t>
  </si>
  <si>
    <t>Gronert Karsten</t>
  </si>
  <si>
    <t>CD4 T</t>
  </si>
  <si>
    <t>yes</t>
  </si>
  <si>
    <t>Anne</t>
  </si>
  <si>
    <t>Transcriptomic analysis of the ocular posterior segment completes a cell atlas of the human eye</t>
  </si>
  <si>
    <t>CD8 T</t>
  </si>
  <si>
    <t>Aboozar Monavarfeshani</t>
  </si>
  <si>
    <t>Joshua R. Sanes</t>
  </si>
  <si>
    <t>Myeloid</t>
  </si>
  <si>
    <t>https://doi.org/10.1073/pnas.2306153120</t>
  </si>
  <si>
    <t>Natural Killer</t>
  </si>
  <si>
    <t>Platelet</t>
  </si>
  <si>
    <t>D014</t>
  </si>
  <si>
    <t>GSE207929</t>
  </si>
  <si>
    <t>10.1126/sciadv.abq1081</t>
  </si>
  <si>
    <t>Astrocytic dysfunction induced by ABCA1 deficiency causes optic neuropathy</t>
  </si>
  <si>
    <t>Science Advances</t>
  </si>
  <si>
    <t>Youichi Shinozaki</t>
  </si>
  <si>
    <t>Schuichi Koizumi</t>
  </si>
  <si>
    <t>D015</t>
  </si>
  <si>
    <t>GSE211077</t>
  </si>
  <si>
    <t>10.1126/sciadv.abq7219</t>
  </si>
  <si>
    <t>Reprogramming Muller glia to regenerate ganglion-like cells in adult mouse retina with developmental transcription factors.</t>
  </si>
  <si>
    <t>PNAS</t>
  </si>
  <si>
    <t>Levi Todd</t>
  </si>
  <si>
    <t>Thomas Reh</t>
  </si>
  <si>
    <t>Original research, New data</t>
  </si>
  <si>
    <t>GSE236566</t>
  </si>
  <si>
    <t>D016</t>
  </si>
  <si>
    <t>GSE241268</t>
  </si>
  <si>
    <t>10.1038/s41467-024-46428-z</t>
  </si>
  <si>
    <t>Intercellular communication atlas reveals Oprm1 as a neuroprotective factor for retinal ganglion cells</t>
  </si>
  <si>
    <t>Cheng Qian</t>
  </si>
  <si>
    <t>Jiang Qian</t>
  </si>
  <si>
    <t>81318 cells in data</t>
  </si>
  <si>
    <t>D017</t>
  </si>
  <si>
    <t>GSE243992</t>
  </si>
  <si>
    <t>10.1016/j.omtn.2024.102258</t>
  </si>
  <si>
    <t>Circular RNA-based therapy provides sustained and robust neuroprotection for retinal ganglion cells</t>
  </si>
  <si>
    <t>Molecular Therapy: Nucleic Acid</t>
  </si>
  <si>
    <t>Wenbing Jiang</t>
  </si>
  <si>
    <t>Zhi Xie</t>
  </si>
  <si>
    <t>D018</t>
  </si>
  <si>
    <t>GSE148077</t>
  </si>
  <si>
    <t>10.1038/s41598-020-66092-9</t>
  </si>
  <si>
    <t>Cell Atlas of The Human Fovea and Peripheral Retina</t>
  </si>
  <si>
    <t>Scientific Reports</t>
  </si>
  <si>
    <t>Wenjun Yan</t>
  </si>
  <si>
    <t>Joshua Sanes</t>
  </si>
  <si>
    <t>Public</t>
  </si>
  <si>
    <t>snRNAseq [Illumina NovaSeq 6000]</t>
  </si>
  <si>
    <t>single cell RNA</t>
  </si>
  <si>
    <t>D019</t>
  </si>
  <si>
    <t>GSE248537</t>
  </si>
  <si>
    <t>GSE146188</t>
  </si>
  <si>
    <t>10.1073/pnas.2001250117</t>
  </si>
  <si>
    <t>Cell atlas of aqueous humor outflow pathways in eyes of humans and four model species provides insight into glaucoma pathogenesis</t>
  </si>
  <si>
    <t>Tavé van Zyl</t>
  </si>
  <si>
    <t>N/A All are healthy in the eye</t>
  </si>
  <si>
    <t>N/A</t>
  </si>
  <si>
    <t>D020</t>
  </si>
  <si>
    <t>~210,000 (19 donors)</t>
  </si>
  <si>
    <t>GSE196235</t>
  </si>
  <si>
    <t>10.1016/j.xgen.2022.100164</t>
  </si>
  <si>
    <t>Single-cell multiome of the human retina and deep learning nominate causal variants in complex eye diseases</t>
  </si>
  <si>
    <t>Cell Genomics</t>
  </si>
  <si>
    <t>Sean Wang</t>
  </si>
  <si>
    <t>Howard Chang</t>
  </si>
  <si>
    <t>Source Label</t>
  </si>
  <si>
    <t>Database Label</t>
  </si>
  <si>
    <t>Datasets</t>
  </si>
  <si>
    <t>Amacrine cells</t>
  </si>
  <si>
    <t>Optic nerve head (ONH), Optic nerve, Sclera, RPE/Choroid</t>
  </si>
  <si>
    <t>Astrocytes</t>
  </si>
  <si>
    <t>D001, D018, D021, D037</t>
  </si>
  <si>
    <t>D021</t>
  </si>
  <si>
    <t>ArrayExpress</t>
  </si>
  <si>
    <t>E‐MTAB‐7316</t>
  </si>
  <si>
    <t>10.15252/embj.2018100811</t>
  </si>
  <si>
    <t>Cone bipolar cells</t>
  </si>
  <si>
    <t>A single‐cell transcriptome atlas of the adult human retina</t>
  </si>
  <si>
    <t>The EMBO Journal</t>
  </si>
  <si>
    <t>Samuel Lukowski</t>
  </si>
  <si>
    <t>Raymond Wong</t>
  </si>
  <si>
    <t>Cones</t>
  </si>
  <si>
    <t>Cone</t>
  </si>
  <si>
    <t>D001, D022, D029, D030, D037</t>
  </si>
  <si>
    <t>Horizontal cells</t>
  </si>
  <si>
    <t>Healthy donors</t>
  </si>
  <si>
    <t>Muller glia</t>
  </si>
  <si>
    <t>Müller Glia</t>
  </si>
  <si>
    <t>D001, D020</t>
  </si>
  <si>
    <t>Perivascular cells</t>
  </si>
  <si>
    <t>Perivascular</t>
  </si>
  <si>
    <t xml:space="preserve">No </t>
  </si>
  <si>
    <t>Retinal ganglion cells</t>
  </si>
  <si>
    <t>Retinal Ganglion</t>
  </si>
  <si>
    <t>Epithelial</t>
  </si>
  <si>
    <t>Rod bipolar cells</t>
  </si>
  <si>
    <t>D022</t>
  </si>
  <si>
    <t>GSE137537</t>
  </si>
  <si>
    <t>10.1038/s41467-019-12780-8</t>
  </si>
  <si>
    <t>Single-cell transcriptomic atlas of the human retina identifies cell types associated with age-related macular degeneration</t>
  </si>
  <si>
    <t>Rods</t>
  </si>
  <si>
    <t>Rod</t>
  </si>
  <si>
    <t>Madhvi Menon</t>
  </si>
  <si>
    <t>D001, D018, D022, D029, D030, D037</t>
  </si>
  <si>
    <t>Brian Hafler</t>
  </si>
  <si>
    <t>Vascular endothelial cells</t>
  </si>
  <si>
    <t>None</t>
  </si>
  <si>
    <t>Multiplets</t>
  </si>
  <si>
    <t>&lt;Removed&gt;</t>
  </si>
  <si>
    <t>specifically peripapillary and peripheral sclera</t>
  </si>
  <si>
    <t>0</t>
  </si>
  <si>
    <t>1</t>
  </si>
  <si>
    <t>Induced Retinal Ganglion</t>
  </si>
  <si>
    <t>Schwalbe line</t>
  </si>
  <si>
    <t>Retinal Pigment Epithelium</t>
  </si>
  <si>
    <t>2</t>
  </si>
  <si>
    <t>Limbal Stem</t>
  </si>
  <si>
    <t>Beam</t>
  </si>
  <si>
    <t>3</t>
  </si>
  <si>
    <t>Conjunctival Epithelial</t>
  </si>
  <si>
    <t>D023</t>
  </si>
  <si>
    <t>4</t>
  </si>
  <si>
    <t>Human Cell Atlas</t>
  </si>
  <si>
    <t>Limbal Epithelial</t>
  </si>
  <si>
    <t>77780d56-03c0-481f-aade-2038490cef9f</t>
  </si>
  <si>
    <t>10.1016/j.xgen.2022.100142</t>
  </si>
  <si>
    <t>Retinal ganglion cell-specific genetic regulation in primary open-angle glaucoma</t>
  </si>
  <si>
    <t>5</t>
  </si>
  <si>
    <t>Maciej Daniszewski</t>
  </si>
  <si>
    <t>Corneal Epithelial</t>
  </si>
  <si>
    <t>Alex Hewitt</t>
  </si>
  <si>
    <t>6</t>
  </si>
  <si>
    <t>Cabiria</t>
  </si>
  <si>
    <t>7</t>
  </si>
  <si>
    <t>Ciliary Epithelial</t>
  </si>
  <si>
    <t>Organoid</t>
  </si>
  <si>
    <t>Metabolomic Profiling of Open-Angle Glaucoma Etiologic Endotypes: Tohoku Multi-Omics Glaucoma Study</t>
  </si>
  <si>
    <t>8, 9</t>
  </si>
  <si>
    <t>Akiko Hanyuda</t>
  </si>
  <si>
    <t>Toru Nakazawa</t>
  </si>
  <si>
    <t>10</t>
  </si>
  <si>
    <t>CELLxGENE</t>
  </si>
  <si>
    <t>https://doi.org/10.1167/iovs.65.13.44</t>
  </si>
  <si>
    <t>12, 13</t>
  </si>
  <si>
    <t>Corneal Stromal Keratinocyte</t>
  </si>
  <si>
    <t>19</t>
  </si>
  <si>
    <t>20</t>
  </si>
  <si>
    <t>21</t>
  </si>
  <si>
    <t>Vascular Smooth Muscle</t>
  </si>
  <si>
    <t>There are 25 batches in journal article but only 23 batches in data</t>
  </si>
  <si>
    <t>22</t>
  </si>
  <si>
    <t>B or T</t>
  </si>
  <si>
    <t>23, 24, 25</t>
  </si>
  <si>
    <t xml:space="preserve"> Invest Ophthalmol Vis Sci</t>
  </si>
  <si>
    <t>Mixed</t>
  </si>
  <si>
    <t>D024</t>
  </si>
  <si>
    <t>Mendeley</t>
  </si>
  <si>
    <t>Dorsal Telencephalon</t>
  </si>
  <si>
    <t>sm67hr5bpm</t>
  </si>
  <si>
    <t>10.1016/j.cell.2020.08.013</t>
  </si>
  <si>
    <t>Cell Types of the Human Retina and Its Organoids at Single-Cell Resolution</t>
  </si>
  <si>
    <t>Cameron Cowan</t>
  </si>
  <si>
    <t>Botond Roska</t>
  </si>
  <si>
    <t>Optic Disc</t>
  </si>
  <si>
    <t>3, 10, 12</t>
  </si>
  <si>
    <t>Ventral Telencephalon</t>
  </si>
  <si>
    <t>4, 8, 9</t>
  </si>
  <si>
    <t>Dorsal Telencephalon or Optic Stalk</t>
  </si>
  <si>
    <t>5, 7</t>
  </si>
  <si>
    <t>Neural Retina</t>
  </si>
  <si>
    <t>Retinal Pigment Epithelial</t>
  </si>
  <si>
    <t>metabolomics</t>
  </si>
  <si>
    <t>11</t>
  </si>
  <si>
    <t>Retinal Ganglion or Amacrine or Photoreceptor or Horizontal</t>
  </si>
  <si>
    <t>13</t>
  </si>
  <si>
    <t>Unassigned</t>
  </si>
  <si>
    <t>CB/Iris/RPE cells</t>
  </si>
  <si>
    <t>Ciliary Body or Iris or Retinal Pigment Epithelial</t>
  </si>
  <si>
    <t>Endothelial cells</t>
  </si>
  <si>
    <t>D025</t>
  </si>
  <si>
    <t>GSE231749</t>
  </si>
  <si>
    <t>10.1016/j.isci.2023.108024</t>
  </si>
  <si>
    <t>Epithelial cells</t>
  </si>
  <si>
    <t>Immune cells</t>
  </si>
  <si>
    <t>Cell atlas of trabecular meshwork in glaucomatous non-human primates and DEGs related to tissue contract based on single-cell transcriptomics</t>
  </si>
  <si>
    <t>Immune</t>
  </si>
  <si>
    <t>iScience</t>
  </si>
  <si>
    <t>Xu Jia</t>
  </si>
  <si>
    <t>Yehong Zhuo</t>
  </si>
  <si>
    <t>Monkey</t>
  </si>
  <si>
    <t>Neurons</t>
  </si>
  <si>
    <t>POM/NC derived cells</t>
  </si>
  <si>
    <t>Periocular Mesenchyme or Neural Crest</t>
  </si>
  <si>
    <t>Progenitors</t>
  </si>
  <si>
    <t>Progenitor</t>
  </si>
  <si>
    <t>D015, D021, D029, D031</t>
  </si>
  <si>
    <t>Bipolar Transition</t>
  </si>
  <si>
    <t>D015, D020, D023, D031</t>
  </si>
  <si>
    <t>MG</t>
  </si>
  <si>
    <t>D015, D021, D037</t>
  </si>
  <si>
    <t>D026</t>
  </si>
  <si>
    <t>GSE264312</t>
  </si>
  <si>
    <t>PR</t>
  </si>
  <si>
    <t>10.1038/s41598-024-74909-0</t>
  </si>
  <si>
    <t>Photoreceptor</t>
  </si>
  <si>
    <t>Loss of Stim2 in zebrafish induces glaucoma-like phenotype</t>
  </si>
  <si>
    <t>Sofiia Baranykov</t>
  </si>
  <si>
    <t>Lukasz Majewski</t>
  </si>
  <si>
    <t>RGC Transition</t>
  </si>
  <si>
    <t>Retinal Ganglion Transition</t>
  </si>
  <si>
    <t>Zebrafish</t>
  </si>
  <si>
    <t>RGC-like</t>
  </si>
  <si>
    <t>D015, D020, D031</t>
  </si>
  <si>
    <t>Surviving neurons</t>
  </si>
  <si>
    <t>Neuronal</t>
  </si>
  <si>
    <t>Transition</t>
  </si>
  <si>
    <t>BB+GB*</t>
  </si>
  <si>
    <t>DB</t>
  </si>
  <si>
    <t>Integrating genetic regulation and single-cell expression with GWAS prioritizes causal genes and cell types for glaucoma</t>
  </si>
  <si>
    <t>Endothelium</t>
  </si>
  <si>
    <t>Andrew R. Hamel</t>
  </si>
  <si>
    <t>D018, D031, D034</t>
  </si>
  <si>
    <t>Ayellet V. Segrè</t>
  </si>
  <si>
    <t>Retinal progenitor</t>
  </si>
  <si>
    <t>FMB</t>
  </si>
  <si>
    <t>10.1038/s41467-023-44380-y</t>
  </si>
  <si>
    <t>Interneuron</t>
  </si>
  <si>
    <t>Gaba</t>
  </si>
  <si>
    <t>Lens</t>
  </si>
  <si>
    <t>Gly</t>
  </si>
  <si>
    <t>GSE199013
GSE236566
GSE226108</t>
  </si>
  <si>
    <t>H</t>
  </si>
  <si>
    <t>D027</t>
  </si>
  <si>
    <t>GSE284729</t>
  </si>
  <si>
    <t>10.1371/journal.pgen.1011879</t>
  </si>
  <si>
    <t>Zebrafish optic nerve injury results in systemic retinal ganglion cell dedifferentiation</t>
  </si>
  <si>
    <t>IMB</t>
  </si>
  <si>
    <t>PLoS Genetics</t>
  </si>
  <si>
    <t>Ashrifa Ali</t>
  </si>
  <si>
    <t>Jeffrey Gross</t>
  </si>
  <si>
    <t>MG_OFF, MG_ON</t>
  </si>
  <si>
    <t>MicroGlia</t>
  </si>
  <si>
    <t>scRNAseq and snRNAseq [Illumina NovaSeq 6000, Illumina HiSeq 2500]</t>
  </si>
  <si>
    <t>38 + 36 + 40 (ordered by the GEO ids)</t>
  </si>
  <si>
    <t>mlCones</t>
  </si>
  <si>
    <t>Muller</t>
  </si>
  <si>
    <t>D018, D029, D031</t>
  </si>
  <si>
    <t>N/A (all RGC)</t>
  </si>
  <si>
    <t>OFFx</t>
  </si>
  <si>
    <t>PG_OFF, PG_ON</t>
  </si>
  <si>
    <t xml:space="preserve">191,992, 210K, 250K cells (6, 19, 23 samples) </t>
  </si>
  <si>
    <t>RGC</t>
  </si>
  <si>
    <t>Optic nerve head (ONH), Retina — Whole/unspecified, Other — Anterior segment, Trabecular meshwork (TM), Schlemm’s canal, Optic nerve, Other — Posterior segment</t>
  </si>
  <si>
    <t>D018, D021, D023, D029, D037</t>
  </si>
  <si>
    <t>sCones</t>
  </si>
  <si>
    <t>Bcell</t>
  </si>
  <si>
    <t>BeamCell</t>
  </si>
  <si>
    <t>Bean</t>
  </si>
  <si>
    <t>CiliaryMuscle</t>
  </si>
  <si>
    <t>Ciliary Muscle</t>
  </si>
  <si>
    <t>CollectorChnlAqVein</t>
  </si>
  <si>
    <t>Collector Channels Emptying to Aqueous Veins</t>
  </si>
  <si>
    <t>CornealEpi</t>
  </si>
  <si>
    <t>Epethelial</t>
  </si>
  <si>
    <t>D028</t>
  </si>
  <si>
    <t>CribiformJCT</t>
  </si>
  <si>
    <t>GSE260952</t>
  </si>
  <si>
    <t>Cribiform Juxtacanalicular Tissue</t>
  </si>
  <si>
    <t>10.1016/j.exer.2024.110017</t>
  </si>
  <si>
    <t>Reversal of injury-associated retinal ganglion cell gene expression by a phosphodiesterase anchoring disruptor peptide</t>
  </si>
  <si>
    <t>Ying Zhu</t>
  </si>
  <si>
    <t>Michael Kapiloff</t>
  </si>
  <si>
    <t>D019, D033</t>
  </si>
  <si>
    <t>MastCell</t>
  </si>
  <si>
    <t>Molecular Characterization of Foveal versus Peripheral Human Retina by Single-Cell RNA Sequencing</t>
  </si>
  <si>
    <t>AP Voigt</t>
  </si>
  <si>
    <t xml:space="preserve">TE Scheetz </t>
  </si>
  <si>
    <t>NKT</t>
  </si>
  <si>
    <t>Natural Killer/T</t>
  </si>
  <si>
    <t>ScEndo</t>
  </si>
  <si>
    <r>
      <rPr>
        <color rgb="FF1155CC"/>
        <u/>
      </rPr>
      <t>https://doi.org/10.1016/j.exer.2019.05.001</t>
    </r>
  </si>
  <si>
    <t>SchwalbeLine</t>
  </si>
  <si>
    <t>Schwalbe Line</t>
  </si>
  <si>
    <t>SchwannCell-my, SchwannCell-nmy</t>
  </si>
  <si>
    <t>D029</t>
  </si>
  <si>
    <t>VascularEndo</t>
  </si>
  <si>
    <t>GSE135133</t>
  </si>
  <si>
    <t>10.1016/j.celrep.2019.12.082</t>
  </si>
  <si>
    <t>Integration of eQTL and a Single-Cell Atlas in the Human Eye Identifies Causal Genes for Age-Related Macular Degeneration</t>
  </si>
  <si>
    <t>Luz Orozco</t>
  </si>
  <si>
    <t>Jason Hackney</t>
  </si>
  <si>
    <t>D020, D029, D031</t>
  </si>
  <si>
    <t>AII-amacrine, GABA-amacrine, Gly-amacrine</t>
  </si>
  <si>
    <t>"Exp Eye Res"[jour]</t>
  </si>
  <si>
    <t>D020, D021, D029, D031</t>
  </si>
  <si>
    <t>GSE130636</t>
  </si>
  <si>
    <t>D020, D021, D022, D030, D031, D037</t>
  </si>
  <si>
    <t>OFF-cone bipolar, ON-cone bipolar</t>
  </si>
  <si>
    <t>Retinal ganglion cell</t>
  </si>
  <si>
    <t>Rod bipolar</t>
  </si>
  <si>
    <t>scRNAseq[Illumina HiSeq 4000]</t>
  </si>
  <si>
    <t>Rod PR</t>
  </si>
  <si>
    <t>Cone PR</t>
  </si>
  <si>
    <t>1 glaucoma 2 healthy</t>
  </si>
  <si>
    <t>D030</t>
  </si>
  <si>
    <t>2M 1F</t>
  </si>
  <si>
    <t>GSE137846</t>
  </si>
  <si>
    <t>Others</t>
  </si>
  <si>
    <t>Other</t>
  </si>
  <si>
    <t>8,217(3 donors)</t>
  </si>
  <si>
    <t>ACs</t>
  </si>
  <si>
    <t>D022, D030</t>
  </si>
  <si>
    <t>Retina — Macula (incl. fovea)</t>
  </si>
  <si>
    <t>Healthy + 1 glaucoma</t>
  </si>
  <si>
    <t>BPs</t>
  </si>
  <si>
    <t>Endo</t>
  </si>
  <si>
    <t>Seq-Well</t>
  </si>
  <si>
    <t>Macroglia</t>
  </si>
  <si>
    <t>HCs</t>
  </si>
  <si>
    <t>RGCs</t>
  </si>
  <si>
    <t>Interneurons</t>
  </si>
  <si>
    <t>RPC</t>
  </si>
  <si>
    <t>Retinal Progenitor</t>
  </si>
  <si>
    <t>RPE</t>
  </si>
  <si>
    <t>D023, D029, D037</t>
  </si>
  <si>
    <t>D031</t>
  </si>
  <si>
    <t>GSE155288</t>
  </si>
  <si>
    <t xml:space="preserve">10.3389/fimmu.2022.895519 </t>
  </si>
  <si>
    <t>Cameron S Cowan</t>
  </si>
  <si>
    <t>As in Real Estate, Location Matters: Cellular Expression of Complement Varies Between Macular and Peripheral Regions of the Retina and Supporting Tissues</t>
  </si>
  <si>
    <t>Frontiers in Immunology</t>
  </si>
  <si>
    <t>Randy Zauhar</t>
  </si>
  <si>
    <t>Vascular</t>
  </si>
  <si>
    <t>Dwight Stambolian</t>
  </si>
  <si>
    <t>https://doi.org/10.1016/j.cell.2020.08.013</t>
  </si>
  <si>
    <t>Ganglion</t>
  </si>
  <si>
    <t>Pericytes</t>
  </si>
  <si>
    <t>D031, D037</t>
  </si>
  <si>
    <t>AnteriorEpi</t>
  </si>
  <si>
    <t>D033</t>
  </si>
  <si>
    <t>CB_NPCE</t>
  </si>
  <si>
    <t>Non-pigmented Ciliary Epithelial</t>
  </si>
  <si>
    <t>CB_PCE</t>
  </si>
  <si>
    <t>Pigmented Ciliary Epithelial</t>
  </si>
  <si>
    <t>CC_VenEndo</t>
  </si>
  <si>
    <t>Ciliary_Fibro</t>
  </si>
  <si>
    <t>Ciliary_Muscle</t>
  </si>
  <si>
    <t>Muscle</t>
  </si>
  <si>
    <t>D032</t>
  </si>
  <si>
    <t>Conj_Epi-Basal, Conj_Epi-Superficial, Conj_Epi-Wing</t>
  </si>
  <si>
    <t>GSE188280</t>
  </si>
  <si>
    <t>Conj_Melanocyte</t>
  </si>
  <si>
    <t>EGAS00001004561</t>
  </si>
  <si>
    <t>EarlyFiber, Fiber</t>
  </si>
  <si>
    <t>Fiber</t>
  </si>
  <si>
    <t>Equatorial</t>
  </si>
  <si>
    <t>FibroX</t>
  </si>
  <si>
    <t>Age-related Macular Degeneration</t>
  </si>
  <si>
    <t>Goblet</t>
  </si>
  <si>
    <t>Iris_APE, Iris_PPE</t>
  </si>
  <si>
    <t>Pigmented Epithelial</t>
  </si>
  <si>
    <t>Iris_Fibro</t>
  </si>
  <si>
    <t>Iris_Sphincter</t>
  </si>
  <si>
    <t>Iris Sphincter</t>
  </si>
  <si>
    <t>K_Endo</t>
  </si>
  <si>
    <t>K_Epi-Basal, K_Epi-Superficial, K_Epi-TA</t>
  </si>
  <si>
    <t>GSE199013</t>
  </si>
  <si>
    <t>K_Fibro</t>
  </si>
  <si>
    <t>10.1073/pnas.220091411</t>
  </si>
  <si>
    <t>Cell atlas of the human ocular anterior segment: Tissue-specific and shared cell types</t>
  </si>
  <si>
    <t>Tave van Zyl</t>
  </si>
  <si>
    <t>Limbal_Epi-Basal, Limbal_Epi-Superficial, Limbal_Epi-Wing</t>
  </si>
  <si>
    <t>Lymphatic_Endo</t>
  </si>
  <si>
    <t>Lymphocyte</t>
  </si>
  <si>
    <t>High throughput functional profiling of genes at intraocular pressure loci reveals distinct networks for glaucoma</t>
  </si>
  <si>
    <t>Connor J Greatbatch</t>
  </si>
  <si>
    <t>Alex W Hewitt</t>
  </si>
  <si>
    <t>https://doi.org/10.1093/hmg/ddae003</t>
  </si>
  <si>
    <t>Schlemm_Endo</t>
  </si>
  <si>
    <t>Sclera_Fibro</t>
  </si>
  <si>
    <t>Human Molecular Genetics</t>
  </si>
  <si>
    <t>European Bioimage Archive: S-BSST840 and S-BSST841</t>
  </si>
  <si>
    <t>TM_Fibro</t>
  </si>
  <si>
    <t>Uveal_Fibro</t>
  </si>
  <si>
    <t>snRNAseq [Illumina NovaSeq 6000] and single-cell imaging data [Multiplexed fluorescence]</t>
  </si>
  <si>
    <t>D034</t>
  </si>
  <si>
    <t>primary human TMC line</t>
  </si>
  <si>
    <t>GSE226108</t>
  </si>
  <si>
    <t>Transitional</t>
  </si>
  <si>
    <t>Gene knockdown</t>
  </si>
  <si>
    <t>10.1016/j.xgen.2023.100298</t>
  </si>
  <si>
    <t>A multi-omics atlas of the human retina at single-cell resolution</t>
  </si>
  <si>
    <t>Australia</t>
  </si>
  <si>
    <t>Qingnan Liang</t>
  </si>
  <si>
    <t>Uveal_Melanocyte</t>
  </si>
  <si>
    <t>Rui Chen</t>
  </si>
  <si>
    <t>105,273 cells</t>
  </si>
  <si>
    <t>Vasc_Endo, VascEndo</t>
  </si>
  <si>
    <t>amacrine cell</t>
  </si>
  <si>
    <t>Trabecular meshwork (TM)</t>
  </si>
  <si>
    <t>glial cell</t>
  </si>
  <si>
    <t>Healthy?</t>
  </si>
  <si>
    <t>retina horizontal cell</t>
  </si>
  <si>
    <t>Horinzontal</t>
  </si>
  <si>
    <t>"more than 250,000 nuclei for single-nuclei RNA-seq"</t>
  </si>
  <si>
    <t>retinal bipolar neuron</t>
  </si>
  <si>
    <t>retinal cone cell</t>
  </si>
  <si>
    <t>retinal rod cell</t>
  </si>
  <si>
    <t>astrocyte</t>
  </si>
  <si>
    <t>D035</t>
  </si>
  <si>
    <t>B cell</t>
  </si>
  <si>
    <t>Single-cell multiomics of the human retina reveals hierarchical transcription factor collaboration in mediating cell type-specific effects of genetic variants on gene regulation</t>
  </si>
  <si>
    <t>Jun Wang</t>
  </si>
  <si>
    <t>fibroblast</t>
  </si>
  <si>
    <t>https://doi.org/10.1186/s13059-023-03111-8</t>
  </si>
  <si>
    <t>macrophage</t>
  </si>
  <si>
    <t>10.1073/pnas.2306153120</t>
  </si>
  <si>
    <t>melanocyte</t>
  </si>
  <si>
    <t>microglial cell</t>
  </si>
  <si>
    <t>Genome Biology</t>
  </si>
  <si>
    <t>GSE247157
GSE226108
GSE137311</t>
  </si>
  <si>
    <t>myelinating Schwann cell</t>
  </si>
  <si>
    <t>Posterior Segment</t>
  </si>
  <si>
    <t>natural killer cell</t>
  </si>
  <si>
    <t>10x Genomics Chromium Next GEM Single Cell 3’ v3.1</t>
  </si>
  <si>
    <t>single cell RNA, snATAC-seq</t>
  </si>
  <si>
    <t>oligodendrocyte</t>
  </si>
  <si>
    <t>Oligodendrocyte</t>
  </si>
  <si>
    <t>all healthy</t>
  </si>
  <si>
    <t>?</t>
  </si>
  <si>
    <t>16 european
3 latino
1 asian</t>
  </si>
  <si>
    <t>Retina — Macula (incl. fovea), Retina — Peripheral</t>
  </si>
  <si>
    <t xml:space="preserve">none </t>
  </si>
  <si>
    <t>oligodendrocyte precursor cell</t>
  </si>
  <si>
    <t>Oligodendrocyte Precursor</t>
  </si>
  <si>
    <t>D036</t>
  </si>
  <si>
    <t>no</t>
  </si>
  <si>
    <t>pericyte</t>
  </si>
  <si>
    <t>pigmented epithelial cell</t>
  </si>
  <si>
    <t>Glaucoma-TrEl: A web-based interactive database to build evidence-based hypotheses on the role of trace elements in glaucoma</t>
  </si>
  <si>
    <t xml:space="preserve">Single cell AND
(Glaucoma AND Optic nerve) AND
Drug
 </t>
  </si>
  <si>
    <t>Schwann cell</t>
  </si>
  <si>
    <t>Jyoti Kant Choudhari</t>
  </si>
  <si>
    <t>Julio Vera</t>
  </si>
  <si>
    <t>T cell</t>
  </si>
  <si>
    <r>
      <rPr>
        <rFont val="&quot;system-ui&quot;, -apple-system, &quot;Segoe UI&quot;, Roboto, Oxygen, Ubuntu, Cantarell, &quot;Fira Sans&quot;, &quot;Droid Sans&quot;, &quot;Helvetica Neue&quot;, sans-serif"/>
        <color rgb="FF1155CC"/>
        <sz val="10.0"/>
        <u/>
      </rPr>
      <t>10.1186/s13104-022-06210-0</t>
    </r>
  </si>
  <si>
    <t>coneBC</t>
  </si>
  <si>
    <t>D037</t>
  </si>
  <si>
    <t>RodBC</t>
  </si>
  <si>
    <t>BMC</t>
  </si>
  <si>
    <t>GABAAC, GlyAC</t>
  </si>
  <si>
    <t>Single cell AND
(Retinal Ganglion Cell or Glia) AND  
Drug Target</t>
  </si>
  <si>
    <r>
      <rPr>
        <rFont val="Georgia, Palatino, serif"/>
        <color rgb="FF1155CC"/>
        <sz val="11.0"/>
        <u/>
      </rPr>
      <t>www.jveralab.net/glaucoma-trel/</t>
    </r>
    <r>
      <rPr>
        <rFont val="Georgia, Palatino, serif"/>
        <color rgb="FF333333"/>
        <sz val="11.0"/>
      </rPr>
      <t>.</t>
    </r>
  </si>
  <si>
    <t>HC</t>
  </si>
  <si>
    <t>VE</t>
  </si>
  <si>
    <t>Single cell AND
Aging AND (Mitochondria or Metabolism) AND 
Humans AND 
Drug Target</t>
  </si>
  <si>
    <t>GSE248868</t>
  </si>
  <si>
    <t>Glaucoma-TrEI</t>
  </si>
  <si>
    <t>Information from public databases</t>
  </si>
  <si>
    <t>proteomics</t>
  </si>
  <si>
    <t>Human/mouse</t>
  </si>
  <si>
    <t>Unknown</t>
  </si>
  <si>
    <t>Luz D Orozco</t>
  </si>
  <si>
    <t>Jason A Hackney</t>
  </si>
  <si>
    <t>https://doi.org/10.1016/j.celrep.2019.12.082</t>
  </si>
  <si>
    <t># Papers per person (7)</t>
  </si>
  <si>
    <t>Cell Rep</t>
  </si>
  <si>
    <t>1-47</t>
  </si>
  <si>
    <t>Jasmine</t>
  </si>
  <si>
    <t>48-94</t>
  </si>
  <si>
    <t>1-49</t>
  </si>
  <si>
    <t>Alex W. Hewitt</t>
  </si>
  <si>
    <t>https://doi.org/10.1016/j.xgen.2022.100142</t>
  </si>
  <si>
    <t>Human Cell Atlas project UUID: 77780d56-03c0-481f-aade-2038490cef9f</t>
  </si>
  <si>
    <t>1-45</t>
  </si>
  <si>
    <t>10x Genomics Chromium Single Cell 3′; sequenced on Illumina NovaSeq 6000 (S4 kit)</t>
  </si>
  <si>
    <t>Eugenie</t>
  </si>
  <si>
    <t>56 control, 54 POAG</t>
  </si>
  <si>
    <t>predominanlty european</t>
  </si>
  <si>
    <t>controls 67.5 ± 7.8 y; POAG 71.8 ± 11.5 y</t>
  </si>
  <si>
    <t>Individuals: 110 iPSC lines; Cells: 247,520</t>
  </si>
  <si>
    <t>46-90</t>
  </si>
  <si>
    <t>iPSC-derived RGCs / retinal organoids</t>
  </si>
  <si>
    <t>Beilei</t>
  </si>
  <si>
    <t>POAG</t>
  </si>
  <si>
    <t>91-132</t>
  </si>
  <si>
    <t>enriched for RGC lineage</t>
  </si>
  <si>
    <t xml:space="preserve">   </t>
  </si>
  <si>
    <t>Brian P Hafler</t>
  </si>
  <si>
    <t>https://doi.org/10.1038/s41467-019-12780-8</t>
  </si>
  <si>
    <t>New data, Resource/Database, Original research</t>
  </si>
  <si>
    <t>GSE137537, GSE137847</t>
  </si>
  <si>
    <t xml:space="preserve">Illumina NextSeq 500, microfluidics-base, Seq-Well </t>
  </si>
  <si>
    <t>Resource</t>
  </si>
  <si>
    <t xml:space="preserve">10.1016/j.xgen.2023.100298
</t>
  </si>
  <si>
    <t>scRNA, scATAC</t>
  </si>
  <si>
    <t>6 for scRNA-seq, 23 for scATAC-seq</t>
  </si>
  <si>
    <t>4M, 2F for scRNA-seq; 17M, 6F for scATAC-seq</t>
  </si>
  <si>
    <t>EUR/HIS/AS</t>
  </si>
  <si>
    <t>53-91</t>
  </si>
  <si>
    <t>250,000 cells for scRNA-seq, 137,000 for scATAC-seq</t>
  </si>
  <si>
    <t>Retina — Whole/unspecified</t>
  </si>
  <si>
    <t>Healthy</t>
  </si>
  <si>
    <t>10.3389/fimmu.2022.895519</t>
  </si>
  <si>
    <t>PubMed</t>
  </si>
  <si>
    <t>Healthy / AMD</t>
  </si>
  <si>
    <t>Pharmacogenetic Influences on Individual Responses to Ocular Hypotensive Agents in Glaucoma Patients</t>
  </si>
  <si>
    <t>Sara Labay-Tejado</t>
  </si>
  <si>
    <t xml:space="preserve">Elena Milla </t>
  </si>
  <si>
    <t>https://pmc.ncbi.nlm.nih.gov/articles/PMC11944811/#sec2-pharmaceutics-17-00325</t>
  </si>
  <si>
    <t>Pharmaceutics</t>
  </si>
  <si>
    <t>Request</t>
  </si>
  <si>
    <t>Taqman Custom plating SNP</t>
  </si>
  <si>
    <t>Pharmacogenomics</t>
  </si>
  <si>
    <t xml:space="preserve">63 - 71 </t>
  </si>
  <si>
    <t>A single-cell transcriptome atlas of the adult human retina</t>
  </si>
  <si>
    <t>Samuel W Lukowski</t>
  </si>
  <si>
    <t>Raymond Cb Wong</t>
  </si>
  <si>
    <t>https://doi.org/10.15252/embj.2018100811</t>
  </si>
  <si>
    <t>EMBO</t>
  </si>
  <si>
    <t>E-MTAB-7316</t>
  </si>
  <si>
    <t xml:space="preserve">Sean K. Wang </t>
  </si>
  <si>
    <t>Howard Y. Chang</t>
  </si>
  <si>
    <t>https://doi.org/10.1016/j.xgen.2022.100164</t>
  </si>
  <si>
    <t xml:space="preserve"> GSE196235</t>
  </si>
  <si>
    <t>Illumina HiSeq 4000
Illumina NovaSeq 6000
NextSeq 550</t>
  </si>
  <si>
    <t>&gt;50000</t>
  </si>
  <si>
    <t xml:space="preserve">AMD, glaucoma, diabetic retinopathy, myopia, type 2 macular telangiectasia </t>
  </si>
  <si>
    <t>Single-cell RNA sequencing analysis of the retina under acute high intraocular pressure</t>
  </si>
  <si>
    <t>Shaojun Wang</t>
  </si>
  <si>
    <t>Dajiang Wang</t>
  </si>
  <si>
    <t>https://doi.org/10.4103/1673-5374.389363</t>
  </si>
  <si>
    <t>Neural Regeneration Research</t>
  </si>
  <si>
    <t>CRA010582</t>
  </si>
  <si>
    <t>scRNAseq [Illumina NovaSeq 6000]</t>
  </si>
  <si>
    <t>Rats</t>
  </si>
  <si>
    <t>12 control 12 HOP</t>
  </si>
  <si>
    <t>M</t>
  </si>
  <si>
    <t>China</t>
  </si>
  <si>
    <t>4 weeks</t>
  </si>
  <si>
    <t>21,464 retinal cells sequenced (10,586 control; 10,878 HOP)</t>
  </si>
  <si>
    <t>Eye</t>
  </si>
  <si>
    <t>High intraocular pressure (HOP)</t>
  </si>
  <si>
    <t>Cell Atlas of Aqueous Humor Outflow Pathways in Eyes of Humans and Four Model Species Provides Insights into Glaucoma Pathogenesis</t>
  </si>
  <si>
    <r>
      <rPr>
        <color rgb="FF1155CC"/>
        <u/>
      </rPr>
      <t>https://doi.org/10.1073/pnas.2001250117</t>
    </r>
  </si>
  <si>
    <t>GSE146188 (GSE148371: human)</t>
  </si>
  <si>
    <t>snRNA seq [Illumina HiSeq 2500]</t>
  </si>
  <si>
    <t>7 eye from humans and 4 others</t>
  </si>
  <si>
    <t>Human, Model, Other, Mouse</t>
  </si>
  <si>
    <t>6 males 1 female (single cell human)</t>
  </si>
  <si>
    <t>Ranged 53-72</t>
  </si>
  <si>
    <t>~24000 (single cell)</t>
  </si>
  <si>
    <t>Monkey and pig sampled too</t>
  </si>
  <si>
    <t>https://doi.org/10.1073/pnas.2200914119</t>
  </si>
  <si>
    <t>Illumina HiSeq 2500 or NovaSeq</t>
  </si>
  <si>
    <t>8M, 3F</t>
  </si>
  <si>
    <t>Caucasian</t>
  </si>
  <si>
    <t>30-78</t>
  </si>
  <si>
    <t>195,248 cells</t>
  </si>
  <si>
    <t>Cornea, Trabecular meshwork (TM), Iris, Lens</t>
  </si>
  <si>
    <t>corneoscleral wedge tissue region too</t>
  </si>
  <si>
    <t>Cell atlas of the human fovea and peripheral retina</t>
  </si>
  <si>
    <t>Wenjun Ya</t>
  </si>
  <si>
    <t>https://doi.org/10.1038/s41598-020-66092-9</t>
  </si>
  <si>
    <t>Sci Rep</t>
  </si>
  <si>
    <t>GCDB: a glaucomatous chemogenomics database for in silico drug discovery</t>
  </si>
  <si>
    <t>Yu Wei</t>
  </si>
  <si>
    <t>Zhangyong Hong</t>
  </si>
  <si>
    <r>
      <rPr>
        <color rgb="FF1155CC"/>
        <u/>
      </rPr>
      <t>https://doi.org/10.1093/database/bay117</t>
    </r>
  </si>
  <si>
    <t>http://cadd.pharmacy.nankai.edu.cn/gcdb/home</t>
  </si>
  <si>
    <t xml:space="preserve">Question </t>
  </si>
  <si>
    <t>Potential information</t>
  </si>
  <si>
    <t xml:space="preserve">Column characteristics </t>
  </si>
  <si>
    <t>lead</t>
  </si>
  <si>
    <t>check</t>
  </si>
  <si>
    <t>comment</t>
  </si>
  <si>
    <t>Actions</t>
  </si>
  <si>
    <t xml:space="preserve">A unique ID created in this project for reference later </t>
  </si>
  <si>
    <t>DrugBank, ClinicalTrial.gov, ChEMBL, BindingDB, KEGG, Pharmacodia, Therapeutic Target Database (TTD), PubMed and SciFinder</t>
  </si>
  <si>
    <t>Formula</t>
  </si>
  <si>
    <t>all</t>
  </si>
  <si>
    <t>chemigenomics</t>
  </si>
  <si>
    <t>Title of the paper</t>
  </si>
  <si>
    <t>Character</t>
  </si>
  <si>
    <t>First author</t>
  </si>
  <si>
    <t>Fiirst author name</t>
  </si>
  <si>
    <t>Last author name</t>
  </si>
  <si>
    <t>Year of the publication</t>
  </si>
  <si>
    <t>Date</t>
  </si>
  <si>
    <t>Link to the DOI</t>
  </si>
  <si>
    <t>Name of the journal</t>
  </si>
  <si>
    <t>html link</t>
  </si>
  <si>
    <t>Exact date of publication (eg: 01/01/2020)</t>
  </si>
  <si>
    <t>Transcriptomic analysis of TGFβ-mediated fibrosis in primary human Tenon’s fibroblasts</t>
  </si>
  <si>
    <t>Zoe Pasvanis</t>
  </si>
  <si>
    <t>Jennifer Fan Gaskin</t>
  </si>
  <si>
    <t>https://doi.org/10.1101/2024.03.09.583791</t>
  </si>
  <si>
    <t xml:space="preserve">What is the accession id? </t>
  </si>
  <si>
    <t>GEO/ other acceesion id</t>
  </si>
  <si>
    <t>ID (alphanumeric)</t>
  </si>
  <si>
    <t xml:space="preserve">Is data available for download via a database? </t>
  </si>
  <si>
    <t>Database which the accession id is from eg: GEO</t>
  </si>
  <si>
    <t>bioRxiv</t>
  </si>
  <si>
    <t>GSE275110</t>
  </si>
  <si>
    <t>Dropdown(Character)</t>
  </si>
  <si>
    <t>scRNA [NovaSeq 6000]</t>
  </si>
  <si>
    <t>How do you access the data?</t>
  </si>
  <si>
    <t>Patients (control / TGFβ)</t>
  </si>
  <si>
    <t>open/ private/ access upon request</t>
  </si>
  <si>
    <t>n/a</t>
  </si>
  <si>
    <t>Open</t>
  </si>
  <si>
    <t>3 people</t>
  </si>
  <si>
    <t>What are the dataset usage conditions?</t>
  </si>
  <si>
    <t>Public = GEO/SRA default open access, citation expected
CC-BY = Creative Commons Attribution, reuse allowed with attribution
CC0 = Creative Commons Public Domain, unrestricted reuse, no attribution required
Controlled = Access via Data Access Committee (e.g., dbGaP, EGA)
Restricted = Available only on request from authors/institution
Not specified = No explicit license; assume GEO open policy</t>
  </si>
  <si>
    <t>Looks good, in public we need to ensure its licensed for commercial</t>
  </si>
  <si>
    <t>What is the instrument used?</t>
  </si>
  <si>
    <t xml:space="preserve">The type of instrument used in the analysis such as Illumina HiSeq etc </t>
  </si>
  <si>
    <t>Dropdown (Character)</t>
  </si>
  <si>
    <t>good</t>
  </si>
  <si>
    <t>Data Type</t>
  </si>
  <si>
    <t>What information is captured by the data?</t>
  </si>
  <si>
    <t xml:space="preserve">This represents the type of data such as single cell ATAC etc </t>
  </si>
  <si>
    <t>Large-scale multitrait genome-wide association analyses identify hundreds of glaucoma risk loci</t>
  </si>
  <si>
    <t>Xikun Han</t>
  </si>
  <si>
    <t>Stuart MacGregor</t>
  </si>
  <si>
    <t>10.1038/s41588-023-01428-5</t>
  </si>
  <si>
    <t>Nature Genetics</t>
  </si>
  <si>
    <t>Number of samples</t>
  </si>
  <si>
    <t>Basic information</t>
  </si>
  <si>
    <t>How many samples are there?</t>
  </si>
  <si>
    <t>Original research</t>
  </si>
  <si>
    <t>This is the number of unique samples that are available. i.e if there are two eyes from one patient then number of samples = 2</t>
  </si>
  <si>
    <t>GSE115828</t>
  </si>
  <si>
    <t>Numeric</t>
  </si>
  <si>
    <t>UKB, Canadian Longitudinal Study on Aging (www.clsa-elcv.ca), Mass General Brigham Biobank, 23andMe</t>
  </si>
  <si>
    <t>Species / Organism</t>
  </si>
  <si>
    <t>SNP array</t>
  </si>
  <si>
    <t>What is the type of organism used?</t>
  </si>
  <si>
    <t>The species type eg: human / mouse</t>
  </si>
  <si>
    <t>~500,000</t>
  </si>
  <si>
    <t>Is there a control and treated/ disease grooup?</t>
  </si>
  <si>
    <t xml:space="preserve">This is a yes or no question. The options will be treated/control, disease/control, treated/disease/control </t>
  </si>
  <si>
    <t>Looks good</t>
  </si>
  <si>
    <t>Results</t>
  </si>
  <si>
    <t>Edit this</t>
  </si>
  <si>
    <t>Methodologies (may be Overview ?)</t>
  </si>
  <si>
    <t>Usefulness (Yes / No/ Unsure)</t>
  </si>
  <si>
    <t>Data (single cell)</t>
  </si>
  <si>
    <t>How many samples in the treated group?</t>
  </si>
  <si>
    <t>If treatment group is available, the number of samples in it</t>
  </si>
  <si>
    <t>doi.org/10.1038/s41467-023-44380-y</t>
  </si>
  <si>
    <t>How many samples in the disease group?</t>
  </si>
  <si>
    <t>If disease group is available, the number of samples in it</t>
  </si>
  <si>
    <t>GSE199013
GSE236566
GSE226108
GSE202471</t>
  </si>
  <si>
    <t>GTEx, MSigDB</t>
  </si>
  <si>
    <t>Public, Request</t>
  </si>
  <si>
    <t>How many samples in the control group?</t>
  </si>
  <si>
    <t>If control group is available, the number of samples in it</t>
  </si>
  <si>
    <t>scRNA
Hi-C</t>
  </si>
  <si>
    <t>single cell RNA, Hi-C</t>
  </si>
  <si>
    <t>2 males each in glaucoma and control</t>
  </si>
  <si>
    <t>3 females each in glaucoma and control</t>
  </si>
  <si>
    <t>German</t>
  </si>
  <si>
    <t>Glaucoma: 86 +/−9 years old
Control: 82 +/−7 years old</t>
  </si>
  <si>
    <t>How many males are studied?</t>
  </si>
  <si>
    <t xml:space="preserve">The number of males </t>
  </si>
  <si>
    <t>How many females are studied?</t>
  </si>
  <si>
    <t>The number of females</t>
  </si>
  <si>
    <t>What race are the subjects?</t>
  </si>
  <si>
    <t>This represents the race of the people in the study. eg: European / African / Asian descent</t>
  </si>
  <si>
    <t>Enter results</t>
  </si>
  <si>
    <t xml:space="preserve">Not necessary and can be added in notes </t>
  </si>
  <si>
    <t>Focus</t>
  </si>
  <si>
    <t>What age group were the study subjects from?</t>
  </si>
  <si>
    <t xml:space="preserve">Report the age group (i.e range with the mean) </t>
  </si>
  <si>
    <t>High-resolution genome topology of human retina uncovers super enhancer-promoter interactions at tissue-specific and multifactorial disease loci</t>
  </si>
  <si>
    <t>AlphaNumeric</t>
  </si>
  <si>
    <t>Claire Marchal</t>
  </si>
  <si>
    <t>Anand Swaroop</t>
  </si>
  <si>
    <t>10.1038/s41467-022-33427-1</t>
  </si>
  <si>
    <t xml:space="preserve">Number of subjects </t>
  </si>
  <si>
    <t>How many individuals were studied</t>
  </si>
  <si>
    <t>This represents the number of individuals in the study. [does not include replicates or samples]</t>
  </si>
  <si>
    <t>New data</t>
  </si>
  <si>
    <t>GSE202471 (Hi-C), GSE202472 (ATAC-seq), GSE202473 (Cut&amp;Run) and GSE202474 (full series).
GSE11582838 (Gene expression). The public ChIP-seq raw data used in this study are accessible under the following SRA numbers34: SRR10172858 (H3K27Ac), SRR10172898 (H3K4me2), SRR10172903 (CRX), SRR10172897 (NRL), SRR10172909 (CTCF), SRR10172910 (MEF2D), SRR10172908 (RORB), SRR10172914 (CREB), SRR10172882 (OTX1 / OTX2), SRR10172850 (Input). Public Hi-C data: GSE135465 (Mouse retina32), Synapse syn12978758 and syn12978762 (Purified neurons31) and SRR1658572 (GM128782).</t>
  </si>
  <si>
    <t xml:space="preserve">How many cells were quantified? </t>
  </si>
  <si>
    <t>Number of cells in the single cell data such as single cell RNA or single cell ATAC</t>
  </si>
  <si>
    <t>Link</t>
  </si>
  <si>
    <t>HiSeq 2500 platform</t>
  </si>
  <si>
    <t>Hi-C, snATAC-seq</t>
  </si>
  <si>
    <t>What tissue/ region was studied?</t>
  </si>
  <si>
    <t>We are focussed on ocular tissues, however within the occular tissues there are many sub regions which needs to be included here</t>
  </si>
  <si>
    <t>If the there is a disease group, what is the type of disease?</t>
  </si>
  <si>
    <t xml:space="preserve">Include the disease type here </t>
  </si>
  <si>
    <t>Disease mechanism</t>
  </si>
  <si>
    <t>Enter methdologies</t>
  </si>
  <si>
    <t>Expression data from NE or CORT exposed ADXSCGX mice eye</t>
  </si>
  <si>
    <t>Masubuchi S</t>
  </si>
  <si>
    <t>Number of cells</t>
  </si>
  <si>
    <t>Resource/Database</t>
  </si>
  <si>
    <t>GSE299452</t>
  </si>
  <si>
    <t xml:space="preserve">Is this study drug related? </t>
  </si>
  <si>
    <t>Evidence of any drug effects are used, example treated using surgery, or some type of molecule</t>
  </si>
  <si>
    <t xml:space="preserve">Binary </t>
  </si>
  <si>
    <t>GEO</t>
  </si>
  <si>
    <t>Binary option looks good</t>
  </si>
  <si>
    <t>Affymetrix microarray</t>
  </si>
  <si>
    <t>Microarray</t>
  </si>
  <si>
    <t xml:space="preserve">Summary </t>
  </si>
  <si>
    <t>Genetics evidence of the drug?</t>
  </si>
  <si>
    <t xml:space="preserve">Is genetics data involved? </t>
  </si>
  <si>
    <t>Evidence of genetic data involved</t>
  </si>
  <si>
    <t>Key variables / predictors</t>
  </si>
  <si>
    <t>Ai-involved</t>
  </si>
  <si>
    <t>Methodology</t>
  </si>
  <si>
    <t>Data platform eg: single cell</t>
  </si>
  <si>
    <t>Is this a methodology paper?</t>
  </si>
  <si>
    <t>Is this a resource or biotechnology paper?</t>
  </si>
  <si>
    <t>Strengths</t>
  </si>
  <si>
    <t>Was any network constructed?</t>
  </si>
  <si>
    <t>Evidence of constructing networks</t>
  </si>
  <si>
    <r>
      <rPr>
        <rFont val="Arial"/>
        <color theme="4"/>
      </rPr>
      <t>O</t>
    </r>
    <r>
      <rPr>
        <rFont val="Arial"/>
        <color theme="1"/>
      </rPr>
      <t>utcomes</t>
    </r>
  </si>
  <si>
    <t xml:space="preserve">Cabiria </t>
  </si>
  <si>
    <t>Mahchine learning</t>
  </si>
  <si>
    <t>Key</t>
  </si>
  <si>
    <t>Integrated Profiling of Extracellular Vesicle microRNA Impact on Trabecular Meshwork mRNA Expression: Insights From Microarray Analysis</t>
  </si>
  <si>
    <t>Efrat Cohen-Davidi</t>
  </si>
  <si>
    <t>Isana Veksler-Lublinsky</t>
  </si>
  <si>
    <t>10.1167/iovs.65.14.38</t>
  </si>
  <si>
    <t xml:space="preserve">Subjects </t>
  </si>
  <si>
    <t>New data, Original research</t>
  </si>
  <si>
    <t>GSE275895</t>
  </si>
  <si>
    <r>
      <rPr>
        <rFont val="Arial"/>
        <color theme="1"/>
      </rPr>
      <t xml:space="preserve">Year </t>
    </r>
    <r>
      <rPr>
        <rFont val="Arial"/>
        <color rgb="FF4285F4"/>
      </rPr>
      <t>(use Published Date)</t>
    </r>
  </si>
  <si>
    <t>Affymetrix Multispecies miRNA-4 Array, Affymetrix Clariom S Assay</t>
  </si>
  <si>
    <t>Limitations</t>
  </si>
  <si>
    <t>Represents one individual</t>
  </si>
  <si>
    <r>
      <rPr>
        <rFont val="Arial"/>
        <color theme="4"/>
      </rPr>
      <t>E</t>
    </r>
    <r>
      <rPr>
        <rFont val="Arial"/>
        <color theme="1"/>
      </rPr>
      <t>valuation strategy</t>
    </r>
  </si>
  <si>
    <t>Samples</t>
  </si>
  <si>
    <t>Represents each unique replicate, eg 2 samples but from one patient</t>
  </si>
  <si>
    <t xml:space="preserve">Data platform </t>
  </si>
  <si>
    <t>GPR158 Activates Cellular Stress Responses in Trabecular Meshwork Cells of the Eye’s Aqueous Outflow Pathways: Implications for Ocular Hypertension</t>
  </si>
  <si>
    <t>Suarez MF</t>
  </si>
  <si>
    <t>Fini ME</t>
  </si>
  <si>
    <t>GSE236016</t>
  </si>
  <si>
    <t>Illumina HumanHT-12 V4.0 expression beadchip</t>
  </si>
  <si>
    <t>If any of the usefulness questions are Yes please fill the details in the methods section</t>
  </si>
  <si>
    <t>My opinion</t>
  </si>
  <si>
    <r>
      <rPr>
        <rFont val="Arial"/>
        <color theme="4"/>
      </rPr>
      <t>S</t>
    </r>
    <r>
      <rPr>
        <rFont val="Arial"/>
        <color theme="1"/>
      </rPr>
      <t>imulated data (Y/N)</t>
    </r>
  </si>
  <si>
    <t>Basic info</t>
  </si>
  <si>
    <t xml:space="preserve">Pharmacogenetics study </t>
  </si>
  <si>
    <r>
      <rPr>
        <rFont val="Arial"/>
        <color rgb="FF4285F4"/>
      </rPr>
      <t>S</t>
    </r>
    <r>
      <rPr>
        <rFont val="Arial"/>
        <color theme="1"/>
      </rPr>
      <t>pecies / Organism</t>
    </r>
  </si>
  <si>
    <t>Result</t>
  </si>
  <si>
    <t>Enter results (Y/N)</t>
  </si>
  <si>
    <t>The potential role of long noncoding RNAs in primary open-angle glaucoma</t>
  </si>
  <si>
    <r>
      <rPr>
        <rFont val="Arial"/>
        <color rgb="FF4285F4"/>
      </rPr>
      <t>V</t>
    </r>
    <r>
      <rPr>
        <rFont val="Arial"/>
        <color theme="1"/>
      </rPr>
      <t>alidation reported</t>
    </r>
  </si>
  <si>
    <t>Xuanchu Duan</t>
  </si>
  <si>
    <t>10.1007/s00417-021-05279-w</t>
  </si>
  <si>
    <t>Toxicology study</t>
  </si>
  <si>
    <t>GSE138125</t>
  </si>
  <si>
    <t>Treatment group (pressure, tgf beta, etc)</t>
  </si>
  <si>
    <t>Agilent-079487 Arraystar Human LncRNA microarray V4</t>
  </si>
  <si>
    <t>4 normal / 4 POAG</t>
  </si>
  <si>
    <t>Impact factor</t>
  </si>
  <si>
    <t xml:space="preserve">Are there confounding variables? </t>
  </si>
  <si>
    <r>
      <rPr>
        <rFont val="Arial"/>
        <color theme="1"/>
      </rPr>
      <t xml:space="preserve">Funding source? </t>
    </r>
    <r>
      <rPr>
        <rFont val="Arial"/>
        <color theme="4"/>
      </rPr>
      <t>(Why do we need this?)</t>
    </r>
  </si>
  <si>
    <t>Retinal Genomic Fabric Remodeling after Optic Nerve Injury</t>
  </si>
  <si>
    <t>Pedro Henrique Victorino</t>
  </si>
  <si>
    <t>Hilda Petrs-Silva</t>
  </si>
  <si>
    <t>10.3390/genes12030403</t>
  </si>
  <si>
    <t>GSE133563</t>
  </si>
  <si>
    <t xml:space="preserve">Number of individuals </t>
  </si>
  <si>
    <t>Agilent-028282 Whole Rat Genome Microarray 4x44K v3</t>
  </si>
  <si>
    <t>Outcomes</t>
  </si>
  <si>
    <t>Time period</t>
  </si>
  <si>
    <t>Evaluation strategy</t>
  </si>
  <si>
    <t>Note</t>
  </si>
  <si>
    <t>Simulated data (Y/N)</t>
  </si>
  <si>
    <t>Validation reported</t>
  </si>
  <si>
    <t xml:space="preserve">* Note - tracking the last author is easier to capture which lab its from. </t>
  </si>
  <si>
    <t>potentially remove column V</t>
  </si>
  <si>
    <t xml:space="preserve">* Results - This section is probably not needed unless the paper is of interest so may start with a question to indiciate, whether this section should be popularted or not. </t>
  </si>
  <si>
    <t>Genomic/proteomic analyses of dexamethasone-treated human trabecular meshwork cells reveal a role for GULP1 and ABR in phagocytosis</t>
  </si>
  <si>
    <t>Jennifer A Faralli</t>
  </si>
  <si>
    <t>Donna M Peters</t>
  </si>
  <si>
    <t>PMID: 31516309; PMCID: PMC6706170</t>
  </si>
  <si>
    <t xml:space="preserve">I think you need something to track (i) Biomarker (ii) cell type focus </t>
  </si>
  <si>
    <t>GSE124114</t>
  </si>
  <si>
    <t>Affymetrix Human Gene 1.0 ST Array</t>
  </si>
  <si>
    <t>Study</t>
  </si>
  <si>
    <t>control / dexamethasone for 6 days</t>
  </si>
  <si>
    <t>Yes / No</t>
  </si>
  <si>
    <t>doi</t>
  </si>
  <si>
    <t>Country</t>
  </si>
  <si>
    <t>Glaucoma related Proteomic Alterations in Human Retina Samples</t>
  </si>
  <si>
    <t>Sebastian Funke</t>
  </si>
  <si>
    <t>Franz H. Grus</t>
  </si>
  <si>
    <t>https://doi.org/10.1038/srep29759</t>
  </si>
  <si>
    <t>Is batch information available</t>
  </si>
  <si>
    <t xml:space="preserve">Title </t>
  </si>
  <si>
    <t>Is the data normalised</t>
  </si>
  <si>
    <t>Nature</t>
  </si>
  <si>
    <t>Age</t>
  </si>
  <si>
    <t xml:space="preserve">No data availability statement </t>
  </si>
  <si>
    <t>Not specified</t>
  </si>
  <si>
    <t>Specific age</t>
  </si>
  <si>
    <t>Sex</t>
  </si>
  <si>
    <t>Male / Female</t>
  </si>
  <si>
    <t>SwissProt (human), GO, STRING</t>
  </si>
  <si>
    <t>LC-MS/MS discovery proteomics using a Thermo LTQ Orbitrap XL, analyzed with MaxQuant/Andromeda against SwissProt, using LFQ for quantification</t>
  </si>
  <si>
    <t>disease/control</t>
  </si>
  <si>
    <t>Number of donors</t>
  </si>
  <si>
    <t>2 each for glaucoma and control</t>
  </si>
  <si>
    <t>3 each for glaucoma and control</t>
  </si>
  <si>
    <t>Brain region</t>
  </si>
  <si>
    <t>Major class / Subclass</t>
  </si>
  <si>
    <t>The number of retinal ganglion cells</t>
  </si>
  <si>
    <t>Num</t>
  </si>
  <si>
    <t>Also Avaliable from</t>
  </si>
  <si>
    <t>Diversity</t>
  </si>
  <si>
    <t>For retina data, is tissue information available (fovea centralis, macula lutea, macula lutea proper, peripheral region of retina)</t>
  </si>
  <si>
    <t>For retina data, is layer information available? (ONL (outer nuclear layer)
INL (inner nuclear layer)
GCL (ganglion cell layer)
OPL / IPL)</t>
  </si>
  <si>
    <t>Notes (what is inconsistent)</t>
  </si>
  <si>
    <t>General glaucoma</t>
  </si>
  <si>
    <t xml:space="preserve">based on processed retina tissue after removing blood vessels and vitreous residuals --&gt; the proteomic output can be suggested to refer to the “core proteome” of the human retina explaining a number of &gt;600 proteins and limited representation of secretory proteins. </t>
  </si>
  <si>
    <t>Glaucoma Clinical Research: Trends in Treatment Strategies and Drug Development</t>
  </si>
  <si>
    <t>Line Storgaard</t>
  </si>
  <si>
    <t>Miriam Kolko</t>
  </si>
  <si>
    <t>Grubman_2019</t>
  </si>
  <si>
    <t>GSE138852</t>
  </si>
  <si>
    <t>https://doi.org/10.3389/fmed.2021.733080</t>
  </si>
  <si>
    <t>https://doi.org/10.1038/s41593-019-0539-4</t>
  </si>
  <si>
    <t>Review</t>
  </si>
  <si>
    <t>Clinical Trial Metadata</t>
  </si>
  <si>
    <t>Nature Neuronscience</t>
  </si>
  <si>
    <t>A single-cell atlas of entorhinal cortex from individuals with Alzheimer’s disease reveals cell-type-specific gene expression regulation</t>
  </si>
  <si>
    <t>Entorhinal cortex</t>
  </si>
  <si>
    <t>Alzheimer’s disease</t>
  </si>
  <si>
    <t>Mathys_2019</t>
  </si>
  <si>
    <t>syn18485175</t>
  </si>
  <si>
    <t>https://doi.org/10.1038/s41586-019-1195-2</t>
  </si>
  <si>
    <t>US</t>
  </si>
  <si>
    <t>Single-cell transcriptomic analysis of Alzheimer’s disease</t>
  </si>
  <si>
    <t>Prefrontal cortex</t>
  </si>
  <si>
    <t>Targeted Proteomics Profiling for Biomarker Discovery in Glaucoma Using the Olink Proteomics Platform</t>
  </si>
  <si>
    <t>Hui-Ying Zhang</t>
  </si>
  <si>
    <t>Biao Yan</t>
  </si>
  <si>
    <t>10.1021/acs.jproteome.4c00593</t>
  </si>
  <si>
    <t>Journal of Proteome Research</t>
  </si>
  <si>
    <t xml:space="preserve"> NGDC: OMIX006822</t>
  </si>
  <si>
    <t>Chinese National Genomics Data Center, GO, STRING</t>
  </si>
  <si>
    <t>Olink</t>
  </si>
  <si>
    <t xml:space="preserve">Glaucoma: 65.7 ± 7.7
Controls: 68.3 ± 5.7
</t>
  </si>
  <si>
    <t>Aqueous humour</t>
  </si>
  <si>
    <t>cataract patients used as control, ALDH1A1 was a significant protein</t>
  </si>
  <si>
    <t>Network-based hub biomarker discovery for glaucoma</t>
  </si>
  <si>
    <t>Min Li</t>
  </si>
  <si>
    <t>Xueli Zhang</t>
  </si>
  <si>
    <t>10.1136/bmjophth-2024-001915</t>
  </si>
  <si>
    <t>CC-BY</t>
  </si>
  <si>
    <t>Microarray, GWAS Summary Statistics, Epidemiology</t>
  </si>
  <si>
    <t xml:space="preserve">Yes </t>
  </si>
  <si>
    <t>This constructs a network from multiple databases</t>
  </si>
  <si>
    <t>Metabolomic profiling of aqueous humor from glaucoma patients - The metabolomics in surgical ophthalmological patients (MISO) study</t>
  </si>
  <si>
    <t xml:space="preserve">João Barbosa Breda </t>
  </si>
  <si>
    <t>Ingeborg Stalmans</t>
  </si>
  <si>
    <t>https://doi.org/10.1016/j.exer.2020.108268</t>
  </si>
  <si>
    <t>Avance II 400 MHz NMR spectrometer equipped with a 5 mm [1H, 13C] inverse-detection dual-frequency probe</t>
  </si>
  <si>
    <t xml:space="preserve">NTG: 30
POAG: 30
</t>
  </si>
  <si>
    <t>Ophthalmology Department of the University Hospitals Leuven, Belgium (all caucasian)</t>
  </si>
  <si>
    <t>Normal Tension Glaucoma (NTG), Primary open-angle glaucoma (POAG)</t>
  </si>
  <si>
    <t>A comprehensive map of disease networks and molecular drug discoveries for glaucoma</t>
  </si>
  <si>
    <t>Haixin Wang</t>
  </si>
  <si>
    <t xml:space="preserve">https://doi.org/10.1038/s41598-020-66350-w
</t>
  </si>
  <si>
    <t>Scientific reports</t>
  </si>
  <si>
    <t>GSE27276, GSE9963</t>
  </si>
  <si>
    <t>CLUE database, Drug-Gene Interaction database (DGIdb), and KEGG database, GEO</t>
  </si>
  <si>
    <t>Association of polygenic scores for glaucoma with measures of retinal ganglion cell integrity in young and older adults</t>
  </si>
  <si>
    <t>Samantha Sze-Yee Lee</t>
  </si>
  <si>
    <t>David A Mackey</t>
  </si>
  <si>
    <t>https://doi.org/10.1016/j.ajo.2025.09.042</t>
  </si>
  <si>
    <t>American Journal of Ophthalmology</t>
  </si>
  <si>
    <t>Busselton Healthy Aging Study (BHAS), Kidskin Young Adult Myopia Study, Generation 2 (Gen2) of the Raine Study</t>
  </si>
  <si>
    <t>Image</t>
  </si>
  <si>
    <t>A generalised computer vision model for improved glaucoma screening using fundus images</t>
  </si>
  <si>
    <t>Abadh K. Chaurasia</t>
  </si>
  <si>
    <t>https://doi.org/10.1038/s41433-024-03388-4</t>
  </si>
  <si>
    <t>Search Category</t>
  </si>
  <si>
    <t>20 publicly accessible databases</t>
  </si>
  <si>
    <t>Fundus images</t>
  </si>
  <si>
    <t>_</t>
  </si>
  <si>
    <r>
      <rPr>
        <rFont val="Arial"/>
        <b/>
        <color theme="1"/>
      </rPr>
      <t xml:space="preserve">AND </t>
    </r>
    <r>
      <rPr>
        <rFont val="Arial"/>
        <b/>
        <color rgb="FFEA9999"/>
      </rPr>
      <t>Drug</t>
    </r>
  </si>
  <si>
    <r>
      <rPr>
        <rFont val="Arial"/>
        <b/>
        <color theme="1"/>
      </rPr>
      <t xml:space="preserve">AND </t>
    </r>
    <r>
      <rPr>
        <rFont val="Arial"/>
        <b/>
        <color rgb="FFB6D7A8"/>
      </rPr>
      <t>Human</t>
    </r>
    <r>
      <rPr>
        <rFont val="Arial"/>
        <b/>
        <color theme="1"/>
      </rPr>
      <t xml:space="preserve">  </t>
    </r>
  </si>
  <si>
    <r>
      <rPr>
        <rFont val="Arial"/>
        <b/>
        <color theme="1"/>
      </rPr>
      <t xml:space="preserve">AND </t>
    </r>
    <r>
      <rPr>
        <rFont val="Arial"/>
        <b/>
        <color rgb="FFB6D7A8"/>
      </rPr>
      <t>Human</t>
    </r>
    <r>
      <rPr>
        <rFont val="Arial"/>
        <b/>
        <color theme="1"/>
      </rPr>
      <t xml:space="preserve"> AND </t>
    </r>
    <r>
      <rPr>
        <rFont val="Arial"/>
        <b/>
        <color rgb="FFEA9999"/>
      </rPr>
      <t>Drug</t>
    </r>
    <r>
      <rPr>
        <rFont val="Arial"/>
        <b/>
        <color theme="1"/>
      </rPr>
      <t xml:space="preserve"> </t>
    </r>
  </si>
  <si>
    <r>
      <rPr>
        <rFont val="Arial"/>
        <b/>
        <color theme="1"/>
      </rPr>
      <t xml:space="preserve">AND </t>
    </r>
    <r>
      <rPr>
        <rFont val="Arial"/>
        <b/>
        <color rgb="FFFFE599"/>
      </rPr>
      <t xml:space="preserve">Drug Target </t>
    </r>
  </si>
  <si>
    <r>
      <rPr>
        <rFont val="Arial"/>
        <b/>
        <color theme="1"/>
      </rPr>
      <t xml:space="preserve">AND </t>
    </r>
    <r>
      <rPr>
        <rFont val="Arial"/>
        <b/>
        <color rgb="FFB6D7A8"/>
      </rPr>
      <t>Human</t>
    </r>
    <r>
      <rPr>
        <rFont val="Arial"/>
        <b/>
        <color theme="1"/>
      </rPr>
      <t xml:space="preserve"> AND </t>
    </r>
    <r>
      <rPr>
        <rFont val="Arial"/>
        <b/>
        <color rgb="FFFFE599"/>
      </rPr>
      <t>Drug Target</t>
    </r>
  </si>
  <si>
    <t>Systems genetics identifies a role for Cacna2d1 regulation in elevated intraocular pressure and glaucoma susceptibility</t>
  </si>
  <si>
    <t>Sumana R. Chintalapudi</t>
  </si>
  <si>
    <t>Monica M. Jablonski</t>
  </si>
  <si>
    <t>https://doi.org/10.1038/s41467-017-00837-5</t>
  </si>
  <si>
    <t>BXD published phenotypes record IDs 16337, BXD published phenotypes record IDs 16340, Trait ID 1446324_at and 1449999_a_at in the Eye M430v2 (Sep08) RMA database</t>
  </si>
  <si>
    <t>Creative Commons Attribution 4.0 International License</t>
  </si>
  <si>
    <t>GeneNetwork, Eye M430v2 (Sep08) RMA database</t>
  </si>
  <si>
    <t>gene network, Cacna2d1  Expression</t>
  </si>
  <si>
    <t>Primary open-angle glaucoma (POAG)</t>
  </si>
  <si>
    <t>Highly Accurate and Precise Automated Cup-to-Disc Ratio Quantification for Glaucoma Screening</t>
  </si>
  <si>
    <t>Abadh K. Chaurasia MOptom</t>
  </si>
  <si>
    <t>https://doi.org/10.1016/j.xops.2024.100540</t>
  </si>
  <si>
    <t>Ophthalmology Science</t>
  </si>
  <si>
    <t>UKBB, Drishti_GS, EyePACS</t>
  </si>
  <si>
    <t>Glaucoma and Optic Nerve</t>
  </si>
  <si>
    <t>Integrated Bioinformatics-Based Identification and Validation of Neuroinflammation-Related Hub Genes in Primary Open-Angle Glaucoma</t>
  </si>
  <si>
    <t>Zakir Ullah</t>
  </si>
  <si>
    <t>Jufang Huang</t>
  </si>
  <si>
    <t>10.3390/ijms25158193</t>
  </si>
  <si>
    <t xml:space="preserve">Int J Mol Sci. </t>
  </si>
  <si>
    <t>Retinal Ganglion Cell or Glia</t>
  </si>
  <si>
    <t>GSE27276, GSE13534 and GSE9944</t>
  </si>
  <si>
    <t>Aging Disease (Mitochondrial or Metabolic)</t>
  </si>
  <si>
    <t>Wang Shaojun</t>
  </si>
  <si>
    <t>Wang Dajiang</t>
  </si>
  <si>
    <t>10.4103/1673-5374.389363</t>
  </si>
  <si>
    <t>Raw count</t>
  </si>
  <si>
    <t>GSA: CRA010582</t>
  </si>
  <si>
    <t>Fastq</t>
  </si>
  <si>
    <t>Under request</t>
  </si>
  <si>
    <t>Chinese National Genomics Data Center</t>
  </si>
  <si>
    <t>Not available</t>
  </si>
  <si>
    <t>Total</t>
  </si>
  <si>
    <t>10× Chromium system (V3) loaded onto Illumina Nova 6000 system</t>
  </si>
  <si>
    <t>high intraocular pressure</t>
  </si>
  <si>
    <t>Males</t>
  </si>
  <si>
    <t>4-week-old Sprague-Dawley rats (weighing 110–120 g) from the Experimental Animal Center of the Chinese PLA General Hospital</t>
  </si>
  <si>
    <t>4 week old</t>
  </si>
  <si>
    <t>unspecified</t>
  </si>
  <si>
    <t>Retina — Whole/unspecified, RPE/Choroid, Optic nerve</t>
  </si>
  <si>
    <t>six for scRNA-seq; and six for hematoxylin and eosin (HE), hematoxylin and eosin staining, immunofluorescence staining, and terminal dUTP nick end labeling [TUNEL] staining</t>
  </si>
  <si>
    <r>
      <rPr>
        <color rgb="FF1155CC"/>
        <u/>
      </rPr>
      <t>https://doi.org/10.1093/hmg/ddae003</t>
    </r>
  </si>
  <si>
    <t>S-BSST840
S-BSST841</t>
  </si>
  <si>
    <t>European Bioimage Archive</t>
  </si>
  <si>
    <t xml:space="preserve">CROP-seq (CRISPR droplet sequencing) approach by 10x Genomics
multiplex fluorescent staining / Cell Painting protocol and data extraction via CellProfiler
</t>
  </si>
  <si>
    <t>single cell RNA, morphological</t>
  </si>
  <si>
    <t>105,273 cells filtered down to 25,879</t>
  </si>
  <si>
    <t>62 genes across 55 loci were knocked-out in a primary human TMC line</t>
  </si>
  <si>
    <t>Ibudilast Protects Retinal Bipolar Cells From Excitotoxic Retinal Damage and Activates the mTOR Pathway</t>
  </si>
  <si>
    <t>Sumaya Hamadmad</t>
  </si>
  <si>
    <t>Colleen M. Cebulla</t>
  </si>
  <si>
    <t>https://doi.org/10.1101/2024.03.18.585556</t>
  </si>
  <si>
    <t>GSE242796, GSM7770646, GSM7770647</t>
  </si>
  <si>
    <t>Illumina HiSeq 4000 (Gallus gallus)</t>
  </si>
  <si>
    <t>Chick</t>
  </si>
  <si>
    <t>NMDA-damaged</t>
  </si>
  <si>
    <t>none</t>
  </si>
  <si>
    <t>Comparative transcriptome profiling of the human and mouse dorsal root ganglia: an RNA-seq-based resource for pain and sensory neuroscience research.</t>
  </si>
  <si>
    <t>Ray P</t>
  </si>
  <si>
    <t>Price TJ</t>
  </si>
  <si>
    <r>
      <rPr>
        <color rgb="FF1155CC"/>
        <u/>
      </rPr>
      <t>https://doi.org/10.1097/j.pain.0000000000001217</t>
    </r>
  </si>
  <si>
    <t>PAIN</t>
  </si>
  <si>
    <t>PRJNA87249, GSE14038, GSE21899, GSE59739</t>
  </si>
  <si>
    <t>Illumina HiSeq 2000, Affymetrix HG-U133A</t>
  </si>
  <si>
    <t>single cell RNA, Microarray</t>
  </si>
  <si>
    <t>Human, Mouse</t>
  </si>
  <si>
    <t>Females</t>
  </si>
  <si>
    <t>30-60</t>
  </si>
  <si>
    <t>Sample from Dorsal Root Ganglia</t>
  </si>
  <si>
    <t xml:space="preserve">Michael S. Kapiloff </t>
  </si>
  <si>
    <t>https://doi.org/10.1016/j.exer.2024.110017</t>
  </si>
  <si>
    <t xml:space="preserve">Illumina HiSeq 4000 </t>
  </si>
  <si>
    <t>Laboratory C57BL/6J mice</t>
  </si>
  <si>
    <t>4–5 weeks old</t>
  </si>
  <si>
    <t>264–1052 RGCs per sample; total ≈ 4000–5000 RGCs</t>
  </si>
  <si>
    <t>Optic nerve</t>
  </si>
  <si>
    <t>Single-cell ATAC-seq of fetal human retina and stem-cell-derived retinal organoids shows changing chromatin landscapes during cell fate acquisition</t>
  </si>
  <si>
    <t xml:space="preserve">Multimodal spatiotemporal phenotyping of human retinal organoid development
</t>
  </si>
  <si>
    <t>Deciphering the spatiotemporal transcriptional and chromatin accessibility of human retinal organoid development at the single-cell level</t>
  </si>
  <si>
    <t>Single-cell analyses reveal transient retinal progenitor cells in the ciliary margin of developing human retina</t>
  </si>
  <si>
    <t>Eugenie(Proteomics data)</t>
  </si>
  <si>
    <t>High-fat diet alters retinal lipid composition and gene expression networks in mice.</t>
  </si>
  <si>
    <t>Rong Zou</t>
  </si>
  <si>
    <t>Lin Zhang</t>
  </si>
  <si>
    <t>10.1186/s12915-025-02212-z</t>
  </si>
  <si>
    <t>BMC Biology</t>
  </si>
  <si>
    <t>PRJNA1181314</t>
  </si>
  <si>
    <t>Name: HFD
 Instrument: Illumina NovaSeq 6000
 Strategy: RNA-Seq
 Source: TRANSCRIPTOMIC SINGLE CELL
 Selection: RT-PCR
 Layout: PAIRED
 To investigate the effects of high-fat diet on different cells of the mouse retina and the regulatory mechanisms.
 regulation of metabolic homeostasis in 
 the retina, and no attention has been paid to the effects 
 HFD on different cells of the retina. 
 Message 
 Our investigation revealed that prolonged exposure 
 to an HFD led to significant alterations in the lipid pro-
 file of the retina, notably demonstrating increased levels 
 of CE, PC, and PG, alongside reduced eicosanoid levels.</t>
  </si>
  <si>
    <t>Jasmine(Microarray)</t>
  </si>
  <si>
    <t>Directly induced human retinal ganglion cells mimic fetal RGCs and are neuroprotective after transplantation in vivo.</t>
  </si>
  <si>
    <t>Ziming Luo</t>
  </si>
  <si>
    <t>Marius Wernig</t>
  </si>
  <si>
    <t>10.1016/j.stemcr.2022.10.011</t>
  </si>
  <si>
    <t>Stem Cell Reports</t>
  </si>
  <si>
    <t>GSE20045</t>
  </si>
  <si>
    <t>treated/disease/control</t>
  </si>
  <si>
    <t>Retina; Other: Retinal organoids, stem cell-derived tissues that recapitulate fetal retinal development, are another promising source of donor RGCs.</t>
  </si>
  <si>
    <t>C57BL/6 wild-type (WT) male and female mice 4‚Äì6 weeks old and Sprague-Dawley female rats
 6 weeks old were obtained from Charles River Labora-
 tories.
 GSM503908 Undifferentiated H1
 GSM503909 Day 1 differentiated H1
 GSM503910 Day 2 differentiated H1
 GSM503911 Day 3 differentiated H1
 GSM503912 Day 4 differentiated H1
 GSM503913 Day 5 differentiated H1
 GSM503914 Day 6 differentiated H1
 GSM503915 Day 7 differentiated H1</t>
  </si>
  <si>
    <t>Dario (Done) Cabiria</t>
  </si>
  <si>
    <t>Single-cell RNA sequencing study of retinal immune regulators identified CD47 and CD59a expression in photoreceptors-Implications in subretinal immune regulation.</t>
  </si>
  <si>
    <t>Jian Liu</t>
  </si>
  <si>
    <t>Heping Xu</t>
  </si>
  <si>
    <t>10.1002/jnr.24618</t>
  </si>
  <si>
    <t>Journal of Neuroscience Research</t>
  </si>
  <si>
    <t>GSM3580725; GSM3580727</t>
  </si>
  <si>
    <t>Illumina HiSeq 2500</t>
  </si>
  <si>
    <t>Male</t>
  </si>
  <si>
    <t>2 month</t>
  </si>
  <si>
    <t>Major class</t>
  </si>
  <si>
    <t>Clustering</t>
  </si>
  <si>
    <t>genotype: WT
 strain: C57BL/6J
 age: 2 month
 Sex: Male
 tissue: retina
 treatment: none</t>
  </si>
  <si>
    <t>Cabiria(Done)</t>
  </si>
  <si>
    <t>Single-cell RNA-sequencing analysis of the ciliary epithelium and contiguous tissues in the mouse eye.</t>
  </si>
  <si>
    <t>J.C. Youkilis</t>
  </si>
  <si>
    <t>S. Bassnet</t>
  </si>
  <si>
    <t>treated/control</t>
  </si>
  <si>
    <t>Other: murine ciliary body samples</t>
  </si>
  <si>
    <t>GSM5395694 Experiment 1 - Lvpl1
 GSM5395695 Experiment 2 - Lvpl3</t>
  </si>
  <si>
    <t>SOX2-positive retinal stem cells are identified in adult human pars plicata by single-cell transcriptomic analyses.</t>
  </si>
  <si>
    <t>Xiaotang Wang</t>
  </si>
  <si>
    <t>Shengping Hou</t>
  </si>
  <si>
    <t>10.1002/mco2.198</t>
  </si>
  <si>
    <t>MedComm</t>
  </si>
  <si>
    <t>Other: Eyeballs from six donors were divided into five tissue regions within 32 h including the iris, pars plicata, pars plana, RPE, and neuroepithelial layer (Donors 1‚Äì6, Table S1).</t>
  </si>
  <si>
    <t>All data supporting the findings of this study are available from the authors upon reasonable request.</t>
  </si>
  <si>
    <t>Dario (Done)</t>
  </si>
  <si>
    <t>Rapid and efficient generation of a transplantable population of functional retinal ganglion cells from fibroblasts.</t>
  </si>
  <si>
    <t>induced RGCs from fibrolbasts</t>
  </si>
  <si>
    <t>Other: Cells derived
 from Tau-EGFP MEFs (sorted or unsorted) on D21 were used.</t>
  </si>
  <si>
    <t>Rapid and efficient generation of a transplantable population of functional retinal ganglion cells from fibroblasts
TODO list for processing, the data is needed to be cell ranger
 Library:
 Name: C57-ABP
 Instrument: Illumina NovaSeq 6000
 Strategy: RNA-Seq
 Source: TRANSCRIPTOMIC SINGLE CELL
 Selection: RT-PCR
 Layout: PAIRED</t>
  </si>
  <si>
    <t>Dysregulated energy and protein homeostasis and the loss of GABAergic amacrine cells in aging retina.</t>
  </si>
  <si>
    <t>Yutong Zhou</t>
  </si>
  <si>
    <t>Jing Li</t>
  </si>
  <si>
    <t>10.1016/j.exer.2024.109985</t>
  </si>
  <si>
    <t>A total of 31228 retinal cells, including 20517 cells from the old and 10711 cells from the young group were analyzed. The average number of genes and UMI per cell was 1803 and 4380, respectively
 For ScRNA-seq, the mice were sacrificed by intraperitoneal injection of overdosed sodium pentobarbital at 8‚Äì9 am. Whole retina was carefully removed from incised eyeball under stereoscope. Two retinas from the same animal were pooled and digested using the Miltenyi Neural Tissue Dissociation Kit (#130-094-802) with minor modification.</t>
  </si>
  <si>
    <t>B-cell depletion therapy reduces retinal inflammation in experimental autoimmune uveoretinitis.</t>
  </si>
  <si>
    <t>Zhiruo Wan</t>
  </si>
  <si>
    <t>Guochun Chen</t>
  </si>
  <si>
    <t>10.1016/j.intimp.2025.114467</t>
  </si>
  <si>
    <t>International Immunopharmacology</t>
  </si>
  <si>
    <t>Asia</t>
  </si>
  <si>
    <t>Other: peripheral blood samples</t>
  </si>
  <si>
    <t>Non-infectious uveitis (NIU)</t>
  </si>
  <si>
    <t>This study included patients with non-infectious uveitis who attended or were referred to the Department of Ophthalmology of the Second Xiangya Hospital of Central South University between January 2022 and December 2022, and was confirmed by the same entitled ophthalmologist according to the criteria of the standardization of uveitis nomenclature (SUN) working group</t>
  </si>
  <si>
    <t>Heterochronic parabiosis uncovers AdipoR1 as a critical player in retinal rejuvenation.</t>
  </si>
  <si>
    <t>Yidan Liu</t>
  </si>
  <si>
    <t>Wenru Su</t>
  </si>
  <si>
    <t>10.1126/sciadv.adv6642</t>
  </si>
  <si>
    <t>PRJCA030000</t>
  </si>
  <si>
    <t>Aged</t>
  </si>
  <si>
    <t>TODO list for processing, the data is needed to be cell ranger</t>
  </si>
  <si>
    <t>Molecular taxonomy of human ocular outflow tissues defined by single-cell transcriptomics.</t>
  </si>
  <si>
    <t>Gaurang Patel</t>
  </si>
  <si>
    <t>Carmelo Romanoa</t>
  </si>
  <si>
    <t>doi: 10.1073/pnas.2001896117</t>
  </si>
  <si>
    <t>PRJNA616025</t>
  </si>
  <si>
    <t>Americas</t>
  </si>
  <si>
    <t>Retina; Other: eye</t>
  </si>
  <si>
    <t>Human donor eyes (four normal donors) were obtained from the Lions Eye Institute for Transplant and Research (Tampa, FL) and Miracles in Sight (Winston-Salem, NC)
 Library:
 Name: HTGGYBGX7_1076768_1_1_1_S3_L003
 Instrument: NextSeq 500
 Strategy: RNA-Seq
 Source: TRANSCRIPTOMIC SINGLE CELL
 Selection: RANDOM
 Layout: PAIRED
 8758 cells from eight eyes of four donors representing the outflow cell transcriptome. Upon clustering analysis, 12 distinct cell types were identified, and region-specific expression of candidate genes were mapped in human tissues.</t>
  </si>
  <si>
    <t>Identification of Estrogen Signaling in a Prioritization Study of Intraocular Pressure-Associated Genes.</t>
  </si>
  <si>
    <t>Hannah A. Youngblood</t>
  </si>
  <si>
    <t>Yutao Liu</t>
  </si>
  <si>
    <t>10.3390/ijms221910288</t>
  </si>
  <si>
    <t>International Journal of Molecular Sciences</t>
  </si>
  <si>
    <t>GEO is not updated</t>
  </si>
  <si>
    <t>POAG (not of interest)</t>
  </si>
  <si>
    <t>Lastly, the specific expression of all 157 IOP-associated genes (Supplemental Table S3)
 was examined in a previously published scRNA-Seq of human outflow tissue [37]. In brief,
 whole eyes were obtained from 7 post-mortem human donors, and a ‚Äúpermissive dis-
 section technique‚Äù was used to remove TM and surrounding tissue from the anterior
 segment. 
 The RNA-Seq data is in the process of being deposited into the NCBI GEO database. This will be updated once the deposit is completed with the GEO accession number.
 By combining the data provided in the supplemental files from Khawaja, et al., and
 MacGregor, et al., we compiled a list of 191 lead SNPs associated with IOP (Supplemental
 Tables S1 and S2). These SNPs were located in or near 157 genes. In some cases, multiple
 SNPs were identified within a single gene (e.g., TMCO1, FNDC3B, AFAP1, GMDS, OXR1,
 ANGPT1, LMX1B, and GAS7).
 Separately, all 157 IOP-associated genes were screened
 using expression data from an RNA-Seq study, in which we subjected cultures of pri-
 mary human TM cells to cyclic mechanical stretch, and a single-cell RNA-sequencing
 (scRNA-Seq) analysis of human outflow tissues</t>
  </si>
  <si>
    <t>Cellular crosstalk regulates the aqueous humor outflow pathway and provides new targets for glaucoma therapies.</t>
  </si>
  <si>
    <t>Benjamin R. Thomson</t>
  </si>
  <si>
    <t>Susan E. Quaggi</t>
  </si>
  <si>
    <t>doi.org/10.1038/s41467-021-26346-0</t>
  </si>
  <si>
    <t>Retina; Other: Using mouse models, we show that deletion of Angpt1 or Svep1
 from the neural crest tissues giving rise to the TM leads to major
 defects in the adjacent SC, ocular hypertension and phenotypes
 similar to PCG.</t>
  </si>
  <si>
    <t>GSM5133875 WT mouse iridocorneal angle and limbal region wt185
 GSM5133876 WT mouse iridocorneal angle and limbal region wt285
 GSM5133877 Neural crest specific Angpt1 knockout mouse iridocorneal angle and limbal region ko1
  21,356 control and 7254 Angpt1ŒîNC cells
 After doublet removal, 19,236 control and 6772 Angpt1ŒîNC predicted singlets were used for all subsequent analysis steps.
 19236 + 6772 = 26008</t>
  </si>
  <si>
    <t>Single Cell Sequencing of Induced Pluripotent Stem Cell Derived Retinal Ganglion Cells (iPSC-RGC) Reveals Distinct Molecular Signatures and RGC Subtypes.</t>
  </si>
  <si>
    <t>Harini V. Gudiseva</t>
  </si>
  <si>
    <t>Joan M. O‚ÄôBrien</t>
  </si>
  <si>
    <t>10.3390/genes12122015</t>
  </si>
  <si>
    <t>Genes</t>
  </si>
  <si>
    <t>System / Model (iPSC-derived RGCs / retinal organoids)</t>
  </si>
  <si>
    <t>A single-cell transcriptomic atlas of the human ciliary body.</t>
  </si>
  <si>
    <t>doi.org/10.1007/s00018-022-04559-w</t>
  </si>
  <si>
    <t>Other: donor eye</t>
  </si>
  <si>
    <t>Not eye related.</t>
  </si>
  <si>
    <t>Acquisi-
 tion of the donor eyes for scRNAseq and immunohistologi-
 cal studies were approved by the Medical Ethics Committee 
 of Zhongshan Ophthalmic Center, Sun Yat-sen University, 
 and performed in agreement with the tenets of the Declara-
 tion of Helsinki.
 Cluster analysis identified 
 14 distinct cell types, representing the epithelial, vascu-
 lar, neural, stomal and immune cell populations of human 
 ciliary body.</t>
  </si>
  <si>
    <t>Spatiotemporal Characterization of Anterior Segment Mesenchyme Heterogeneity During Zebrafish Ocular Anterior Segment Development.</t>
  </si>
  <si>
    <t>Kristyn L. Van Der Meulen</t>
  </si>
  <si>
    <t>Jakub K. Famulski</t>
  </si>
  <si>
    <t>doi: 10.3389/fcell.2020.00379</t>
  </si>
  <si>
    <t>Frontiers in Cell and Developmental Biology</t>
  </si>
  <si>
    <t>The raw data supporting the conclusions of this article will be made available by the authors, without undue reservation, to any qualified researcher.</t>
  </si>
  <si>
    <t>Eugenie(Done)</t>
  </si>
  <si>
    <t>Cell atlas of trabecular meshwork in glaucomatous non-human primates and DEGs related to tissue contract based on single-cell transcriptomics.</t>
  </si>
  <si>
    <t>https://doi.org/10.1016/j.isci.2023.108024</t>
  </si>
  <si>
    <t>Anterior Segment (Trabecular meshwork (TM) Schlemm‚Äôs canal Cornea Sclera)</t>
  </si>
  <si>
    <t>IGFBPL1 is a master driver of microglia homeostasis and resolution of neuroinflammation in glaucoma and brain tauopathy.</t>
  </si>
  <si>
    <t>doi: 10.1016/j.celrep.2023.112889</t>
  </si>
  <si>
    <t>Multiple</t>
  </si>
  <si>
    <t>Posterior Segment (Optic nerve head (ONH) Optic nerve RPE / Choroid); Retina; Other: BXD mouse retinas</t>
  </si>
  <si>
    <t>10x Chromium Next GEM Single Cell 3
 GSM5359947 wildtype D20-3958
 GSM5359948 Igfbpl-/1 D20-3959</t>
  </si>
  <si>
    <t>Self-formation of concentric zones of telencephalic and ocular tissues and directional retinal ganglion cell axons.</t>
  </si>
  <si>
    <t>GSM5737574 CONCEPT telencephalon-eye organoids at day 24</t>
  </si>
  <si>
    <t>Single-cell transcriptomic Atlas of aging macaque ocular outflow tissues.</t>
  </si>
  <si>
    <t>Jian Wu</t>
  </si>
  <si>
    <t>Ningli Wang</t>
  </si>
  <si>
    <t>10.1093/procel/pwad067</t>
  </si>
  <si>
    <t>Protein Cell</t>
  </si>
  <si>
    <t>Other: U937 cell line</t>
  </si>
  <si>
    <t>This study was authorized by the Beijing Tongren Hospital of Capital Medical University. The experimental procedures of primates and mice were all carried out in accordance with the guidelines of the ARVO Statement of Animals in Ophthalmic and Vision Research with approval from the Ethics Committee for Animal Studies of Beijing Tongren Hospital of Capital Medical University.
 Primary human trabecular meshwork cells (TMCs), isolated from the juxtacanalicular and corneoscleral regions of human eye, were obtained from the Sciencell corporation (ScienCell, Carlsbad, CA, USA). TMCs were cultured in TMCM medium (ScienCell), containing 2% fetal bovine serum (ScienCell), 1% penicillin/streptomycin (ScienCell) as well as 1% TM cell growth supplement (ScienCell). The cells were maintained in a 37¬∞C, 5% CO2 incubator.
 U937 cell line was isolated from the pleural fluid of a patient with histiocytic lymphoma, which was purchased from Procell Life Science &amp; Technology (Wuhan, China). The cells were cultured in RPMI 1640 supplemented with 10% fetal bovine serum (164210-50, Procell) and 1% penicillin/streptomycin (PB180120, Procell) at 37¬∞C with 5% CO2.</t>
  </si>
  <si>
    <t>CRISPR-CasRx-mediated disruption of Aqp1/Adrb2/Rock1/Rock2 genes reduces intraocular pressure and retinal ganglion cell damage in mice.</t>
  </si>
  <si>
    <t>Other: knockdown of Rock1 and Rock2 - RNA interference tool CasRx</t>
  </si>
  <si>
    <t>IOP (not of interest)</t>
  </si>
  <si>
    <t>18 weeks</t>
  </si>
  <si>
    <t>GSM7900625 DEX+NS
 GSM7900626 DEX+Y25
 GSM7900627 DEX+Y26
 The droplet-based scRNA-seq was performed, unsupervised clustering on cells for the shH10 Y25, shH10 Y26 and control ocular hypertension model mice using t-distributed stochastic neighbor embedding (t-SNE) revealed 16 clusters with distinct gene expression signatures (Fig. 5a, b; Fig. S6a‚Äìc; Fig. S11a, b).</t>
  </si>
  <si>
    <t>Loss of Stim2 in zebrafish induces glaucoma-like phenotype.</t>
  </si>
  <si>
    <t>https://doi.org/10.1038/s41598-024-74909-0</t>
  </si>
  <si>
    <t>Retina; System / Model (iPSC-derived RGCs / retinal organoids)</t>
  </si>
  <si>
    <t>5 dpf</t>
  </si>
  <si>
    <t>GSE264312 Loss of Stim2 in zebrafish induces retinal gene expression cellular changes resembling glaucoma characteristics.
 GSM8215873 Tg, repllicate 1, RNASeq
 GSM8215874 Tg, repllicate 2, RNASeq
 GSM8215875 Tg, repllicate 3, RNASeq
 GSM8215876 stim2KO, repllicate 1, RNASeq
 GSM8215877 stim2KO, repllicate 2, RNASeq
 GSM8215878 stim2KO, repllicate 3, RNASeq
 GSM8215879 Tg, repllicate 1, scRNASeq
 GSM8215880 Tg, repllicate 2, scRNASeq
 GSM8215881 stim2KO, repllicate 1, scRNASeq
 GSM8215882 stim2KO, repllicate 2, scRNASeq</t>
  </si>
  <si>
    <t>Transcriptomic profiling of Schlemm's canal cells reveals a lymphatic-biased identity and three major cell states.</t>
  </si>
  <si>
    <t>Simon WM John</t>
  </si>
  <si>
    <t>https://doi.org/10.7554/eLife.96459</t>
  </si>
  <si>
    <t>GSE271132, GSE272434 (bulk)</t>
  </si>
  <si>
    <t>To enrich for aqueous humor outflow tissues, limbal strips from 6 C57Bl/6J eyes (4 females, 2 males) were pooled for a single run of C57BL/6J scRNA-seq. C57BL/6J scRNA-seq was performed on two separate pools of eyes for a total of 12 eyes (8 females, 4 males). For 129/Sj scRNA-seq, 6 eyes (3 females, 3 males) were pooled for a single run.</t>
  </si>
  <si>
    <t>Subclass</t>
  </si>
  <si>
    <t>GSM8402255 BEC1
 GSM8402256 BEC2
 GSM8402257 BEC3
 GSM8402258 LEC1
 GSM8402259 LEC2
 GSM8402260 LEC3
 GSM8402261 SEC1
 GSM8402262 SEC2
 GSM8402263 SEC3
 GSM8370245 129S_scRNASeq
 GSM8370246 B6_scRNASeq_1
 GSM8370247 B6_scRNASeq_2
 GSM8370248 B6_sNucRNASeq</t>
  </si>
  <si>
    <t>Divergence in cellular markers observed in single-cell transcriptomics datasets between cultured primary trabecular meshwork cells and tissues.</t>
  </si>
  <si>
    <t>Scientific data</t>
  </si>
  <si>
    <t>Other: trabecular meshwork primary cell culture</t>
  </si>
  <si>
    <t>14 human eye trabecular meshwork primary cell culture sc-RNA-seq samples were compared to 3 post-mortem sc-RNA-seq samples
 GSM8188166 10x3V31_GTM_1672_P3
 GSM8188167 10x3V31_GTM_2956
 GSM8188168 10x3V31_GTM_7445
 GSM8188169 10x3V31_hTM_0114_P1
 GSM8188170 10x3v31_hTM_11701_P2
 GSM8188171 10x3v31_hTM_11703_P2
 GSM8188172 10x3v31_hTM_2180
 GSM8188173 10x3V31_hTM_659_P1_DCR
 GSM8188174 10x3V31_hTM_74M_P2
 GSM8188175 10x3V31_hTM_7987_P2
 GSM8188176 10x3v31_hTM_9355_P1
 GSM8188177 10x3v31_hTM_9632_P2
 GSM8188178 10x3v31_hTM_9691_P1
 GSM8188179 10x3V31_OHSU_GTM_2019_0461
 GSM8188180 22_0500_TM
 GSM8188181 22_0688_TM
 GSM8188182 22_0769_TM</t>
  </si>
  <si>
    <t>Single-cell RNA-seq reveals cell type-specific molecular and genetic associations with primary open-angle glaucoma.</t>
  </si>
  <si>
    <t>doi.org/10.1038/s41392-025-02438-x</t>
  </si>
  <si>
    <t>https://zenodo.org/records/17114800</t>
  </si>
  <si>
    <t>Asia; Other: Chinese ancestry</t>
  </si>
  <si>
    <t>Other: PBMC</t>
  </si>
  <si>
    <t>Primary open-angle glaucoma</t>
  </si>
  <si>
    <t>Processed clean h5ad scRNA-seq files (samples_clean_h5ad.7z) are available through https://zenodo.org (https://doi.org/10.5281/zenodo.17114800). Genotype data can be obtained by contacting the corresponding author (huangluling@yeah.net)
 98 POAG patients and 107
 healthy controls passed the final quality control (Supplementary
 Tables 1 and 2)</t>
  </si>
  <si>
    <t>Single-Cell Characterization of Anterior Segment Development: Cell Types, Pathways, and Signals Driving Formation of the Trabecular Meshwork and Schlemm's Canal.</t>
  </si>
  <si>
    <t>Simon W.M. John</t>
  </si>
  <si>
    <t>https://doi.org/10.1101/2025.08.15.670438</t>
  </si>
  <si>
    <t>four animals (eight eyes total) per sample</t>
  </si>
  <si>
    <t>Posterior Segment (Optic nerve head (ONH) Optic nerve RPE / Choroid); Other: Limbal tissue</t>
  </si>
  <si>
    <t>Leveraging single-cell transcriptomics of developing rat ocular outflow tissues to prioritize congenital glaucoma candidate genes.</t>
  </si>
  <si>
    <t>Sean M. Martin</t>
  </si>
  <si>
    <t>Stuart W. Tompson</t>
  </si>
  <si>
    <t>10.1101/2025.08.26.672439</t>
  </si>
  <si>
    <t>PRJNA1311507</t>
  </si>
  <si>
    <t>Rat</t>
  </si>
  <si>
    <t>Jasmine (done)</t>
  </si>
  <si>
    <t>Lipoxin B4 Mitigates TRPV4-Activated Muller Cell Gliosis During Ocular Hypertension.</t>
  </si>
  <si>
    <t>10.1101/2025.09.17.673801</t>
  </si>
  <si>
    <t>GSE251716; GSE306785</t>
  </si>
  <si>
    <t>Other: Muller glia</t>
  </si>
  <si>
    <t>Ocular hypertension</t>
  </si>
  <si>
    <t>Maurya S, Lin M, Karnam S, Singh T et al. Regulation of Diseases-Associated Microglia in the Optic Nerve by Lipoxin B(4) and Ocular Hypertension. bioRxiv 2024 Oct 28. PMID: 38562864
 GSM7986396 Control
 GSM7986397 LXB4
 Accession "GSE306785" is currently private and is scheduled to be released on Sep 02, 2026.</t>
  </si>
  <si>
    <t>Mapping developmental trajectories and subtype diversity of normal and glaucomatous human retinal ganglion cells by single-cell transcriptome analysis.</t>
  </si>
  <si>
    <t>Pooja Teotia</t>
  </si>
  <si>
    <t>Iqbal Ahmad</t>
  </si>
  <si>
    <t>10.1002/stem.3238</t>
  </si>
  <si>
    <t>Stem Cells</t>
  </si>
  <si>
    <t>System / Model (iPSC-derived RGCs / retinal organoids); Other: An induced pluripotent stem cell (hiPSC)-derived retinal ganglion cells (RGCs)</t>
  </si>
  <si>
    <t>Disease-in-a-dish stem cell model to examine the developmental susceptibility of RGCs to glaucomatous degeneration, which may inform on the for-
 mulation of therapeutic approaches.
  Application of this approach to the generation of retinal ganglion cells (RGCs) from SIX6risk allele glaucoma patient-specific and healthy control induced pluripotent stem cells revealed a flawed developmental trajectory in the former with immature and deficient subtype specification, likely due to dysregulated mTOR and
 Notch signaling pathways
 The study protocols were approved by the University of Nebraska Medical Center Institutional Review Board/Embryonic Stem Cell Research
 Oversight committees (and 397-14-EP/263-10)</t>
  </si>
  <si>
    <t>Atoh7-independent specification of retinal ganglion cell identity.</t>
  </si>
  <si>
    <t>Justin Brodie-Kommit</t>
  </si>
  <si>
    <t>Samer Hattar</t>
  </si>
  <si>
    <t>10.1126/sciadv.abe4983</t>
  </si>
  <si>
    <t>Not available yet</t>
  </si>
  <si>
    <t>14 Atoh7‚àí/+;Bax‚àí/‚àí and Atoh7‚àí/‚àí;Bax‚àí/</t>
  </si>
  <si>
    <t>WT E14 developing mouse retina was obtained from previously reported samples obtained from GEO 
 (GSE118614)</t>
  </si>
  <si>
    <t>scRNA-seq of dissociated retinal cells from E14 Atoh7‚àí/+;Bax‚àí/‚àí
 and Atoh7‚àí/‚àí;Bax‚àí/‚àí was performed using the 10x Genomics Chro-
 mium 3‚Ä≤ v2 platform (PN-120223) (Pleasanton, CA), followed by 
 sequencing using the NextSeq 500 platform with default 10√ó se-
 quencing parameters [R1, 26 base pairs (bp); R2, 98 bp; i7, 8 bp].</t>
  </si>
  <si>
    <t>Astrocytic dysfunction induced by ABCA1 deficiency causes optic neuropathy.</t>
  </si>
  <si>
    <t>doi: 10.1126/sciadv.abq1081</t>
  </si>
  <si>
    <t>Science advances</t>
  </si>
  <si>
    <t>GSE207928 (bulk); GSE207929</t>
  </si>
  <si>
    <t>WT and KO mice at 12 months of age were euthanized with a CO2 chamber. All animal experiments were replicated at least three times.
 GSM6323429 3m-Control1
 GSM6323430 3m-Control2
 GSM6323431 3m-Control3
 GSM6323432 12m-Control1
 GSM6323433 12m-Control2
 GSM6323434 12m-Control3
 GSM6323435 3m-GliaKO1
 GSM6323436 3m-GliaKO2
 GSM6323437 3m-GliaKO3
 GSM6323438 12m-GliaKO1
 GSM6323439 12m-GliaKO2
 GSM6323440 12m-GliaKO3
 GSM6323441 scRNA-WT1
 GSM6323442 scRNA-WT2
 GSM6323443 scRNA-WT3
 GSM6323444 scRNA-KO1
 GSM6323445 scRNA-KO2
 GSM6323446 scRNA-KO3
 GSM6323447 scRNA-KO4
 GSM6323448 scRNA-KO5
 As a control (Ctr) for Glia-KO mice, we used 
 littermate ABCA1flox/flox mice.
 Numbers of cells 
 that expressed two of four marker genes (Slc17a6, Stmn2, Thy1, and 
 Resp18) were used to estimate changes in numbers of RGCs between 
 WT and KO mice.</t>
  </si>
  <si>
    <t>Thomas A Reh</t>
  </si>
  <si>
    <t>GSM6449741 IPA 3 week in vivo
 GSM6449742 IPA 6 week in vivo
 GSM6449743 IPA in vitro
 GSM6449744 Ascl1 in vitro
 GSM6449745 Ctrl in vitro
 GSM6449746 E14 scATAC
 GSM6449747 IPA_scATAC
 GSM6449748 Ascl1_scATAC</t>
  </si>
  <si>
    <t>Single-cell transcriptome analysis of regenerating RGCs reveals potent glaucoma neural repair genes.</t>
  </si>
  <si>
    <t>Liang Li</t>
  </si>
  <si>
    <t>Yang Hu</t>
  </si>
  <si>
    <t>10.1016/j.neuron.2022.06.022</t>
  </si>
  <si>
    <t>Mouse: C57BL/6J ONC was performed 2 weeks following AAV injection when mice were about 7-8 weeks of age. 
 All custom scripts have been made available at https://github.com/HuLab-Code/. Any additional information is available from the lead contact upon request.</t>
  </si>
  <si>
    <t>Intercellular communication atlas reveals Oprm1 as a neuroprotective factor for retinal ganglion cells.</t>
  </si>
  <si>
    <t>doi.org/10.1038/s41467-024-46428-z</t>
  </si>
  <si>
    <t>GSE241268, GSE248537, and GSE248868.</t>
  </si>
  <si>
    <t>Optic nerve crush (ONC)</t>
  </si>
  <si>
    <t>GSM7720305 C57WTShamRep1
 GSM7720306 C57WTShamRep2
 GSM7720307 C57WT12hPostONCRep1
 GSM7720308 C57WT24hPostONCRep1
 GSM7720309 C57WT24hPostONCRep2
 GSM7720310 C57WT48hPostONCRep1
 GSM7720311 C57WT48hPostONCRep2
 GSM7921517 P42adultRGC RNA replicate1
 GSM7921518 P42adultRGC rNA replicate2
 GSM7921519 P42adultRGC ATAC replicate1
 GSM7921520 P42adultRGC ATAC replicate2
 From 3 GEO code = 4 + 7 + 2 = 13
 Atlas of cell‚Äìcell communication that systematically documents the identities of individual ligand‚Äìreceptor interactions and their dynamic regulation in response to ONC
 Whole retina collected under sham
 conditions and at three-time points after the optic nerve crush (ONC)
 1055 RGC cells from our collection and that of 86,426 RGCs obtained by Tran et al.4 exhibited a high degree of correlation</t>
  </si>
  <si>
    <t>Circular RNA-based therapy provides sustained and robust neuroprotection for retinal ganglion cells.</t>
  </si>
  <si>
    <t>doi: 10.1016/j.omtn.2024.102258</t>
  </si>
  <si>
    <t>GSM7802906 CTR1,scRNAseq
 GSM7802907 CTR2,scRNAseq
 GSM7802908 ONC1,scRNAseq
 GSM7802909 ONC2,scRNAseq
 GSM7802910 ONC_NGF1,scRNAseq
 GSM7802911 ONC_NGF2,scRNAseq</t>
  </si>
  <si>
    <t>Rojashree (done)</t>
  </si>
  <si>
    <t>Regulation of disease-associated microglia in the optic nerve by lipoxin B4 and ocular hypertension.</t>
  </si>
  <si>
    <t>Shubham Maury</t>
  </si>
  <si>
    <t>Karsten Gronert</t>
  </si>
  <si>
    <t>doi.org/10.1186/s13024-024-00775-z</t>
  </si>
  <si>
    <t>Retina; Other: cell targets for LXB in healthy and 
 OHT-injured retinas.</t>
  </si>
  <si>
    <t>Anesthetized mice were maintained on a water-based heating pad at 37 ¬∞C. Before imaging, lubricant eye drops were instilled on the eyes (Systane Ultra, Alcon), and pupils were dilated using 0.5% tropicamide (Akorn).
 Microglia morphology was mapped using MorphOMICs (https://github.com/siegert-lab/MorphOMICs)</t>
  </si>
  <si>
    <t>Zebrafish optic nerve injury results in systemic retinal ganglion cell dedifferentiation.</t>
  </si>
  <si>
    <t>Jeffrey M. Gross</t>
  </si>
  <si>
    <t xml:space="preserve">doi.org/10.1371/journal.
 pgen.1011879 </t>
  </si>
  <si>
    <t>Plos Genetics</t>
  </si>
  <si>
    <t>GSE284728, GSE284729</t>
  </si>
  <si>
    <t>They quantified the percent mitochondrial gene expression and assessed batch effects versus 
 biological variation in our analyse</t>
  </si>
  <si>
    <t>There is bulk data too</t>
  </si>
  <si>
    <t>Less... Less... 
 GSM8691368 adult zebrafish retinal ganglion cells, 1 day post injury, fish set #1
 GSM8691369 adult zebrafish retinal ganglion cells, 1 day post injury, fish set #2
 GSM8691370 adult zebrafish retinal ganglion cells, 1 day post injury, fish set #3
 GSM8691371 adult zebrafish retinal ganglion cells, day 1 uninjured, fish set #1
 GSM8691372 adult zebrafish retinal ganglion cells, day 1 uninjured, fish set #2
 GSM8691373 adult zebrafish retinal ganglion cells, day 1 uninjured, fish set #3
 GSM8691374 adult zebrafish retinal ganglion cells, 5 days post injury, fish set #1
 GSM8691375 adult zebrafish retinal ganglion cells, 5 days post injury, fish set #2
 GSM8691376 adult zebrafish retinal ganglion cells, 5 days post injury, fish set #3
 GSM8691377 adult zebrafish retinal ganglion cells, day 5 uninjured, fish set #1
 GSM8691378 adult zebrafish retinal ganglion cells, day 5 uninjured, fish set #2
 GSM8691379 adult zebrafish retinal ganglion cells, day 5 uninjured, fish set #3
 GSM8691380 adult zebrafish retinal ganglion cells, 7 days post injury, fish set #1
 GSM8691381 adult zebrafish retinal ganglion cells, 7 days post injury, fish set #2
 GSM8691382 adult zebrafish retinal ganglion cells, 7 days post injury, fish set #3
 GSM8691383 adult zebrafish retinal ganglion cells, day 7 uninjured, fish set #1
 GSM8691384 adult zebrafish retinal ganglion cells, day 7 uninjured, fish set #2
 GSM8691385 adult zebrafish retinal ganglion cells, day 7 uninjured, fish set #3</t>
  </si>
  <si>
    <t>doi.org/10.4103/1673-5374.389363</t>
  </si>
  <si>
    <t>Other: Rat model</t>
  </si>
  <si>
    <t>Less interesting because its under high intraocular pressure</t>
  </si>
  <si>
    <t>Rat model
 Single cells from retinal tissues (including the choroid and 
 optic nerve) were collected on the 7th day after inducing 
 HOP, and captured using the 10√ó Chromium system (V3; 
 10√ó Genomics, San Francisco, CA, USA) according to the 
 manufacturer‚Äôs protocol. Single-cell libraries were loaded into 
 the Illumina Nova 6000 system (Illumina, San Diego, CA, USA) 
 for sequencing.</t>
  </si>
  <si>
    <t>GSE188280, GSE155154, GSE155288</t>
  </si>
  <si>
    <t>There are three different GEO ids, filled yes if atleast one of the datasets has it</t>
  </si>
  <si>
    <t>Integrating genetic regulation and single-cell expression with GWAS prioritizes causal genes and cell types for glaucoma | Nature Communications</t>
  </si>
  <si>
    <t>Ayellet V. Segr√®</t>
  </si>
  <si>
    <t>Nature Communications |</t>
  </si>
  <si>
    <t>2.6 million</t>
  </si>
  <si>
    <t>Anterior Segment (Trabecular meshwork (TM) Schlemm‚Äôs canal Cornea Sclera); Other: fovea (4 mm punch), macula (6 mm punch) periphery were collected from six donors (2 females, 4 males</t>
  </si>
  <si>
    <t>accession no. phs000424.v8
 Less... Less... 
 GSM5962400 Hu032616ODmaculaNeuNPos
 GSM5962401 Hu056316ODmaculaNeuNPos
 GSM5962402 Hu082219ODmacula
 GSM5962403 Hu088716OSmaculaNeuNPos
 GSM5962404 Hu1635Lens
 GSM5962405 Hu2018Lens
 GSM5962406 Hu2160SCSW
 GSM5962407 Hu216218cIrisS1
 GSM5962408 Hu216218cIrisS2
 GSM5962409 Hu216CB
 GSM5962410 Hu216Cornea
 GSM5962411 Hu216IrisS1
 GSM5962412 Hu216IrisS2
 GSM5962413 Hu216ODCornea
 GSM5962414 Hu216OSTMS1
 GSM5962415 Hu216OSTMS2
 GSM5962416 Hu218Cornea
 GSM5962417 Hu218Iris
 GSM5962418 Hu218OSCSW
 GSM5962419 Hu218OSmAll
 GSM5962420 Hu218OSTM
 GSM5962421 Hu220235cIrisS1
 GSM5962422 Hu220235cIrisS2
 GSM5962423 Hu220Cornea
 GSM5962424 Hu220Iris
 GSM5962425 Hu220OSCB
 GSM5962426 Hu220OSCSWS1
 GSM5962427 Hu220OSCSWS2
 GSM5962428 Hu220OSTM
 GSM5962429 Hu235CB
 GSM5962430 Hu235Cornea
 GSM5962431 Hu235IrisS1
 GSM5962432 Hu235IrisS2
 GSM5962433 Hu235OSCSW
 GSM5962434 Hu235OSTM
 GSM5962435 Pt14Cornea
 GSM5962436 Pt14Lens
 GSM5962437 Pt2CB</t>
  </si>
  <si>
    <t>repeated</t>
  </si>
  <si>
    <t>GSM4453751 H1CD73dpS1
 GSM4453752 H1CD90S1
 GSM4453753 H2Fovea1S1
 GSM4453754 H2Fovea2S1
 GSM4453755 H3CD73dpS1
 GSM4453756 H3CD73dpS2
 GSM4453757 H3CD90S1
 GSM4453758 H3CD90S2
 GSM4453759 H3FoveaS1
 GSM4453760 H3FoveaS2
 GSM4453761 H3FoveaS3
 GSM4453762 H4FoveaS1
 GSM4453763 H5FoveaS1
 GSM4453764 H5FoveaS2
 GSM4453765 H5FoveaS3
 GSM4453766 H5FoveaS4
 GSM4453767 H5FoveaS5
 GSM4453768 H9FoveaS1
 GSM4453769 H11FoveaS1</t>
  </si>
  <si>
    <t>Cell atlas of the human ocular anterior segment: Tissue-specific and shared cell types | PNAS</t>
  </si>
  <si>
    <t>doi.org/10.1073/pnas.220091411</t>
  </si>
  <si>
    <t>Other: human ocular anterior</t>
  </si>
  <si>
    <t>The logTPM matrix has undergone filtering and hence was not used to construct sce</t>
  </si>
  <si>
    <t>With 60 cell types annotated
 Histology. CSWs or whole globes were fixed, frozen, and sectioned in a cryostat.
 Sections were processed for IHC or ISH</t>
  </si>
  <si>
    <t>Tav√© van Zyla</t>
  </si>
  <si>
    <t>Not of interest
 Increased intraocular pressure (IOP) represents a major risk factor for glaucoma,
 Human tissue used
 for IHC and in situ hybridization was provided by the Lions Vision Gift,
 Portland, OR.
 GSM4367931 MouseTMS1
 GSM4367932 MouseTMS2
 GSM4367933 Pig6TM
 GSM4367934 Pig9TM
 GSM4463223 H1TMS1 (Pt1)
 GSM4463229 H2TMS1 (Pt2-RT)
 GSM4463234 H2TMS2 (Pt2-LT)
 GSM4463239 H3TMS1 (Pt3-RT)
 GSM4463244 H4TMS1 (Pt4-LT)
 GSM4463249 H9RimS1 (Pt9-LT)
 GSM4463253 H11TMS1 (Pt11-RT)
 GSM4463532 MacaTMRS1 (Fasciculars1TMonlyR)
 GSM4463534 MacaCWLS1 (Fascicularis2CSWL)
 GSM4463537 MacaTMRimLS1 (Fascicularis8CSWL)
 GSM4463643 Mulatta1TML
 GSM4463645 Mulatta2TMR</t>
  </si>
  <si>
    <t>Sean K. Wang</t>
  </si>
  <si>
    <t>GSM5866071 Human retina H3K27ac HiChIP rep2 [HiChIP_LGS1OD]
 GSM5866072 Human retina H3K27ac HiChIP rep1 [HiChIP_LVG1OD]
 GSM5866073 Human retina scATAC rep3 [scATAC_LGS1OD]
 GSM5866074 Human retina scATAC rep4 [scATAC_LGS1OS]
 GSM5866075 Human retina scATAC rep5 [scATAC_LGS2OD]
 GSM5866076 Human retina scATAC rep6 [scATAC_LGS2OS]
 GSM5866077 Human retina scATAC rep7 [scATAC_LGS3OD]
 GSM5866078 Human retina scATAC rep8 [scATAC_LGS3OS]
 GSM5866079 Human retina scATAC rep1 [scATAC_LVG1OD]
 GSM5866080 Human retina scATAC rep2 [scATAC_LVG1OS]
 GSM5866081 Human retina scRNA rep3 [scRNA_LGS1OD]
 GSM5866082 Human retina scRNA rep4 [scRNA_LGS1OS]
 GSM5866083 Human retina scRNA rep5 [scRNA_LGS2OD]
 GSM5866084 Human retina scRNA rep6 [scRNA_LGS2OS]
 GSM5866085 Human retina scRNA rep7 [scRNA_LGS3OD]
 GSM5866086 Human retina scRNA rep8 [scRNA_LGS3OS]
 GSM5866087 Human retina scRNA rep1 [scRNA_LVG1OD]
 GSM5866088 Human retina scRNA rep2 [scRNA_LVG1OS]</t>
  </si>
  <si>
    <t>A single‚Äêcell transcriptome atlas of the adult human retina | The EMBO Journal</t>
  </si>
  <si>
    <t>Lukowski</t>
  </si>
  <si>
    <t>Wong R</t>
  </si>
  <si>
    <t>DOI 10.15252/embj.2018100811</t>
  </si>
  <si>
    <t>EMBO Journal</t>
  </si>
  <si>
    <t>MTAB-7316</t>
  </si>
  <si>
    <t>Post-mortem eye globes were collected by the Lions Eye Donation Service</t>
  </si>
  <si>
    <t>Single-cell 30
 mRNA kit (V2; 10X Genomics). 
 Australian Genome Research Facility</t>
  </si>
  <si>
    <t>Beilei (Done)</t>
  </si>
  <si>
    <t>Europe; Americas</t>
  </si>
  <si>
    <t>53-89</t>
  </si>
  <si>
    <t>GSM7064213 17D013_NeuNT_lib
 GSM7064214 19_D003_atac_lib
 GSM7064215 19_D005_atac_lib
 GSM7064216 19_D006_atac_lib
 GSM7064217 19_D007_atac_lib
 GSM7064218 19_D008_atac_lib
 GSM7064219 19_D009_atac_lib
 GSM7064220 19_D010_atac_lib
 GSM7064221 19_D011_atac_lib
 GSM7064222 19_D019_atac_lib
 GSM7064223 19D013_fovea_atac_lib
 GSM7064224 19D013_fovea_lib
 GSM7064225 19D013_foveaR_lib
 GSM7064226 19D013_mac_lib
 GSM7064227 19D013_macular_atac_lib
 GSM7064228 19D013_NeuNT_lib
 GSM7064229 19D014_fovea_atac_lib
 GSM7064230 19D014_fovea_lib
 GSM7064231 19D014_foveaR_lib
 GSM7064232 19D014_mac_lib
 GSM7064233 19D014_NeuNT_2_lib
 GSM7064234 19D015_fovea_lib
 GSM7064235 19D015_mac_lib
 GSM7064236 19D015_NeuNM_lib
 GSM7064237 19D015_NeuNT_lib
 GSM7064238 19D015_per_lib
 GSM7064239 19D016_atac_lib
 GSM7064240 19D016_mac_lib
 GSM7064241 D001-12_NeuNM_lib
 GSM7064242 D001-12_NeuNT_lib
 GSM7064243 D005_13_atac_lib
 GSM7064244 D009_13_atac_lib
 GSM7064245 D013_13_atac_lib
 GSM7064246 D017_13_atac_lib
 GSM7064247 D018_13_atac_lib
 GSM7064248 D019_13_atac_lib
 GSM7064249 D021_13_atac_lib
 GSM7064250 D026_13_atac_lib
 GSM7064251 D027_13_atac_lib
 GSM7064252 D028_13_atac_lib</t>
  </si>
  <si>
    <t>Brian P. Hafler</t>
  </si>
  <si>
    <t>Nature communications</t>
  </si>
  <si>
    <t>GSE137537;GSE137846</t>
  </si>
  <si>
    <t>20091 / 3248</t>
  </si>
  <si>
    <t>Classification</t>
  </si>
  <si>
    <t>1514 / 920</t>
  </si>
  <si>
    <t>GEO Accession is not consistent</t>
  </si>
  <si>
    <t>GSM4081524 Macula retina 1 Microfluidics
 GSM4081525 Peripheral retina 1 Microfluidics
 GSM4081526 Macula retina 2 Microfluidics
 GSM4081527 Peripheral retina 2 Microfluidics
 GSM4081528 Macula retina 3 Microfluidics
 GSM4081529 Peripheral retina 3 Microfluidics
 GSM4089762 Macula retina 6hr Seq-Well
 GSM4089763 Peripheral retina 6hr Seq-Well
 GSM4089764 Macula retina 8hr Seq-Well
 GSM4089765 Peripheral retina 8hr Seq-Well
 GSM4089766 Macula retina 24hr Seq-Well read 1
 Postmortem eyes for the Chromium Single Cell 3‚Ä≤ assay (n = 3) and dual RNAscope/Immunofluorescence experiments (n = 2) were procured from Alabama Eye Bank with a maximum processing time of 3.5 h (Supplementary Table 1). Postmortem eyes for the Seq-Well single-cell RNA-seq platform (n = 3) and RNAscope (n = 2) were collected from autopsies at Massachusetts General Hospital (Boston, MA)</t>
  </si>
  <si>
    <t>31-96</t>
  </si>
  <si>
    <t>There are 25 batches in original paper, but only 23 batches in data</t>
  </si>
  <si>
    <t>https://explore.data.humancellatlas.org/projects/77780d56-03c0-481f-aade-2038490cef9f</t>
  </si>
  <si>
    <t>Luz D. Orozco</t>
  </si>
  <si>
    <t>Jason A. Hackney</t>
  </si>
  <si>
    <t>GSE135092; GSE135133</t>
  </si>
  <si>
    <t>129; 5</t>
  </si>
  <si>
    <t>Other: Eye</t>
  </si>
  <si>
    <t>Age-Related Macular Degeneration</t>
  </si>
  <si>
    <t>537 bulk RNA-seq data; 
 11 Single-nuclei RNAseq (NucSeq) of human eyes
 11 samples total with libraries prepared on 10X Chromium. Corresponding to 4 control eyes.
 Donor eyes with no retinal disease diagnosis from the Lions Eye Institute (Tampa, FL)</t>
  </si>
  <si>
    <t>Connor J. Greatbatch</t>
  </si>
  <si>
    <t>10.1093/hmg/ddae003</t>
  </si>
  <si>
    <t>S-BSST840
 S-BSST841</t>
  </si>
  <si>
    <t>Human organoids recapitulating the cell-type diversity and function of their target organ are valuable for basic and translational research. We developed light-sensitive human retinal organoids with multiple nuclear and synaptic layers, and functional synapses. We sequenced the RNA of 285,441 single cells from these organoids at seven developmental time points and from the periphery, fovea, pigment epithelium and choroid of light-responsive adult human retinas.</t>
  </si>
  <si>
    <t>Molecular characterization of foveal versus peripheral human retina by single-cell RNA sequencing</t>
  </si>
  <si>
    <t>A.P. Voigta</t>
  </si>
  <si>
    <t>T.E. Scheetza</t>
  </si>
  <si>
    <t>10.1016/j.exer.2019.05.001</t>
  </si>
  <si>
    <t>Currently this one only has logcounts, no raw counts matrix. May need to reprocess it if we need to merge with other data</t>
  </si>
  <si>
    <t>GSM3745992 Fovea donor 1
 GSM3745993 Fovea donor 2
 GSM3745994 Fovea donor 3
 GSM3745995 Peripheral donor 1
 GSM3745996 Peripheral donor 2
 GSM3745997 Peripheral donor 3</t>
  </si>
  <si>
    <t>Aboozar Monavarfeshania</t>
  </si>
  <si>
    <t>Jshua R. Sanesa</t>
  </si>
  <si>
    <t>Other: eye</t>
  </si>
  <si>
    <t>From ~151,000 single nuclei, we identified 37 transcriptomically distinct cell types, including multiple types of astrocytes, oligodendrocytes, fibroblasts, and vascular endothelial cells. Our analyses revealed a differential distribution of many cell types among distinct structures. 
 Data can 
 be visualized at https://singlecell.broadinstitute.org/single_cell/study/SCP2298 (77)
 GSM7553419 Donor Id: Hu0355; Eye: OS; Tissue: ON (Hu035516OSONallnuc)
 GSM7553420 Donor Id: Hu0220; Eye: OS; Tissue: ON (Hu220OSON)
 GSM7553423 Donor Id: Hu0221; Eye: OS; Tissue: ON (Hu221OSON)
 GSM7553424 Donor Id: Hu0222; Eye: OS; Tissue: ON (Hu222OSON)
 GSM7553425 Donor Id: Hu0235; Eye: OD; Tissue: ON (Hu235ODON)
 GSM7553428 Donor Id: Hu14; Eye: OD; Tissue: ON (HuPt14ODON)
 GSM7553429 Donor Id: Hu14; Eye: OS; Tissue: ON (Pt14OSON)
 GSM7553430 Donor Id: Hu6; Eye: OS; Tissue: ON (Pt6ON)
 GSM7553432 Donor Id: Hu0326; Eye: OD; Tissue: ONH (Hu032616ODONHallnuc)
 GSM7553434 Donor Id: Hu0355; Eye: OS; Tissue: ONH (Hu035516OSONHallnuc)
 GSM7553437 Donor Id: Hu0563; Eye: OD; Tissue: ONH (Hu056316ODONHallnuc)
 GSM7553438 Donor Id: Hu0564; Eye: OS; Tissue: ONH (Hu056416OSONHallnuc)
 GSM7553439 Donor Id: Hu0869; Eye: OD; Tissue: ONH (Hu086916ODONHallnuc)
 GSM7553441 Donor Id: Hu0887; Eye: OS; Tissue: ONH (Hu088716OSONHallnuc)
 GSM7553443 Donor Id: Hu1059; Eye: OD; Tissue: ONH (Hu105916ODONHallnuc)
 GSM7553444 Donor Id: Hu0218; Eye: OS; Tissue: ONH (Hu218OSONH)
 GSM7553445 Donor Id: Hu0220; Eye: OS; Tissue: ONH (Hu220OSONH)
 GSM7553447 Donor Id: Hu0235; Eye: OS; Tissue: ONH (Hu235OSONH)
 GSM7553449 Donor Id: Hu10; Eye: OD; Tissue: ONH (Pt10ONH)
 GSM7553450 Donor Id: Hu11; Eye: OD; Tissue: ONH (Pt11ONH)
 GSM7553452 Donor Id: Hu6; Eye: OS; Tissue: ONH (Pt6ONH)
 GSM7553453 Donor Id: Hu11; Eye: OD; Tissue: PPS (Pt11PeripapillarySclera)
 GSM7553455 Donor Id: Hu12; Eye: OS; Tissue: PPS (Pt12OSPPS)
 GSM7553456 Donor Id: Hu6; Eye: OS; Tissue: PPS (Pt6PeripapillarySclera)
 GSM7553458 Donor Id: Hu8; Eye: OS; Tissue: PPS (Pt8PPS)
 GSM7553460 Donor Id: Hu0218; Eye: OD; Tissue: RPE/Cho (Hu218ODMacularRPE)
 GSM7553461 Donor Id: Hu0218; Eye: OS; Tissue: RPE/Cho (Hu218OSpRPE)
 GSM7553463 Donor Id: Hu0220; Eye: OS; Tissue: RPE/Cho (Hu220OSmRPE)
 GSM7553464 Donor Id: Hu0220; Eye: OS; Tissue: RPE/Cho (Hu220OSpRPE)
 GSM7553466 Donor Id: Hu0222; Eye: OD; Tissue: RPE/Cho (Hu222ODCho)
 GSM7553467 Donor Id: Hu0235; Eye: OS; Tissue: RPE/Cho (Hu235OSmRPE)
 GSM7553469 Donor Id: Hu0235; Eye: OS; Tissue: RPE/Cho (Hu235OSpRPE)
 GSM7553471 Donor Id: Hu13; Eye: OD; Tissue: RPE/Cho (Pt13Cho)
 GSM7553472 Donor Id: Hu0222; Eye: OD; Tissue: Scl (Hu222ODScl)
 GSM7553474 Donor Id: Hu0235; Eye: OS; Tissue: Scl (Hu235OSSclera)
 GSM7553475 Donor Id: Hu13; Eye: OD; Tissue: Scl (Pt13Scl)
 Relations
 BioProject PRJNA991576</t>
  </si>
  <si>
    <t>Ibudilast Protects Retinal Bipolar Cells From Excitotoxic Retinal Damage and Activates the mTOR Pathway.</t>
  </si>
  <si>
    <t>Colleen M Cebulla</t>
  </si>
  <si>
    <t>doi: 10.1002/glia.24657</t>
  </si>
  <si>
    <t>Glia</t>
  </si>
  <si>
    <t>GSE242796</t>
  </si>
  <si>
    <t>Other: Multiple including chick</t>
  </si>
  <si>
    <t>This is a chicken data, might not be useful</t>
  </si>
  <si>
    <t>GSM7770646 chick retina, saline control
 GSM7770647 chick retina, NMDA treated
 GSM7770648 chick retina, clodronate vesicle treated
 GSM7770649 chick retina, NMDA + clodronate vesicle treated
 https://github.com/jiewwwang/Single-cell-retinal-regeneration</t>
  </si>
  <si>
    <t>Single-cell RNA sequencing analysis of the retina under acute high intraocular pressure.</t>
  </si>
  <si>
    <t>NEURAL REGENERATION RESEARCH</t>
  </si>
  <si>
    <t>acute high intraocular pressure</t>
  </si>
  <si>
    <t>5 week</t>
  </si>
  <si>
    <t>Reversal of injury-associated retinal ganglion cell gene expression by a phosphodiesterase anchoring disruptor peptide.</t>
  </si>
  <si>
    <t>Michael S. Kapiloff</t>
  </si>
  <si>
    <t>GSM8128599 mCherry replicate 1
 GSM8128600 4D3(E)-mCherry replicate 1
 GSM8128601 mCherry - 1 d post-ONC replicate 1
 GSM8128602 4D3(E)-mCherry - 1 d post-ONC replicate 1
 GSM8128603 mCherry replicate 2
 GSM8128604 4D3(E)-mCherry replicate 2
 GSM8128605 mCherry - 1 d post-ONC replicate 2
 GSM8128606 4D3(E)-mCherry - 1 d post-ONC replicate 2
 Sham
 Con: 323 + 264 = 587
 4D3(E): 318 + 1,052 = 1,370
 Sham total = 587 + 1,370 = 1,957
 ONC
 Con: 888 + 534 = 1,422
 4D3(E): 622 + 616 = 1,238
 ONC total = 1,422 + 1,238 = 2,660
 Overall total (all cells in the table):
 1,957 + 2,660 = 4,617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</si>
</sst>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numFmts>
  <fonts count="40">
    <font>
      <sz val="10.0"/>
      <color rgb="FF000000"/>
      <name val="Arial"/>
      <scheme val="minor"/>
    </font>
    <font>
      <color theme="1"/>
      <name val="Arial"/>
      <scheme val="minor"/>
    </font>
    <font>
      <b/>
      <color theme="1"/>
      <name val="Arial"/>
      <scheme val="minor"/>
    </font>
    <font>
      <b/>
      <sz val="12.0"/>
      <color theme="1"/>
      <name val="Arial"/>
    </font>
    <font>
      <b/>
      <sz val="12.0"/>
      <color rgb="FFFFFFFF"/>
      <name val="Roboto"/>
    </font>
    <font>
      <b/>
      <color rgb="FFFFFFFF"/>
      <name val="Roboto"/>
    </font>
    <font>
      <color theme="1"/>
      <name val="Arial"/>
    </font>
    <font>
      <color rgb="FFFFFFFF"/>
      <name val="Roboto"/>
    </font>
    <font>
      <b/>
      <sz val="10.0"/>
      <color rgb="FFFFFFFF"/>
      <name val="Roboto"/>
    </font>
    <font>
      <color rgb="FF000000"/>
      <name val="Arial"/>
      <scheme val="minor"/>
    </font>
    <font>
      <b/>
      <sz val="11.0"/>
      <color rgb="FFFFFFFF"/>
      <name val="Roboto"/>
    </font>
    <font>
      <u/>
      <color rgb="FF0000FF"/>
    </font>
    <font>
      <u/>
      <color rgb="FF0000FF"/>
    </font>
    <font>
      <color rgb="FFFF0000"/>
      <name val="Arial"/>
      <scheme val="minor"/>
    </font>
    <font>
      <u/>
      <sz val="10.0"/>
      <color rgb="FF212121"/>
      <name val="&quot;system-ui&quot;"/>
    </font>
    <font>
      <sz val="10.0"/>
      <color rgb="FF4A86E8"/>
      <name val="Arial"/>
      <scheme val="minor"/>
    </font>
    <font>
      <u/>
      <sz val="11.0"/>
      <color rgb="FF333333"/>
      <name val="Georgia"/>
    </font>
    <font>
      <sz val="10.0"/>
      <color rgb="FF6AA84F"/>
      <name val="Arial"/>
    </font>
    <font>
      <sz val="11.0"/>
      <color rgb="FFFF9900"/>
      <name val="Arial"/>
    </font>
    <font>
      <color rgb="FF4A86E8"/>
      <name val="Arial"/>
      <scheme val="minor"/>
    </font>
    <font>
      <color rgb="FF6AA84F"/>
      <name val="Arial"/>
      <scheme val="minor"/>
    </font>
    <font>
      <u/>
      <color rgb="FF0000FF"/>
    </font>
    <font>
      <color rgb="FFFFFFFF"/>
      <name val="Arial"/>
      <scheme val="minor"/>
    </font>
    <font>
      <u/>
      <color rgb="FF0000FF"/>
    </font>
    <font>
      <i/>
      <color theme="1"/>
      <name val="Arial"/>
      <scheme val="minor"/>
    </font>
    <font>
      <color rgb="FF4285F4"/>
      <name val="Arial"/>
      <scheme val="minor"/>
    </font>
    <font>
      <color theme="4"/>
      <name val="Arial"/>
      <scheme val="minor"/>
    </font>
    <font>
      <strike/>
      <color theme="1"/>
      <name val="Arial"/>
      <scheme val="minor"/>
    </font>
    <font>
      <b/>
      <color theme="4"/>
      <name val="Arial"/>
    </font>
    <font>
      <color rgb="FF9900FF"/>
      <name val="Arial"/>
      <scheme val="minor"/>
    </font>
    <font>
      <b/>
      <color theme="1"/>
      <name val="Arial"/>
    </font>
    <font>
      <u/>
      <color rgb="FF1155CC"/>
      <name val="Arial"/>
    </font>
    <font>
      <sz val="14.0"/>
      <color rgb="FF222222"/>
      <name val="Arial"/>
    </font>
    <font>
      <u/>
      <sz val="12.0"/>
      <color rgb="FF222222"/>
      <name val="-apple-system"/>
    </font>
    <font>
      <b/>
      <color rgb="FFFF0000"/>
      <name val="Arial"/>
      <scheme val="minor"/>
    </font>
    <font>
      <u/>
      <color rgb="FF0000FF"/>
    </font>
    <font>
      <u/>
      <color rgb="FF0000FF"/>
    </font>
    <font>
      <u/>
      <color rgb="FF0000FF"/>
    </font>
    <font>
      <sz val="9.0"/>
      <color rgb="FF000000"/>
      <name val="Verdana"/>
    </font>
    <font>
      <sz val="11.0"/>
      <color theme="1"/>
      <name val="Arial"/>
      <scheme val="minor"/>
    </font>
  </fonts>
  <fills count="32">
    <fill>
      <patternFill patternType="none"/>
    </fill>
    <fill>
      <patternFill patternType="lightGray"/>
    </fill>
    <fill>
      <patternFill patternType="solid">
        <fgColor rgb="FF535FC1"/>
        <bgColor rgb="FF535FC1"/>
      </patternFill>
    </fill>
    <fill>
      <patternFill patternType="solid">
        <fgColor rgb="FFA64D79"/>
        <bgColor rgb="FFA64D79"/>
      </patternFill>
    </fill>
    <fill>
      <patternFill patternType="solid">
        <fgColor rgb="FFFFD966"/>
        <bgColor rgb="FFFFD966"/>
      </patternFill>
    </fill>
    <fill>
      <patternFill patternType="solid">
        <fgColor rgb="FFC27BA0"/>
        <bgColor rgb="FFC27BA0"/>
      </patternFill>
    </fill>
    <fill>
      <patternFill patternType="solid">
        <fgColor rgb="FFC9DAF8"/>
        <bgColor rgb="FFC9DAF8"/>
      </patternFill>
    </fill>
    <fill>
      <patternFill patternType="solid">
        <fgColor rgb="FFFFF2CC"/>
        <bgColor rgb="FFFFF2CC"/>
      </patternFill>
    </fill>
    <fill>
      <patternFill patternType="solid">
        <fgColor rgb="FFED8E2A"/>
        <bgColor rgb="FFED8E2A"/>
      </patternFill>
    </fill>
    <fill>
      <patternFill patternType="solid">
        <fgColor rgb="FFB6D7A8"/>
        <bgColor rgb="FFB6D7A8"/>
      </patternFill>
    </fill>
    <fill>
      <patternFill patternType="solid">
        <fgColor rgb="FFED8D29"/>
        <bgColor rgb="FFED8D29"/>
      </patternFill>
    </fill>
    <fill>
      <patternFill patternType="solid">
        <fgColor rgb="FFD9D2E9"/>
        <bgColor rgb="FFD9D2E9"/>
      </patternFill>
    </fill>
    <fill>
      <patternFill patternType="solid">
        <fgColor rgb="FFEA9999"/>
        <bgColor rgb="FFEA9999"/>
      </patternFill>
    </fill>
    <fill>
      <patternFill patternType="solid">
        <fgColor rgb="FFFFFFFF"/>
        <bgColor rgb="FFFFFFFF"/>
      </patternFill>
    </fill>
    <fill>
      <patternFill patternType="solid">
        <fgColor rgb="FFD9EAD3"/>
        <bgColor rgb="FFD9EAD3"/>
      </patternFill>
    </fill>
    <fill>
      <patternFill patternType="solid">
        <fgColor rgb="FF7882D5"/>
        <bgColor rgb="FF7882D5"/>
      </patternFill>
    </fill>
    <fill>
      <patternFill patternType="solid">
        <fgColor rgb="FFD5A6BD"/>
        <bgColor rgb="FFD5A6BD"/>
      </patternFill>
    </fill>
    <fill>
      <patternFill patternType="solid">
        <fgColor rgb="FFCCCCCC"/>
        <bgColor rgb="FFCCCCCC"/>
      </patternFill>
    </fill>
    <fill>
      <patternFill patternType="solid">
        <fgColor rgb="FFF6B26B"/>
        <bgColor rgb="FFF6B26B"/>
      </patternFill>
    </fill>
    <fill>
      <patternFill patternType="solid">
        <fgColor rgb="FFA4C2F4"/>
        <bgColor rgb="FFA4C2F4"/>
      </patternFill>
    </fill>
    <fill>
      <patternFill patternType="solid">
        <fgColor rgb="FFF9CB9C"/>
        <bgColor rgb="FFF9CB9C"/>
      </patternFill>
    </fill>
    <fill>
      <patternFill patternType="solid">
        <fgColor rgb="FFD9D9D9"/>
        <bgColor rgb="FFD9D9D9"/>
      </patternFill>
    </fill>
    <fill>
      <patternFill patternType="solid">
        <fgColor rgb="FFF4CCCC"/>
        <bgColor rgb="FFF4CCCC"/>
      </patternFill>
    </fill>
    <fill>
      <patternFill patternType="solid">
        <fgColor rgb="FFE06666"/>
        <bgColor rgb="FFE06666"/>
      </patternFill>
    </fill>
    <fill>
      <patternFill patternType="solid">
        <fgColor rgb="FF4A86E8"/>
        <bgColor rgb="FF4A86E8"/>
      </patternFill>
    </fill>
    <fill>
      <patternFill patternType="solid">
        <fgColor rgb="FFEAD1DC"/>
        <bgColor rgb="FFEAD1DC"/>
      </patternFill>
    </fill>
    <fill>
      <patternFill patternType="solid">
        <fgColor rgb="FFA61C00"/>
        <bgColor rgb="FFA61C00"/>
      </patternFill>
    </fill>
    <fill>
      <patternFill patternType="solid">
        <fgColor rgb="FFDD7E6B"/>
        <bgColor rgb="FFDD7E6B"/>
      </patternFill>
    </fill>
    <fill>
      <patternFill patternType="solid">
        <fgColor rgb="FF356854"/>
        <bgColor rgb="FF356854"/>
      </patternFill>
    </fill>
    <fill>
      <patternFill patternType="solid">
        <fgColor rgb="FF78A795"/>
        <bgColor rgb="FF78A795"/>
      </patternFill>
    </fill>
    <fill>
      <patternFill patternType="solid">
        <fgColor rgb="FF1155CC"/>
        <bgColor rgb="FF1155CC"/>
      </patternFill>
    </fill>
    <fill>
      <patternFill patternType="solid">
        <fgColor rgb="FF6D9EEB"/>
        <bgColor rgb="FF6D9EEB"/>
      </patternFill>
    </fill>
  </fills>
  <borders count="7">
    <border/>
    <border>
      <left style="thick">
        <color rgb="FF4285F4"/>
      </left>
      <top style="thick">
        <color rgb="FF4285F4"/>
      </top>
    </border>
    <border>
      <top style="thick">
        <color rgb="FF4285F4"/>
      </top>
    </border>
    <border>
      <right style="thick">
        <color rgb="FF4285F4"/>
      </right>
      <top style="thick">
        <color rgb="FF4285F4"/>
      </top>
    </border>
    <border>
      <left style="thick">
        <color rgb="FF4285F4"/>
      </left>
      <bottom style="thick">
        <color rgb="FF4285F4"/>
      </bottom>
    </border>
    <border>
      <bottom style="thick">
        <color rgb="FF4285F4"/>
      </bottom>
    </border>
    <border>
      <right style="thick">
        <color rgb="FF4285F4"/>
      </right>
      <bottom style="thick">
        <color rgb="FF4285F4"/>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readingOrder="0"/>
    </xf>
    <xf borderId="0" fillId="2" fontId="4" numFmtId="0" xfId="0" applyAlignment="1" applyFill="1" applyFont="1">
      <alignment horizontal="center" readingOrder="0" shrinkToFit="0" vertical="top" wrapText="1"/>
    </xf>
    <xf borderId="0" fillId="0" fontId="1" numFmtId="0" xfId="0" applyAlignment="1" applyFont="1">
      <alignment horizontal="center" readingOrder="0"/>
    </xf>
    <xf borderId="0" fillId="3" fontId="4" numFmtId="0" xfId="0" applyAlignment="1" applyFill="1" applyFont="1">
      <alignment horizontal="center" readingOrder="0" shrinkToFit="0" wrapText="1"/>
    </xf>
    <xf borderId="0" fillId="0" fontId="1" numFmtId="0" xfId="0" applyAlignment="1" applyFont="1">
      <alignment readingOrder="0"/>
    </xf>
    <xf borderId="0" fillId="4" fontId="4" numFmtId="0" xfId="0" applyAlignment="1" applyFill="1" applyFont="1">
      <alignment horizontal="center" readingOrder="0" shrinkToFit="0" wrapText="1"/>
    </xf>
    <xf borderId="0" fillId="0" fontId="1" numFmtId="0" xfId="0" applyAlignment="1" applyFont="1">
      <alignment readingOrder="0" shrinkToFit="0" wrapText="1"/>
    </xf>
    <xf borderId="0" fillId="5" fontId="5" numFmtId="0" xfId="0" applyAlignment="1" applyFill="1" applyFont="1">
      <alignment horizontal="center" readingOrder="0" shrinkToFit="0" vertical="center" wrapText="1"/>
    </xf>
    <xf borderId="0" fillId="6" fontId="1" numFmtId="0" xfId="0" applyAlignment="1" applyFill="1" applyFont="1">
      <alignment readingOrder="0"/>
    </xf>
    <xf borderId="0" fillId="7" fontId="1" numFmtId="0" xfId="0" applyAlignment="1" applyFill="1" applyFont="1">
      <alignment readingOrder="0"/>
    </xf>
    <xf borderId="0" fillId="8" fontId="4" numFmtId="0" xfId="0" applyAlignment="1" applyFill="1" applyFont="1">
      <alignment horizontal="center" readingOrder="0" shrinkToFit="0" wrapText="1"/>
    </xf>
    <xf borderId="0" fillId="9" fontId="1" numFmtId="0" xfId="0" applyAlignment="1" applyFill="1" applyFont="1">
      <alignment readingOrder="0"/>
    </xf>
    <xf borderId="0" fillId="10" fontId="6" numFmtId="0" xfId="0" applyAlignment="1" applyFill="1" applyFont="1">
      <alignment readingOrder="0" shrinkToFit="0" wrapText="1"/>
    </xf>
    <xf borderId="1" fillId="0" fontId="1" numFmtId="0" xfId="0" applyAlignment="1" applyBorder="1" applyFont="1">
      <alignment readingOrder="0"/>
    </xf>
    <xf borderId="0" fillId="11" fontId="6" numFmtId="0" xfId="0" applyAlignment="1" applyFill="1" applyFont="1">
      <alignment readingOrder="0" shrinkToFit="0" wrapText="1"/>
    </xf>
    <xf borderId="2" fillId="0" fontId="1" numFmtId="0" xfId="0" applyAlignment="1" applyBorder="1" applyFont="1">
      <alignment readingOrder="0"/>
    </xf>
    <xf borderId="3" fillId="0" fontId="1" numFmtId="0" xfId="0" applyAlignment="1" applyBorder="1" applyFont="1">
      <alignment readingOrder="0"/>
    </xf>
    <xf borderId="0" fillId="12" fontId="1" numFmtId="0" xfId="0" applyAlignment="1" applyFill="1" applyFont="1">
      <alignment readingOrder="0"/>
    </xf>
    <xf borderId="0" fillId="13" fontId="5" numFmtId="0" xfId="0" applyAlignment="1" applyFill="1" applyFont="1">
      <alignment horizontal="center" readingOrder="0" shrinkToFit="0" vertical="center" wrapText="1"/>
    </xf>
    <xf borderId="4" fillId="0" fontId="1" numFmtId="0" xfId="0" applyAlignment="1" applyBorder="1" applyFont="1">
      <alignment readingOrder="0"/>
    </xf>
    <xf borderId="0" fillId="14" fontId="1" numFmtId="0" xfId="0" applyAlignment="1" applyFill="1" applyFont="1">
      <alignment readingOrder="0"/>
    </xf>
    <xf borderId="0" fillId="15" fontId="7" numFmtId="0" xfId="0" applyAlignment="1" applyFill="1" applyFont="1">
      <alignment horizontal="center" readingOrder="0" shrinkToFit="0" vertical="top" wrapText="1"/>
    </xf>
    <xf borderId="5" fillId="0" fontId="1" numFmtId="0" xfId="0" applyAlignment="1" applyBorder="1" applyFont="1">
      <alignment readingOrder="0"/>
    </xf>
    <xf borderId="0" fillId="15" fontId="7" numFmtId="164" xfId="0" applyAlignment="1" applyFill="1" applyFont="1" applyNumberFormat="1">
      <alignment horizontal="center" readingOrder="0" shrinkToFit="0" vertical="top" wrapText="1"/>
    </xf>
    <xf borderId="5" fillId="7" fontId="1" numFmtId="0" xfId="0" applyAlignment="1" applyBorder="1" applyFill="1" applyFont="1">
      <alignment readingOrder="0"/>
    </xf>
    <xf borderId="0" fillId="16" fontId="7" numFmtId="0" xfId="0" applyAlignment="1" applyFill="1" applyFont="1">
      <alignment horizontal="center" readingOrder="0" shrinkToFit="0" vertical="top" wrapText="1"/>
    </xf>
    <xf borderId="6" fillId="0" fontId="1" numFmtId="0" xfId="0" applyAlignment="1" applyBorder="1" applyFont="1">
      <alignment readingOrder="0"/>
    </xf>
    <xf borderId="0" fillId="4" fontId="7" numFmtId="0" xfId="0" applyAlignment="1" applyFill="1" applyFont="1">
      <alignment horizontal="center" readingOrder="0" shrinkToFit="0" vertical="top" wrapText="1"/>
    </xf>
    <xf borderId="0" fillId="17" fontId="1" numFmtId="0" xfId="0" applyFill="1" applyFont="1"/>
    <xf borderId="0" fillId="16" fontId="8" numFmtId="0" xfId="0" applyAlignment="1" applyFill="1" applyFont="1">
      <alignment horizontal="left" readingOrder="0" shrinkToFit="0" vertical="top" wrapText="1"/>
    </xf>
    <xf borderId="0" fillId="16" fontId="8" numFmtId="0" xfId="0" applyAlignment="1" applyFill="1" applyFont="1">
      <alignment readingOrder="0" shrinkToFit="0" vertical="top" wrapText="1"/>
    </xf>
    <xf borderId="2" fillId="17" fontId="1" numFmtId="0" xfId="0" applyBorder="1" applyFill="1" applyFont="1"/>
    <xf borderId="5" fillId="17" fontId="1" numFmtId="0" xfId="0" applyBorder="1" applyFill="1" applyFont="1"/>
    <xf borderId="0" fillId="18" fontId="7" numFmtId="0" xfId="0" applyAlignment="1" applyFill="1" applyFont="1">
      <alignment horizontal="center" readingOrder="0" shrinkToFit="0" vertical="top" wrapText="1"/>
    </xf>
    <xf borderId="0" fillId="6" fontId="6" numFmtId="0" xfId="0" applyAlignment="1" applyFill="1" applyFont="1">
      <alignment vertical="bottom"/>
    </xf>
    <xf borderId="0" fillId="0" fontId="6" numFmtId="0" xfId="0" applyAlignment="1" applyFont="1">
      <alignment shrinkToFit="0" vertical="top" wrapText="1"/>
    </xf>
    <xf borderId="0" fillId="0" fontId="6" numFmtId="0" xfId="0" applyAlignment="1" applyFont="1">
      <alignment readingOrder="0" shrinkToFit="0" vertical="top" wrapText="1"/>
    </xf>
    <xf borderId="0" fillId="13" fontId="8" numFmtId="0" xfId="0" applyAlignment="1" applyFill="1" applyFont="1">
      <alignment horizontal="left" readingOrder="0" shrinkToFit="0" vertical="top" wrapText="1"/>
    </xf>
    <xf borderId="0" fillId="13" fontId="8" numFmtId="0" xfId="0" applyAlignment="1" applyFill="1" applyFont="1">
      <alignment readingOrder="0" shrinkToFit="0" vertical="top" wrapText="1"/>
    </xf>
    <xf borderId="0" fillId="0" fontId="9" numFmtId="0" xfId="0" applyAlignment="1" applyFont="1">
      <alignment readingOrder="0"/>
    </xf>
    <xf borderId="0" fillId="13" fontId="10" numFmtId="0" xfId="0" applyAlignment="1" applyFill="1" applyFont="1">
      <alignment readingOrder="0" shrinkToFit="0" vertical="top" wrapText="1"/>
    </xf>
    <xf borderId="0" fillId="6" fontId="9" numFmtId="0" xfId="0" applyAlignment="1" applyFill="1" applyFont="1">
      <alignment readingOrder="0"/>
    </xf>
    <xf borderId="0" fillId="12" fontId="9" numFmtId="0" xfId="0" applyAlignment="1" applyFill="1" applyFont="1">
      <alignment readingOrder="0"/>
    </xf>
    <xf borderId="0" fillId="19" fontId="1" numFmtId="0" xfId="0" applyAlignment="1" applyFill="1" applyFont="1">
      <alignment readingOrder="0"/>
    </xf>
    <xf borderId="0" fillId="0" fontId="1" numFmtId="0" xfId="0" applyAlignment="1" applyFont="1">
      <alignment shrinkToFit="0" wrapText="1"/>
    </xf>
    <xf borderId="0" fillId="0" fontId="11" numFmtId="0" xfId="0" applyAlignment="1" applyFont="1">
      <alignment readingOrder="0" shrinkToFit="0" wrapText="1"/>
    </xf>
    <xf borderId="0" fillId="0" fontId="1" numFmtId="164" xfId="0" applyAlignment="1" applyFont="1" applyNumberFormat="1">
      <alignment readingOrder="0" shrinkToFit="0" wrapText="1"/>
    </xf>
    <xf borderId="0" fillId="4" fontId="1" numFmtId="0" xfId="0" applyAlignment="1" applyFill="1" applyFont="1">
      <alignment readingOrder="0" shrinkToFit="0" wrapText="1"/>
    </xf>
    <xf borderId="0" fillId="0" fontId="2" numFmtId="49" xfId="0" applyAlignment="1" applyFont="1" applyNumberFormat="1">
      <alignment readingOrder="0"/>
    </xf>
    <xf borderId="0" fillId="0" fontId="1" numFmtId="49" xfId="0" applyAlignment="1" applyFont="1" applyNumberFormat="1">
      <alignment readingOrder="0"/>
    </xf>
    <xf borderId="0" fillId="4" fontId="9" numFmtId="0" xfId="0" applyAlignment="1" applyFill="1" applyFont="1">
      <alignment readingOrder="0" shrinkToFit="0" wrapText="1"/>
    </xf>
    <xf borderId="0" fillId="0" fontId="1" numFmtId="49" xfId="0" applyFont="1" applyNumberFormat="1"/>
    <xf borderId="0" fillId="13" fontId="1" numFmtId="0" xfId="0" applyAlignment="1" applyFill="1" applyFont="1">
      <alignment shrinkToFit="0" wrapText="1"/>
    </xf>
    <xf borderId="0" fillId="20" fontId="1" numFmtId="0" xfId="0" applyAlignment="1" applyFill="1" applyFont="1">
      <alignment readingOrder="0"/>
    </xf>
    <xf borderId="0" fillId="0" fontId="12" numFmtId="0" xfId="0" applyAlignment="1" applyFont="1">
      <alignment readingOrder="0" shrinkToFit="0" wrapText="1"/>
    </xf>
    <xf borderId="0" fillId="0" fontId="1" numFmtId="0" xfId="0" applyAlignment="1" applyFont="1">
      <alignment readingOrder="0" shrinkToFit="0" wrapText="1"/>
    </xf>
    <xf borderId="0" fillId="4" fontId="1" numFmtId="0" xfId="0" applyAlignment="1" applyFill="1" applyFont="1">
      <alignment shrinkToFit="0" wrapText="1"/>
    </xf>
    <xf borderId="0" fillId="0" fontId="1" numFmtId="0" xfId="0" applyAlignment="1" applyFont="1">
      <alignment readingOrder="0"/>
    </xf>
    <xf borderId="0" fillId="16" fontId="1" numFmtId="0" xfId="0" applyAlignment="1" applyFill="1" applyFont="1">
      <alignment readingOrder="0"/>
    </xf>
    <xf borderId="0" fillId="21" fontId="1" numFmtId="0" xfId="0" applyAlignment="1" applyFill="1" applyFont="1">
      <alignment readingOrder="0"/>
    </xf>
    <xf borderId="0" fillId="0" fontId="1" numFmtId="164" xfId="0" applyAlignment="1" applyFont="1" applyNumberFormat="1">
      <alignment shrinkToFit="0" wrapText="1"/>
    </xf>
    <xf borderId="0" fillId="0" fontId="1" numFmtId="3" xfId="0" applyAlignment="1" applyFont="1" applyNumberFormat="1">
      <alignment readingOrder="0" shrinkToFit="0" wrapText="1"/>
    </xf>
    <xf borderId="0" fillId="0" fontId="13" numFmtId="0" xfId="0" applyAlignment="1" applyFont="1">
      <alignment readingOrder="0"/>
    </xf>
    <xf borderId="0" fillId="13" fontId="14" numFmtId="0" xfId="0" applyAlignment="1" applyFill="1" applyFont="1">
      <alignment readingOrder="0" shrinkToFit="0" wrapText="1"/>
    </xf>
    <xf borderId="0" fillId="0" fontId="15" numFmtId="0" xfId="0" applyAlignment="1" applyFont="1">
      <alignment readingOrder="0"/>
    </xf>
    <xf borderId="0" fillId="13" fontId="16" numFmtId="0" xfId="0" applyAlignment="1" applyFill="1" applyFont="1">
      <alignment readingOrder="0" shrinkToFit="0" wrapText="1"/>
    </xf>
    <xf borderId="0" fillId="0" fontId="17" numFmtId="0" xfId="0" applyAlignment="1" applyFont="1">
      <alignment readingOrder="0"/>
    </xf>
    <xf borderId="0" fillId="0" fontId="18" numFmtId="0" xfId="0" applyAlignment="1" applyFont="1">
      <alignment readingOrder="0"/>
    </xf>
    <xf borderId="0" fillId="0" fontId="1" numFmtId="0" xfId="0" applyFont="1"/>
    <xf borderId="0" fillId="0" fontId="19" numFmtId="0" xfId="0" applyAlignment="1" applyFont="1">
      <alignment readingOrder="0"/>
    </xf>
    <xf borderId="0" fillId="0" fontId="20" numFmtId="0" xfId="0" applyAlignment="1" applyFont="1">
      <alignment readingOrder="0"/>
    </xf>
    <xf borderId="0" fillId="22" fontId="1" numFmtId="0" xfId="0" applyAlignment="1" applyFill="1" applyFont="1">
      <alignment shrinkToFit="0" wrapText="1"/>
    </xf>
    <xf borderId="0" fillId="22" fontId="1" numFmtId="0" xfId="0" applyAlignment="1" applyFill="1" applyFont="1">
      <alignment readingOrder="0" shrinkToFit="0" wrapText="1"/>
    </xf>
    <xf borderId="0" fillId="22" fontId="21" numFmtId="0" xfId="0" applyAlignment="1" applyFill="1" applyFont="1">
      <alignment readingOrder="0" shrinkToFit="0" wrapText="1"/>
    </xf>
    <xf borderId="0" fillId="22" fontId="1" numFmtId="164" xfId="0" applyAlignment="1" applyFill="1" applyFont="1" applyNumberFormat="1">
      <alignment readingOrder="0" shrinkToFit="0" wrapText="1"/>
    </xf>
    <xf borderId="0" fillId="22" fontId="1" numFmtId="3" xfId="0" applyAlignment="1" applyFill="1" applyFont="1" applyNumberFormat="1">
      <alignment readingOrder="0" shrinkToFit="0" wrapText="1"/>
    </xf>
    <xf borderId="0" fillId="23" fontId="4" numFmtId="0" xfId="0" applyAlignment="1" applyFill="1" applyFont="1">
      <alignment horizontal="center" readingOrder="0" shrinkToFit="0" vertical="top" wrapText="1"/>
    </xf>
    <xf borderId="0" fillId="23" fontId="7" numFmtId="0" xfId="0" applyAlignment="1" applyFill="1" applyFont="1">
      <alignment horizontal="center" readingOrder="0" shrinkToFit="0" vertical="top" wrapText="1"/>
    </xf>
    <xf borderId="0" fillId="23" fontId="22" numFmtId="0" xfId="0" applyAlignment="1" applyFill="1" applyFont="1">
      <alignment horizontal="center" readingOrder="0"/>
    </xf>
    <xf borderId="0" fillId="23" fontId="22" numFmtId="0" xfId="0" applyAlignment="1" applyFill="1" applyFont="1">
      <alignment readingOrder="0"/>
    </xf>
    <xf borderId="0" fillId="3" fontId="4" numFmtId="0" xfId="0" applyAlignment="1" applyFill="1" applyFont="1">
      <alignment horizontal="center" readingOrder="0" shrinkToFit="0" vertical="top" wrapText="1"/>
    </xf>
    <xf borderId="0" fillId="0" fontId="23" numFmtId="0" xfId="0" applyAlignment="1" applyFont="1">
      <alignment shrinkToFit="0" wrapText="1"/>
    </xf>
    <xf borderId="0" fillId="0" fontId="2" numFmtId="0" xfId="0" applyAlignment="1" applyFont="1">
      <alignment horizontal="left" readingOrder="0" shrinkToFit="0" vertical="center" wrapText="0"/>
    </xf>
    <xf borderId="0" fillId="24" fontId="24" numFmtId="0" xfId="0" applyAlignment="1" applyFill="1" applyFont="1">
      <alignment readingOrder="0"/>
    </xf>
    <xf borderId="0" fillId="0" fontId="2" numFmtId="0" xfId="0" applyFont="1"/>
    <xf borderId="0" fillId="25" fontId="1" numFmtId="0" xfId="0" applyAlignment="1" applyFill="1" applyFont="1">
      <alignment readingOrder="0"/>
    </xf>
    <xf borderId="0" fillId="22" fontId="1" numFmtId="0" xfId="0" applyAlignment="1" applyFill="1" applyFont="1">
      <alignment readingOrder="0" shrinkToFit="0" wrapText="1"/>
    </xf>
    <xf borderId="0" fillId="0" fontId="1" numFmtId="0" xfId="0" applyAlignment="1" applyFont="1">
      <alignment readingOrder="0" shrinkToFit="0" vertical="center" wrapText="0"/>
    </xf>
    <xf borderId="0" fillId="0" fontId="25" numFmtId="0" xfId="0" applyAlignment="1" applyFont="1">
      <alignment readingOrder="0" shrinkToFit="0" vertical="center" wrapText="0"/>
    </xf>
    <xf borderId="0" fillId="0" fontId="26" numFmtId="0" xfId="0" applyAlignment="1" applyFont="1">
      <alignment shrinkToFit="0" vertical="center" wrapText="0"/>
    </xf>
    <xf borderId="0" fillId="8" fontId="4" numFmtId="0" xfId="0" applyAlignment="1" applyFill="1" applyFont="1">
      <alignment horizontal="center" readingOrder="0" shrinkToFit="0" vertical="top" wrapText="1"/>
    </xf>
    <xf borderId="0" fillId="0" fontId="26" numFmtId="0" xfId="0" applyAlignment="1" applyFont="1">
      <alignment readingOrder="0" shrinkToFit="0" vertical="center" wrapText="0"/>
    </xf>
    <xf borderId="0" fillId="0" fontId="1" numFmtId="0" xfId="0" applyAlignment="1" applyFont="1">
      <alignment shrinkToFit="0" vertical="top" wrapText="1"/>
    </xf>
    <xf borderId="0" fillId="26" fontId="22" numFmtId="0" xfId="0" applyAlignment="1" applyFill="1" applyFont="1">
      <alignment readingOrder="0" shrinkToFit="0" vertical="top" wrapText="1"/>
    </xf>
    <xf borderId="0" fillId="27" fontId="22" numFmtId="0" xfId="0" applyAlignment="1" applyFill="1" applyFont="1">
      <alignment readingOrder="0"/>
    </xf>
    <xf borderId="0" fillId="26" fontId="22" numFmtId="0" xfId="0" applyAlignment="1" applyFill="1" applyFont="1">
      <alignment shrinkToFit="0" vertical="top" wrapText="1"/>
    </xf>
    <xf borderId="0" fillId="10" fontId="22" numFmtId="0" xfId="0" applyAlignment="1" applyFill="1" applyFont="1">
      <alignment readingOrder="0"/>
    </xf>
    <xf borderId="0" fillId="2" fontId="4" numFmtId="0" xfId="0" applyAlignment="1" applyFill="1" applyFont="1">
      <alignment horizontal="center" readingOrder="0" vertical="top"/>
    </xf>
    <xf borderId="0" fillId="28" fontId="4" numFmtId="0" xfId="0" applyAlignment="1" applyFill="1" applyFont="1">
      <alignment horizontal="center" readingOrder="0" shrinkToFit="0" vertical="top" wrapText="1"/>
    </xf>
    <xf borderId="0" fillId="29" fontId="7" numFmtId="0" xfId="0" applyAlignment="1" applyFill="1" applyFont="1">
      <alignment horizontal="center" readingOrder="0" shrinkToFit="0" vertical="top" wrapText="1"/>
    </xf>
    <xf borderId="0" fillId="0" fontId="27" numFmtId="0" xfId="0" applyAlignment="1" applyFont="1">
      <alignment readingOrder="0" shrinkToFit="0" vertical="center" wrapText="0"/>
    </xf>
    <xf borderId="0" fillId="30" fontId="4" numFmtId="0" xfId="0" applyAlignment="1" applyFill="1" applyFont="1">
      <alignment horizontal="center" readingOrder="0" vertical="top"/>
    </xf>
    <xf borderId="0" fillId="31" fontId="7" numFmtId="0" xfId="0" applyAlignment="1" applyFill="1" applyFont="1">
      <alignment horizontal="center" readingOrder="0" shrinkToFit="0" vertical="top" wrapText="1"/>
    </xf>
    <xf borderId="0" fillId="0" fontId="28" numFmtId="0" xfId="0" applyAlignment="1" applyFont="1">
      <alignment horizontal="center" shrinkToFit="0" vertical="bottom" wrapText="0"/>
    </xf>
    <xf borderId="0" fillId="0" fontId="29" numFmtId="0" xfId="0" applyAlignment="1" applyFont="1">
      <alignment readingOrder="0"/>
    </xf>
    <xf borderId="0" fillId="4" fontId="1" numFmtId="0" xfId="0" applyAlignment="1" applyFill="1" applyFont="1">
      <alignment shrinkToFit="0" vertical="top" wrapText="1"/>
    </xf>
    <xf borderId="0" fillId="13" fontId="30" numFmtId="0" xfId="0" applyAlignment="1" applyFill="1" applyFont="1">
      <alignment horizontal="center" shrinkToFit="0" vertical="bottom" wrapText="0"/>
    </xf>
    <xf borderId="0" fillId="4" fontId="1" numFmtId="0" xfId="0" applyFill="1" applyFont="1"/>
    <xf borderId="0" fillId="13" fontId="30" numFmtId="165" xfId="0" applyAlignment="1" applyFill="1" applyFont="1" applyNumberFormat="1">
      <alignment horizontal="center" shrinkToFit="0" vertical="bottom" wrapText="0"/>
    </xf>
    <xf borderId="0" fillId="0" fontId="30" numFmtId="0" xfId="0" applyAlignment="1" applyFont="1">
      <alignment horizontal="right" shrinkToFit="0" vertical="bottom" wrapText="0"/>
    </xf>
    <xf borderId="0" fillId="2" fontId="4" numFmtId="0" xfId="0" applyAlignment="1" applyFill="1" applyFont="1">
      <alignment horizontal="center" readingOrder="0"/>
    </xf>
    <xf borderId="0" fillId="28" fontId="4" numFmtId="0" xfId="0" applyAlignment="1" applyFill="1" applyFont="1">
      <alignment horizontal="center" readingOrder="0" shrinkToFit="0" wrapText="1"/>
    </xf>
    <xf borderId="0" fillId="13" fontId="30" numFmtId="0" xfId="0" applyAlignment="1" applyFill="1" applyFont="1">
      <alignment horizontal="right" shrinkToFit="0" vertical="bottom" wrapText="0"/>
    </xf>
    <xf borderId="0" fillId="4" fontId="4" numFmtId="0" xfId="0" applyAlignment="1" applyFill="1" applyFont="1">
      <alignment horizontal="center" readingOrder="0" shrinkToFit="0" vertical="top" wrapText="1"/>
    </xf>
    <xf borderId="0" fillId="0" fontId="30" numFmtId="0" xfId="0" applyAlignment="1" applyFont="1">
      <alignment horizontal="center" shrinkToFit="0" vertical="bottom" wrapText="0"/>
    </xf>
    <xf borderId="0" fillId="4" fontId="1" numFmtId="0" xfId="0" applyAlignment="1" applyFill="1" applyFont="1">
      <alignment readingOrder="0" shrinkToFit="0" wrapText="1"/>
    </xf>
    <xf borderId="0" fillId="30" fontId="4" numFmtId="0" xfId="0" applyAlignment="1" applyFill="1" applyFont="1">
      <alignment horizontal="center" readingOrder="0"/>
    </xf>
    <xf borderId="0" fillId="0" fontId="6" numFmtId="0" xfId="0" applyAlignment="1" applyFont="1">
      <alignment shrinkToFit="0" vertical="bottom" wrapText="0"/>
    </xf>
    <xf borderId="0" fillId="0" fontId="6" numFmtId="0" xfId="0" applyAlignment="1" applyFont="1">
      <alignment vertical="bottom"/>
    </xf>
    <xf borderId="0" fillId="0" fontId="31" numFmtId="0" xfId="0" applyAlignment="1" applyFont="1">
      <alignment shrinkToFit="0" vertical="bottom" wrapText="0"/>
    </xf>
    <xf borderId="0" fillId="0" fontId="6" numFmtId="165" xfId="0" applyAlignment="1" applyFont="1" applyNumberFormat="1">
      <alignment horizontal="right" shrinkToFit="0" vertical="bottom" wrapText="0"/>
    </xf>
    <xf borderId="0" fillId="0" fontId="6" numFmtId="0" xfId="0" applyAlignment="1" applyFont="1">
      <alignment horizontal="right" shrinkToFit="0" vertical="bottom" wrapText="0"/>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0" xfId="0" applyAlignment="1" applyFont="1">
      <alignment horizontal="right" shrinkToFit="0" vertical="bottom" wrapText="1"/>
    </xf>
    <xf borderId="0" fillId="0" fontId="6" numFmtId="164" xfId="0" applyAlignment="1" applyFont="1" applyNumberFormat="1">
      <alignment horizontal="right" shrinkToFit="0" vertical="bottom" wrapText="1"/>
    </xf>
    <xf borderId="0" fillId="0" fontId="6" numFmtId="164" xfId="0" applyAlignment="1" applyFont="1" applyNumberFormat="1">
      <alignment readingOrder="0" vertical="bottom"/>
    </xf>
    <xf borderId="0" fillId="0" fontId="6" numFmtId="0" xfId="0" applyAlignment="1" applyFont="1">
      <alignment readingOrder="0" vertical="bottom"/>
    </xf>
    <xf borderId="0" fillId="0" fontId="6" numFmtId="0" xfId="0" applyAlignment="1" applyFont="1">
      <alignment readingOrder="0" vertical="bottom"/>
    </xf>
    <xf borderId="0" fillId="4" fontId="6" numFmtId="0" xfId="0" applyAlignment="1" applyFill="1" applyFont="1">
      <alignment horizontal="right" shrinkToFit="0" vertical="bottom" wrapText="1"/>
    </xf>
    <xf borderId="0" fillId="4" fontId="6" numFmtId="0" xfId="0" applyAlignment="1" applyFill="1" applyFont="1">
      <alignment readingOrder="0" vertical="bottom"/>
    </xf>
    <xf borderId="0" fillId="0" fontId="6" numFmtId="0" xfId="0" applyAlignment="1" applyFont="1">
      <alignment horizontal="right" readingOrder="0" shrinkToFit="0" vertical="bottom" wrapText="1"/>
    </xf>
    <xf borderId="0" fillId="0" fontId="6" numFmtId="164" xfId="0" applyAlignment="1" applyFont="1" applyNumberFormat="1">
      <alignment horizontal="right" readingOrder="0" shrinkToFit="0" vertical="bottom" wrapText="1"/>
    </xf>
    <xf borderId="0" fillId="0" fontId="6" numFmtId="0" xfId="0" applyAlignment="1" applyFont="1">
      <alignment readingOrder="0" shrinkToFit="0" vertical="bottom" wrapText="1"/>
    </xf>
    <xf borderId="0" fillId="4" fontId="6" numFmtId="0" xfId="0" applyAlignment="1" applyFill="1" applyFont="1">
      <alignment vertical="bottom"/>
    </xf>
    <xf borderId="0" fillId="13" fontId="32" numFmtId="0" xfId="0" applyAlignment="1" applyFill="1" applyFont="1">
      <alignment readingOrder="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13" fontId="33" numFmtId="0" xfId="0" applyAlignment="1" applyFill="1" applyFont="1">
      <alignment readingOrder="0"/>
    </xf>
    <xf borderId="0" fillId="0" fontId="1" numFmtId="0" xfId="0" applyAlignment="1" applyFont="1">
      <alignment shrinkToFit="0" vertical="center" wrapText="1"/>
    </xf>
    <xf borderId="0" fillId="0" fontId="3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25" fontId="1" numFmtId="0" xfId="0" applyAlignment="1" applyFill="1" applyFont="1">
      <alignment shrinkToFit="0" wrapText="1"/>
    </xf>
    <xf borderId="0" fillId="0" fontId="34" numFmtId="0" xfId="0" applyAlignment="1" applyFont="1">
      <alignment readingOrder="0" shrinkToFit="0" vertical="center" wrapText="0"/>
    </xf>
    <xf borderId="0" fillId="25" fontId="1" numFmtId="0" xfId="0" applyAlignment="1" applyFill="1" applyFont="1">
      <alignment readingOrder="0" shrinkToFit="0" wrapText="1"/>
    </xf>
    <xf borderId="0" fillId="25" fontId="1" numFmtId="164" xfId="0" applyAlignment="1" applyFill="1" applyFont="1" applyNumberFormat="1">
      <alignment readingOrder="0" shrinkToFit="0" wrapText="1"/>
    </xf>
    <xf borderId="0" fillId="25" fontId="1" numFmtId="0" xfId="0" applyAlignment="1" applyFill="1" applyFont="1">
      <alignment readingOrder="0" shrinkToFit="0" wrapText="1"/>
    </xf>
    <xf borderId="0" fillId="25" fontId="35" numFmtId="0" xfId="0" applyAlignment="1" applyFill="1" applyFont="1">
      <alignment readingOrder="0"/>
    </xf>
    <xf borderId="0" fillId="25" fontId="36" numFmtId="0" xfId="0" applyAlignment="1" applyFill="1" applyFont="1">
      <alignment readingOrder="0" shrinkToFit="0" wrapText="1"/>
    </xf>
    <xf borderId="0" fillId="25" fontId="37" numFmtId="0" xfId="0" applyAlignment="1" applyFill="1" applyFont="1">
      <alignment readingOrder="0" shrinkToFit="0" wrapText="1"/>
    </xf>
    <xf borderId="0" fillId="0" fontId="6" numFmtId="164" xfId="0" applyAlignment="1" applyFont="1" applyNumberFormat="1">
      <alignment vertical="bottom"/>
    </xf>
    <xf borderId="0" fillId="13" fontId="6" numFmtId="0" xfId="0" applyAlignment="1" applyFill="1" applyFont="1">
      <alignment vertical="bottom"/>
    </xf>
    <xf borderId="0" fillId="13" fontId="1" numFmtId="0" xfId="0" applyAlignment="1" applyFill="1" applyFont="1">
      <alignment readingOrder="0" shrinkToFit="0" wrapText="1"/>
    </xf>
    <xf borderId="0" fillId="13" fontId="38" numFmtId="0" xfId="0" applyAlignment="1" applyFill="1" applyFont="1">
      <alignment readingOrder="0"/>
    </xf>
    <xf borderId="0" fillId="0" fontId="39"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horizontal="left" readingOrder="0" shrinkToFit="0" wrapText="1"/>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8B5CF6"/>
          <bgColor rgb="FF8B5CF6"/>
        </patternFill>
      </fill>
      <border/>
    </dxf>
    <dxf>
      <font/>
      <fill>
        <patternFill patternType="solid">
          <fgColor rgb="FFF59E0B"/>
          <bgColor rgb="FFF59E0B"/>
        </patternFill>
      </fill>
      <border/>
    </dxf>
    <dxf>
      <font/>
      <fill>
        <patternFill patternType="solid">
          <fgColor rgb="FF10B981"/>
          <bgColor rgb="FF10B981"/>
        </patternFill>
      </fill>
      <border/>
    </dxf>
    <dxf>
      <font/>
      <fill>
        <patternFill patternType="solid">
          <fgColor rgb="FF3B82F6"/>
          <bgColor rgb="FF3B82F6"/>
        </patternFill>
      </fill>
      <border/>
    </dxf>
  </dxfs>
  <tableStyles count="2">
    <tableStyle count="4" pivot="0" name="note-style">
      <tableStyleElement dxfId="1" type="headerRow"/>
      <tableStyleElement dxfId="2" type="firstRowStripe"/>
      <tableStyleElement dxfId="3" type="secondRowStripe"/>
      <tableStyleElement dxfId="4" size="0" type="wholeTable"/>
    </tableStyle>
    <tableStyle count="4" pivot="0" name="Filtering-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an Yang" id="{9c5fbe02-adde-4cbc-abf0-01ffed93a0ff}" providerId="google-sheets"/>
  <x18tc:person displayName="Thu Nga Phan Võ" id="{0e2725cc-169b-4be8-8bed-e6323aeb3a30}" providerId="google-sheets"/>
  <x18tc:person displayName="Cabiria Liang" id="{a3abce28-de41-41c7-817a-36e4f330356f}" providerId="google-sheets"/>
</x18tc:personList>
</file>

<file path=xl/tables/table1.xml><?xml version="1.0" encoding="utf-8"?>
<table xmlns="http://schemas.openxmlformats.org/spreadsheetml/2006/main" ref="A1:F12" displayName="Table1" name="Table1" id="1">
  <tableColumns count="6">
    <tableColumn name="Basic information" id="1"/>
    <tableColumn name="Results" id="2"/>
    <tableColumn name="Methodologies (may be Overview ?)" id="3"/>
    <tableColumn name="Usefulness (Yes / No/ Unsure)" id="4"/>
    <tableColumn name="Data" id="5"/>
    <tableColumn name="Data (single cell)" id="6"/>
  </tableColumns>
  <tableStyleInfo name="note-style" showColumnStripes="0" showFirstColumn="1" showLastColumn="1" showRowStripes="1"/>
</table>
</file>

<file path=xl/tables/table2.xml><?xml version="1.0" encoding="utf-8"?>
<table xmlns="http://schemas.openxmlformats.org/spreadsheetml/2006/main" ref="A2:G6" displayName="Single_Cell_Transcriptomics" name="Single_Cell_Transcriptomics" id="2">
  <tableColumns count="7">
    <tableColumn name="Search Category" id="1"/>
    <tableColumn name="_" id="2"/>
    <tableColumn name="AND Drug" id="3"/>
    <tableColumn name="AND Human  " id="4"/>
    <tableColumn name="AND Human AND Drug " id="5"/>
    <tableColumn name="AND Drug Target " id="6"/>
    <tableColumn name="AND Human AND Drug Target" id="7"/>
  </tableColumns>
  <tableStyleInfo name="Filte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9T04:19:15.00" personId="{a3abce28-de41-41c7-817a-36e4f330356f}" id="{146356bc-934c-43bd-8bc4-c643dc5f6542}" done="0">
    <x18tc:text xml:space="preserve">note</x18tc:text>
  </x18tc:threadedComment>
  <x18tc:threadedComment ref="A12" dT="2025-09-23T05:54:31.00" personId="{0e2725cc-169b-4be8-8bed-e6323aeb3a30}" id="{97ace5f2-83e6-4b00-ae75-0dfd3e37d14b}" done="1">
    <x18tc:text xml:space="preserve">duplicated</x18tc:text>
  </x18tc:threadedComment>
  <x18tc:threadedComment ref="M46" dT="2025-10-28T07:18:35.00" personId="{0e2725cc-169b-4be8-8bed-e6323aeb3a30}" id="{ebd984cd-178a-4d20-bd28-fbe58f09aa9a}" done="0">
    <x18tc:text xml:space="preserve">S-BSST840: 404 not found</x18tc:text>
  </x18tc:threadedComment>
  <x18tc:threadedComment ref="M15" dT="2025-10-28T07:31:35.00" personId="{0e2725cc-169b-4be8-8bed-e6323aeb3a30}" id="{8fdb49a9-4b3f-4b02-a8ce-e8bd3d20aacd}" done="0">
    <x18tc:text xml:space="preserve">download by Anne</x18tc:text>
  </x18tc:threadedComment>
  <x18tc:threadedComment ref="M17" dT="2025-10-28T08:50:59.00" personId="{0e2725cc-169b-4be8-8bed-e6323aeb3a30}" id="{c6897cba-fec0-4c7b-9ded-2029beae2412}" done="0">
    <x18tc:text xml:space="preserve">downloaded by Anne</x18tc:text>
  </x18tc:threadedComment>
  <x18tc:threadedComment ref="M9" dT="2025-10-30T12:37:19.00" personId="{0e2725cc-169b-4be8-8bed-e6323aeb3a30}" id="{5e64d54f-aee9-4c22-8449-d0d2c6e53173}" done="0">
    <x18tc:text xml:space="preserve">cant upload to drive link as it's too large: GSE137311 (18GB)</x18tc:text>
  </x18tc:threadedComment>
  <x18tc:threadedComment ref="M13" dT="2025-10-30T12:52:38.00" personId="{0e2725cc-169b-4be8-8bed-e6323aeb3a30}" id="{6e93283c-1f17-4a9c-aca1-dc93215e829a}" done="0">
    <x18tc:text xml:space="preserve">GSE137847: include GSE137537, GSE137846</x18tc:text>
  </x18tc:threadedComment>
  <x18tc:threadedComment ref="M18" dT="2025-10-30T12:53:33.00" personId="{0e2725cc-169b-4be8-8bed-e6323aeb3a30}" id="{b49423e2-b8d3-459f-96a9-fe95a2e2ab79}" done="0">
    <x18tc:text xml:space="preserve">large: 10GB</x18tc:text>
  </x18tc:threadedComment>
  <x18tc:threadedComment ref="M19" dT="2025-10-30T12:54:30.00" personId="{0e2725cc-169b-4be8-8bed-e6323aeb3a30}" id="{cbef4843-7f78-4ae6-a191-71cbc2b0bec4}" done="0">
    <x18tc:text xml:space="preserve">too large: 153.48 GB</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9-05T13:22:05.00" personId="{9c5fbe02-adde-4cbc-abf0-01ffed93a0ff}" id="{569df47e-c94e-4f94-8050-20dc850e7f1e}" done="0">
    <x18tc:text xml:space="preserve">This column should be Yes, No, Unsure</x18tc:text>
  </x18tc:threadedComment>
  <x18tc:threadedComment ref="E10" dT="2025-09-05T13:34:55.00" personId="{9c5fbe02-adde-4cbc-abf0-01ffed93a0ff}" id="{f56f8d8b-1dd0-447f-8468-6074e8546013}" done="0">
    <x18tc:text xml:space="preserve">This will be hard to track.  Not sure what you plan</x18tc:text>
  </x18tc:threadedComment>
  <x18tc:threadedComment ref="C4" dT="2025-09-05T13:35:35.00" personId="{9c5fbe02-adde-4cbc-abf0-01ffed93a0ff}" id="{6b112d64-00b9-4e6f-874a-477654f15d48}" done="0">
    <x18tc:text xml:space="preserve">Could be hard to track</x18tc:text>
  </x18tc:threadedComment>
  <x18tc:threadedComment ref="C1" dT="2025-09-05T13:36:09.00" personId="{9c5fbe02-adde-4cbc-abf0-01ffed93a0ff}" id="{43f506de-146f-4955-b299-7e6ed60f6c47}" done="0">
    <x18tc:text xml:space="preserve">Will you write notes in this section ?</x18tc:text>
  </x18tc:threadedComment>
  <x18tc:threadedComment ref="D1" dT="2025-09-05T13:39:46.00" personId="{9c5fbe02-adde-4cbc-abf0-01ffed93a0ff}" id="{d23f6a91-8d79-4e84-b167-288cd52e1a3e}" done="0">
    <x18tc:text xml:space="preserve">We may need to find a few dataset and see whether this works</x18tc:text>
  </x18tc:threadedComment>
  <x18tc:threadedComment ref="C2" dT="2025-09-05T13:40:32.00" personId="{9c5fbe02-adde-4cbc-abf0-01ffed93a0ff}" id="{8d064c00-76a3-41ac-afa8-09b2a3a63f2a}" done="0">
    <x18tc:text xml:space="preserve">What is the entry to this (e.g. Biomarker, ??</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i.org/10.1016/j.isci.2023.108024" TargetMode="External"/><Relationship Id="rId42" Type="http://schemas.openxmlformats.org/officeDocument/2006/relationships/hyperlink" Target="https://doi.org/10.7554/eLife.96459" TargetMode="External"/><Relationship Id="rId41" Type="http://schemas.openxmlformats.org/officeDocument/2006/relationships/hyperlink" Target="https://doi.org/10.1038/s41598-024-74909-0" TargetMode="External"/><Relationship Id="rId44" Type="http://schemas.openxmlformats.org/officeDocument/2006/relationships/hyperlink" Target="https://zenodo.org/records/17114800" TargetMode="External"/><Relationship Id="rId43" Type="http://schemas.openxmlformats.org/officeDocument/2006/relationships/hyperlink" Target="http://doi.org/10.1038/s41392-025-02438-x" TargetMode="External"/><Relationship Id="rId46" Type="http://schemas.openxmlformats.org/officeDocument/2006/relationships/hyperlink" Target="http://doi.org/10.1038/s41467-024-46428-z" TargetMode="External"/><Relationship Id="rId45" Type="http://schemas.openxmlformats.org/officeDocument/2006/relationships/hyperlink" Target="https://doi.org/10.1101/2025.08.15.67043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1073/pnas.2306153120" TargetMode="External"/><Relationship Id="rId9" Type="http://schemas.openxmlformats.org/officeDocument/2006/relationships/hyperlink" Target="https://doi.org/10.1186/s13059-023-03111-8" TargetMode="External"/><Relationship Id="rId48" Type="http://schemas.openxmlformats.org/officeDocument/2006/relationships/hyperlink" Target="http://doi.org/10.4103/1673-5374.389363" TargetMode="External"/><Relationship Id="rId47" Type="http://schemas.openxmlformats.org/officeDocument/2006/relationships/hyperlink" Target="http://doi.org/10.1186/s13024-024-00775-z" TargetMode="External"/><Relationship Id="rId49" Type="http://schemas.openxmlformats.org/officeDocument/2006/relationships/hyperlink" Target="http://doi.org/10.1038/s41467-023-44380-y" TargetMode="External"/><Relationship Id="rId5" Type="http://schemas.openxmlformats.org/officeDocument/2006/relationships/hyperlink" Target="https://doi.org/10.1167/iovs.65.13.44" TargetMode="External"/><Relationship Id="rId6" Type="http://schemas.openxmlformats.org/officeDocument/2006/relationships/hyperlink" Target="https://doi.org/10.1016/j.exer.2019.05.001" TargetMode="External"/><Relationship Id="rId7" Type="http://schemas.openxmlformats.org/officeDocument/2006/relationships/hyperlink" Target="https://doi.org/10.1016/j.cell.2020.08.013" TargetMode="External"/><Relationship Id="rId8" Type="http://schemas.openxmlformats.org/officeDocument/2006/relationships/hyperlink" Target="https://doi.org/10.1093/hmg/ddae003" TargetMode="External"/><Relationship Id="rId31" Type="http://schemas.openxmlformats.org/officeDocument/2006/relationships/hyperlink" Target="https://doi.org/10.1038/s41433-024-03388-4" TargetMode="External"/><Relationship Id="rId30" Type="http://schemas.openxmlformats.org/officeDocument/2006/relationships/hyperlink" Target="https://doi.org/10.1016/j.ajo.2025.09.042" TargetMode="External"/><Relationship Id="rId33" Type="http://schemas.openxmlformats.org/officeDocument/2006/relationships/hyperlink" Target="https://doi.org/10.1016/j.xops.2024.100540" TargetMode="External"/><Relationship Id="rId32" Type="http://schemas.openxmlformats.org/officeDocument/2006/relationships/hyperlink" Target="https://doi.org/10.1038/s41467-017-00837-5" TargetMode="External"/><Relationship Id="rId35" Type="http://schemas.openxmlformats.org/officeDocument/2006/relationships/hyperlink" Target="https://doi.org/10.1101/2024.03.18.585556" TargetMode="External"/><Relationship Id="rId34" Type="http://schemas.openxmlformats.org/officeDocument/2006/relationships/hyperlink" Target="https://doi.org/10.1093/hmg/ddae003" TargetMode="External"/><Relationship Id="rId37" Type="http://schemas.openxmlformats.org/officeDocument/2006/relationships/hyperlink" Target="https://doi.org/10.1016/j.exer.2024.110017" TargetMode="External"/><Relationship Id="rId36" Type="http://schemas.openxmlformats.org/officeDocument/2006/relationships/hyperlink" Target="https://doi.org/10.1097/j.pain.0000000000001217" TargetMode="External"/><Relationship Id="rId39" Type="http://schemas.openxmlformats.org/officeDocument/2006/relationships/hyperlink" Target="http://doi.org/10.1007/s00018-022-04559-w" TargetMode="External"/><Relationship Id="rId38" Type="http://schemas.openxmlformats.org/officeDocument/2006/relationships/hyperlink" Target="http://doi.org/10.1038/s41467-021-26346-0" TargetMode="External"/><Relationship Id="rId20" Type="http://schemas.openxmlformats.org/officeDocument/2006/relationships/hyperlink" Target="https://doi.org/10.1073/pnas.2200914119" TargetMode="External"/><Relationship Id="rId22" Type="http://schemas.openxmlformats.org/officeDocument/2006/relationships/hyperlink" Target="https://doi.org/10.1093/database/bay117" TargetMode="External"/><Relationship Id="rId21" Type="http://schemas.openxmlformats.org/officeDocument/2006/relationships/hyperlink" Target="https://doi.org/10.1038/s41598-020-66092-9" TargetMode="External"/><Relationship Id="rId24" Type="http://schemas.openxmlformats.org/officeDocument/2006/relationships/hyperlink" Target="https://doi.org/10.1101/2024.03.09.583791" TargetMode="External"/><Relationship Id="rId23" Type="http://schemas.openxmlformats.org/officeDocument/2006/relationships/hyperlink" Target="http://cadd.pharmacy.nankai.edu.cn/gcdb/home" TargetMode="External"/><Relationship Id="rId26" Type="http://schemas.openxmlformats.org/officeDocument/2006/relationships/hyperlink" Target="https://doi.org/10.1038/srep29759" TargetMode="External"/><Relationship Id="rId25" Type="http://schemas.openxmlformats.org/officeDocument/2006/relationships/hyperlink" Target="http://doi.org/10.1038/s41467-023-44380-y" TargetMode="External"/><Relationship Id="rId28" Type="http://schemas.openxmlformats.org/officeDocument/2006/relationships/hyperlink" Target="https://doi.org/10.1016/j.exer.2020.108268" TargetMode="External"/><Relationship Id="rId27" Type="http://schemas.openxmlformats.org/officeDocument/2006/relationships/hyperlink" Target="https://doi.org/10.3389/fmed.2021.733080" TargetMode="External"/><Relationship Id="rId29" Type="http://schemas.openxmlformats.org/officeDocument/2006/relationships/hyperlink" Target="https://doi.org/10.1038/s41598-020-66350-w" TargetMode="External"/><Relationship Id="rId51" Type="http://schemas.openxmlformats.org/officeDocument/2006/relationships/hyperlink" Target="http://doi.org/10.1038/s41467-019-12780-8" TargetMode="External"/><Relationship Id="rId50" Type="http://schemas.openxmlformats.org/officeDocument/2006/relationships/hyperlink" Target="http://doi.org/10.1073/pnas.220091411" TargetMode="External"/><Relationship Id="rId53" Type="http://schemas.openxmlformats.org/officeDocument/2006/relationships/drawing" Target="../drawings/drawing1.xml"/><Relationship Id="rId52" Type="http://schemas.openxmlformats.org/officeDocument/2006/relationships/hyperlink" Target="https://explore.data.humancellatlas.org/projects/77780d56-03c0-481f-aade-2038490cef9f" TargetMode="External"/><Relationship Id="rId11" Type="http://schemas.openxmlformats.org/officeDocument/2006/relationships/hyperlink" Target="http://www.jveralab.net/glaucoma-trel/" TargetMode="External"/><Relationship Id="rId10" Type="http://schemas.openxmlformats.org/officeDocument/2006/relationships/hyperlink" Target="https://doi.org/10.1186/s13104-022-06210-0" TargetMode="External"/><Relationship Id="rId54" Type="http://schemas.openxmlformats.org/officeDocument/2006/relationships/vmlDrawing" Target="../drawings/vmlDrawing1.vml"/><Relationship Id="rId13" Type="http://schemas.openxmlformats.org/officeDocument/2006/relationships/hyperlink" Target="https://doi.org/10.1016/j.xgen.2022.100142" TargetMode="External"/><Relationship Id="rId12" Type="http://schemas.openxmlformats.org/officeDocument/2006/relationships/hyperlink" Target="https://doi.org/10.1016/j.celrep.2019.12.082" TargetMode="External"/><Relationship Id="rId15" Type="http://schemas.openxmlformats.org/officeDocument/2006/relationships/hyperlink" Target="https://pmc.ncbi.nlm.nih.gov/articles/PMC11944811/" TargetMode="External"/><Relationship Id="rId14" Type="http://schemas.openxmlformats.org/officeDocument/2006/relationships/hyperlink" Target="https://doi.org/10.1038/s41467-019-12780-8" TargetMode="External"/><Relationship Id="rId17" Type="http://schemas.openxmlformats.org/officeDocument/2006/relationships/hyperlink" Target="https://doi.org/10.1016/j.xgen.2022.100164" TargetMode="External"/><Relationship Id="rId16" Type="http://schemas.openxmlformats.org/officeDocument/2006/relationships/hyperlink" Target="https://doi.org/10.15252/embj.2018100811" TargetMode="External"/><Relationship Id="rId19" Type="http://schemas.openxmlformats.org/officeDocument/2006/relationships/hyperlink" Target="https://doi.org/10.1073/pnas.2001250117" TargetMode="External"/><Relationship Id="rId18" Type="http://schemas.openxmlformats.org/officeDocument/2006/relationships/hyperlink" Target="https://doi.org/10.4103/1673-5374.38936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i.org/10.1038/s41593-019-0539-4" TargetMode="External"/><Relationship Id="rId9" Type="http://schemas.openxmlformats.org/officeDocument/2006/relationships/table" Target="../tables/table1.xml"/><Relationship Id="rId5" Type="http://schemas.openxmlformats.org/officeDocument/2006/relationships/hyperlink" Target="https://doi.org/10.1038/s41586-019-1195-2" TargetMode="External"/><Relationship Id="rId6" Type="http://schemas.openxmlformats.org/officeDocument/2006/relationships/drawing" Target="../drawings/drawing7.xml"/><Relationship Id="rId7"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2" max="2" width="8.5"/>
    <col customWidth="1" min="3" max="4" width="20.75"/>
    <col customWidth="1" min="5" max="5" width="34.88"/>
    <col customWidth="1" min="6" max="6" width="13.75"/>
    <col customWidth="1" min="7" max="7" width="15.5"/>
    <col customWidth="1" min="9" max="9" width="24.75"/>
    <col customWidth="1" min="10" max="10" width="24.25"/>
    <col customWidth="1" hidden="1" min="12" max="12" width="20.88"/>
    <col customWidth="1" min="13" max="13" width="27.75"/>
    <col customWidth="1" min="14" max="14" width="15.75"/>
    <col customWidth="1" hidden="1" min="15" max="15" width="26.63"/>
    <col customWidth="1" min="16" max="16" width="19.5"/>
    <col customWidth="1" min="17" max="17" width="16.38"/>
    <col customWidth="1" hidden="1" min="18" max="18" width="18.63"/>
    <col customWidth="1" hidden="1" min="19" max="19" width="25.0"/>
    <col customWidth="1" min="20" max="20" width="20.25"/>
    <col customWidth="1" min="21" max="21" width="24.0"/>
    <col customWidth="1" min="30" max="30" width="20.38"/>
    <col customWidth="1" min="32" max="32" width="63.63"/>
    <col customWidth="1" min="33" max="33" width="32.25"/>
    <col customWidth="1" min="38" max="38" width="15.38"/>
    <col customWidth="1" min="40" max="40" width="17.88"/>
    <col customWidth="1" min="45" max="45" width="16.75"/>
    <col customWidth="1" min="46" max="46" width="12.38"/>
    <col customWidth="1" min="49" max="49" width="18.38"/>
    <col customWidth="1" min="50" max="51" width="19.63"/>
    <col customWidth="1" min="52" max="53" width="14.25"/>
    <col customWidth="1" min="59" max="59" width="70.5"/>
    <col customWidth="1" min="74" max="74" width="18.38"/>
    <col customWidth="1" min="75" max="75" width="19.63"/>
  </cols>
  <sheetData>
    <row r="1">
      <c r="A1" s="1"/>
      <c r="B1" s="5"/>
      <c r="C1" s="5"/>
      <c r="D1" s="5"/>
      <c r="E1" s="5"/>
      <c r="F1" s="5" t="s">
        <v>63</v>
      </c>
      <c r="M1" s="7" t="s">
        <v>64</v>
      </c>
      <c r="AE1" s="7"/>
      <c r="AF1" s="9"/>
      <c r="AG1" s="7"/>
      <c r="AH1" s="11" t="s">
        <v>71</v>
      </c>
      <c r="BB1" s="14" t="s">
        <v>74</v>
      </c>
      <c r="BD1" s="14"/>
      <c r="BF1" s="16"/>
      <c r="BG1" s="18" t="s">
        <v>49</v>
      </c>
      <c r="BH1" s="18"/>
      <c r="BI1" s="22"/>
      <c r="BX1" s="22"/>
    </row>
    <row r="2" ht="80.25" customHeight="1">
      <c r="A2" s="25" t="s">
        <v>135</v>
      </c>
      <c r="B2" s="25" t="s">
        <v>140</v>
      </c>
      <c r="C2" s="25" t="s">
        <v>141</v>
      </c>
      <c r="D2" s="25" t="s">
        <v>142</v>
      </c>
      <c r="E2" s="25" t="s">
        <v>144</v>
      </c>
      <c r="F2" s="25" t="s">
        <v>146</v>
      </c>
      <c r="G2" s="25" t="s">
        <v>148</v>
      </c>
      <c r="H2" s="25" t="s">
        <v>150</v>
      </c>
      <c r="I2" s="25" t="s">
        <v>5</v>
      </c>
      <c r="J2" s="25" t="s">
        <v>154</v>
      </c>
      <c r="K2" s="27" t="s">
        <v>157</v>
      </c>
      <c r="L2" s="25" t="s">
        <v>161</v>
      </c>
      <c r="M2" s="29" t="s">
        <v>4</v>
      </c>
      <c r="N2" s="29" t="s">
        <v>171</v>
      </c>
      <c r="O2" s="29" t="s">
        <v>174</v>
      </c>
      <c r="P2" s="29" t="s">
        <v>175</v>
      </c>
      <c r="Q2" s="29" t="s">
        <v>176</v>
      </c>
      <c r="R2" s="29" t="s">
        <v>177</v>
      </c>
      <c r="S2" s="31" t="s">
        <v>178</v>
      </c>
      <c r="T2" s="29" t="s">
        <v>11</v>
      </c>
      <c r="U2" s="29" t="s">
        <v>182</v>
      </c>
      <c r="V2" s="29" t="s">
        <v>183</v>
      </c>
      <c r="W2" s="29" t="s">
        <v>184</v>
      </c>
      <c r="X2" s="29" t="s">
        <v>185</v>
      </c>
      <c r="Y2" s="29" t="s">
        <v>186</v>
      </c>
      <c r="Z2" s="29" t="s">
        <v>187</v>
      </c>
      <c r="AA2" s="29" t="s">
        <v>189</v>
      </c>
      <c r="AB2" s="29" t="s">
        <v>190</v>
      </c>
      <c r="AC2" s="29" t="s">
        <v>191</v>
      </c>
      <c r="AD2" s="29" t="s">
        <v>192</v>
      </c>
      <c r="AE2" s="29" t="s">
        <v>193</v>
      </c>
      <c r="AF2" s="31" t="s">
        <v>22</v>
      </c>
      <c r="AG2" s="29" t="s">
        <v>194</v>
      </c>
      <c r="AH2" s="33" t="s">
        <v>195</v>
      </c>
      <c r="AI2" s="34" t="s">
        <v>209</v>
      </c>
      <c r="AJ2" s="34" t="s">
        <v>219</v>
      </c>
      <c r="AK2" s="34" t="s">
        <v>220</v>
      </c>
      <c r="AL2" s="34" t="s">
        <v>222</v>
      </c>
      <c r="AM2" s="34" t="s">
        <v>224</v>
      </c>
      <c r="AN2" s="34" t="s">
        <v>225</v>
      </c>
      <c r="AO2" s="34" t="s">
        <v>226</v>
      </c>
      <c r="AP2" s="34" t="s">
        <v>228</v>
      </c>
      <c r="AQ2" s="34" t="s">
        <v>229</v>
      </c>
      <c r="AR2" s="34" t="s">
        <v>230</v>
      </c>
      <c r="AS2" s="34" t="s">
        <v>232</v>
      </c>
      <c r="AT2" s="34" t="s">
        <v>233</v>
      </c>
      <c r="AU2" s="34" t="s">
        <v>234</v>
      </c>
      <c r="AV2" s="34" t="s">
        <v>235</v>
      </c>
      <c r="AW2" s="34" t="s">
        <v>237</v>
      </c>
      <c r="AX2" s="34" t="s">
        <v>238</v>
      </c>
      <c r="AY2" s="34" t="s">
        <v>239</v>
      </c>
      <c r="AZ2" s="34" t="s">
        <v>242</v>
      </c>
      <c r="BA2" s="34" t="s">
        <v>245</v>
      </c>
      <c r="BB2" s="37" t="s">
        <v>250</v>
      </c>
      <c r="BC2" s="37" t="s">
        <v>261</v>
      </c>
      <c r="BD2" s="37" t="s">
        <v>262</v>
      </c>
      <c r="BE2" s="37" t="s">
        <v>263</v>
      </c>
      <c r="BF2" s="37" t="s">
        <v>265</v>
      </c>
      <c r="BG2" s="39"/>
      <c r="BH2" s="40" t="s">
        <v>277</v>
      </c>
      <c r="BI2" s="41"/>
      <c r="BJ2" s="42"/>
      <c r="BK2" s="42"/>
      <c r="BL2" s="42"/>
      <c r="BM2" s="42"/>
      <c r="BN2" s="42"/>
      <c r="BO2" s="42"/>
      <c r="BP2" s="42"/>
      <c r="BQ2" s="42"/>
      <c r="BR2" s="42"/>
      <c r="BS2" s="42"/>
      <c r="BT2" s="42"/>
      <c r="BU2" s="42"/>
      <c r="BV2" s="42"/>
      <c r="BW2" s="42"/>
      <c r="BX2" s="44"/>
    </row>
    <row r="3" hidden="1">
      <c r="A3" s="48" t="str">
        <f t="shared" ref="A3:A109" si="1">UPPER(LEFT(F3,2)) &amp; UPPER(LEFT(G3,2)) &amp; RIGHT(H3,2)
</f>
        <v>ABJO23</v>
      </c>
      <c r="B3" s="10" t="s">
        <v>317</v>
      </c>
      <c r="C3" s="10" t="s">
        <v>321</v>
      </c>
      <c r="D3" s="10" t="s">
        <v>322</v>
      </c>
      <c r="E3" s="10" t="s">
        <v>323</v>
      </c>
      <c r="F3" s="10" t="s">
        <v>325</v>
      </c>
      <c r="G3" s="10" t="s">
        <v>326</v>
      </c>
      <c r="H3" s="10">
        <v>2023.0</v>
      </c>
      <c r="I3" s="49" t="s">
        <v>328</v>
      </c>
      <c r="J3" s="10" t="s">
        <v>342</v>
      </c>
      <c r="K3" s="50">
        <v>45106.0</v>
      </c>
      <c r="L3" s="50" t="s">
        <v>345</v>
      </c>
      <c r="M3" s="10" t="s">
        <v>346</v>
      </c>
      <c r="N3" s="10" t="str">
        <f t="shared" ref="N3:N24" si="2">IF(OR(LEFT(M3, 3)="GSE", LEFT(M3,3)="GSM", LEFT(M3,3)="GPL"), "Public")
</f>
        <v>Public</v>
      </c>
      <c r="O3" s="10"/>
      <c r="P3" s="10" t="s">
        <v>368</v>
      </c>
      <c r="Q3" s="10" t="s">
        <v>369</v>
      </c>
      <c r="R3" s="10" t="s">
        <v>370</v>
      </c>
      <c r="S3" s="51">
        <v>36.0</v>
      </c>
      <c r="T3" s="10" t="s">
        <v>165</v>
      </c>
      <c r="U3" s="10" t="s">
        <v>377</v>
      </c>
      <c r="V3" s="10"/>
      <c r="W3" s="10"/>
      <c r="X3" s="10"/>
      <c r="Y3" s="10" t="s">
        <v>378</v>
      </c>
      <c r="Z3" s="10"/>
      <c r="AA3" s="10"/>
      <c r="AB3" s="10" t="s">
        <v>378</v>
      </c>
      <c r="AC3" s="10" t="s">
        <v>378</v>
      </c>
      <c r="AD3" s="10" t="s">
        <v>380</v>
      </c>
      <c r="AE3" s="10"/>
      <c r="AF3" s="54" t="s">
        <v>391</v>
      </c>
      <c r="AG3" s="10" t="s">
        <v>407</v>
      </c>
      <c r="AH3" s="48"/>
      <c r="AI3" s="48"/>
      <c r="AJ3" s="48"/>
      <c r="AK3" s="48"/>
      <c r="AL3" s="48"/>
      <c r="AM3" s="48"/>
      <c r="AN3" s="48"/>
      <c r="AO3" s="48"/>
      <c r="AP3" s="48"/>
      <c r="AQ3" s="48"/>
      <c r="AR3" s="48"/>
      <c r="AS3" s="48"/>
      <c r="AT3" s="48"/>
      <c r="AU3" s="48"/>
      <c r="AV3" s="48"/>
      <c r="AW3" s="48"/>
      <c r="AX3" s="48"/>
      <c r="AY3" s="48"/>
      <c r="AZ3" s="48"/>
      <c r="BA3" s="48"/>
      <c r="BB3" s="10" t="s">
        <v>413</v>
      </c>
      <c r="BC3" s="10" t="s">
        <v>75</v>
      </c>
      <c r="BD3" s="10" t="s">
        <v>75</v>
      </c>
      <c r="BE3" s="10" t="s">
        <v>428</v>
      </c>
      <c r="BF3" s="10"/>
      <c r="BG3" s="10" t="s">
        <v>431</v>
      </c>
      <c r="BH3" s="10" t="s">
        <v>317</v>
      </c>
      <c r="BI3" s="56"/>
      <c r="BJ3" s="56"/>
      <c r="BK3" s="56"/>
      <c r="BL3" s="56"/>
      <c r="BM3" s="56"/>
      <c r="BN3" s="56"/>
      <c r="BO3" s="56"/>
      <c r="BP3" s="56"/>
      <c r="BQ3" s="56"/>
      <c r="BR3" s="56"/>
      <c r="BS3" s="56"/>
      <c r="BT3" s="56"/>
      <c r="BU3" s="56"/>
      <c r="BV3" s="56"/>
      <c r="BW3" s="56"/>
      <c r="BX3" s="56"/>
    </row>
    <row r="4" hidden="1">
      <c r="A4" s="48" t="str">
        <f t="shared" si="1"/>
        <v>AKTO24</v>
      </c>
      <c r="B4" s="10" t="s">
        <v>454</v>
      </c>
      <c r="C4" s="10"/>
      <c r="D4" s="10"/>
      <c r="E4" s="10" t="s">
        <v>458</v>
      </c>
      <c r="F4" s="10" t="s">
        <v>460</v>
      </c>
      <c r="G4" s="10" t="s">
        <v>461</v>
      </c>
      <c r="H4" s="10">
        <v>2024.0</v>
      </c>
      <c r="I4" s="58" t="s">
        <v>464</v>
      </c>
      <c r="J4" s="10" t="s">
        <v>475</v>
      </c>
      <c r="K4" s="50">
        <v>45600.0</v>
      </c>
      <c r="L4" s="50"/>
      <c r="M4" s="48"/>
      <c r="N4" s="10" t="b">
        <f t="shared" si="2"/>
        <v>0</v>
      </c>
      <c r="O4" s="48"/>
      <c r="P4" s="48"/>
      <c r="Q4" s="48"/>
      <c r="R4" s="59" t="s">
        <v>493</v>
      </c>
      <c r="S4" s="60"/>
      <c r="T4" s="48"/>
      <c r="U4" s="48"/>
      <c r="V4" s="48"/>
      <c r="W4" s="48"/>
      <c r="X4" s="48"/>
      <c r="Y4" s="48"/>
      <c r="Z4" s="48"/>
      <c r="AA4" s="48"/>
      <c r="AB4" s="48"/>
      <c r="AC4" s="48"/>
      <c r="AD4" s="48"/>
      <c r="AE4" s="48"/>
      <c r="AF4" s="60"/>
      <c r="AG4" s="48"/>
      <c r="AH4" s="48"/>
      <c r="AI4" s="48"/>
      <c r="AJ4" s="48"/>
      <c r="AK4" s="48"/>
      <c r="AL4" s="48"/>
      <c r="AM4" s="48"/>
      <c r="AN4" s="48"/>
      <c r="AO4" s="48"/>
      <c r="AP4" s="48"/>
      <c r="AQ4" s="48"/>
      <c r="AR4" s="48"/>
      <c r="AS4" s="48"/>
      <c r="AT4" s="48"/>
      <c r="AU4" s="48"/>
      <c r="AV4" s="48"/>
      <c r="AW4" s="48"/>
      <c r="AX4" s="48"/>
      <c r="AY4" s="48"/>
      <c r="AZ4" s="48"/>
      <c r="BA4" s="48"/>
      <c r="BB4" s="48"/>
      <c r="BC4" s="10"/>
      <c r="BD4" s="10" t="s">
        <v>75</v>
      </c>
      <c r="BE4" s="10" t="s">
        <v>428</v>
      </c>
      <c r="BF4" s="48"/>
      <c r="BG4" s="48"/>
      <c r="BH4" s="48"/>
      <c r="BI4" s="48"/>
      <c r="BJ4" s="48"/>
      <c r="BK4" s="48"/>
      <c r="BL4" s="48"/>
      <c r="BM4" s="48"/>
      <c r="BN4" s="48"/>
      <c r="BO4" s="48"/>
      <c r="BP4" s="48"/>
      <c r="BQ4" s="48"/>
      <c r="BR4" s="48"/>
      <c r="BS4" s="48"/>
      <c r="BT4" s="48"/>
      <c r="BU4" s="48"/>
      <c r="BV4" s="48"/>
      <c r="BW4" s="48"/>
      <c r="BX4" s="48"/>
    </row>
    <row r="5" hidden="1">
      <c r="A5" s="48" t="str">
        <f t="shared" si="1"/>
        <v>ANAY24</v>
      </c>
      <c r="B5" s="10" t="s">
        <v>317</v>
      </c>
      <c r="C5" s="10" t="s">
        <v>321</v>
      </c>
      <c r="D5" s="10" t="s">
        <v>322</v>
      </c>
      <c r="E5" s="10" t="s">
        <v>540</v>
      </c>
      <c r="F5" s="10" t="s">
        <v>542</v>
      </c>
      <c r="G5" s="10" t="s">
        <v>544</v>
      </c>
      <c r="H5" s="10">
        <v>2024.0</v>
      </c>
      <c r="I5" s="10" t="s">
        <v>547</v>
      </c>
      <c r="J5" s="10" t="s">
        <v>170</v>
      </c>
      <c r="K5" s="50">
        <v>45300.0</v>
      </c>
      <c r="L5" s="50" t="s">
        <v>345</v>
      </c>
      <c r="M5" s="10" t="s">
        <v>552</v>
      </c>
      <c r="N5" s="10" t="str">
        <f t="shared" si="2"/>
        <v>Public</v>
      </c>
      <c r="O5" s="10"/>
      <c r="P5" s="10" t="s">
        <v>368</v>
      </c>
      <c r="Q5" s="10" t="s">
        <v>564</v>
      </c>
      <c r="R5" s="10" t="s">
        <v>370</v>
      </c>
      <c r="S5" s="10" t="s">
        <v>565</v>
      </c>
      <c r="T5" s="10" t="s">
        <v>165</v>
      </c>
      <c r="U5" s="10" t="s">
        <v>377</v>
      </c>
      <c r="V5" s="10"/>
      <c r="W5" s="10"/>
      <c r="X5" s="10"/>
      <c r="Y5" s="10" t="s">
        <v>378</v>
      </c>
      <c r="Z5" s="10"/>
      <c r="AA5" s="10"/>
      <c r="AB5" s="10" t="s">
        <v>378</v>
      </c>
      <c r="AC5" s="10" t="s">
        <v>378</v>
      </c>
      <c r="AD5" s="10" t="s">
        <v>572</v>
      </c>
      <c r="AE5" s="10"/>
      <c r="AF5" s="10" t="s">
        <v>574</v>
      </c>
      <c r="AG5" s="10" t="s">
        <v>407</v>
      </c>
      <c r="AH5" s="48"/>
      <c r="AI5" s="48"/>
      <c r="AJ5" s="48"/>
      <c r="AK5" s="48"/>
      <c r="AL5" s="48"/>
      <c r="AM5" s="48"/>
      <c r="AN5" s="48"/>
      <c r="AO5" s="48"/>
      <c r="AP5" s="48"/>
      <c r="AQ5" s="48"/>
      <c r="AR5" s="48"/>
      <c r="AS5" s="48"/>
      <c r="AT5" s="48"/>
      <c r="AU5" s="48"/>
      <c r="AV5" s="48"/>
      <c r="AW5" s="48"/>
      <c r="AX5" s="48"/>
      <c r="AY5" s="48"/>
      <c r="AZ5" s="48"/>
      <c r="BA5" s="48"/>
      <c r="BB5" s="10" t="s">
        <v>413</v>
      </c>
      <c r="BC5" s="10" t="s">
        <v>75</v>
      </c>
      <c r="BD5" s="10" t="s">
        <v>75</v>
      </c>
      <c r="BE5" s="10" t="s">
        <v>428</v>
      </c>
      <c r="BF5" s="48"/>
      <c r="BG5" s="48"/>
      <c r="BH5" s="10" t="s">
        <v>317</v>
      </c>
      <c r="BI5" s="56"/>
      <c r="BJ5" s="56"/>
      <c r="BK5" s="56"/>
      <c r="BL5" s="56"/>
      <c r="BM5" s="56"/>
      <c r="BN5" s="56"/>
      <c r="BO5" s="56"/>
      <c r="BP5" s="56"/>
      <c r="BQ5" s="56"/>
      <c r="BR5" s="56"/>
      <c r="BS5" s="56"/>
      <c r="BT5" s="56"/>
      <c r="BU5" s="56"/>
      <c r="BV5" s="56"/>
      <c r="BW5" s="56"/>
      <c r="BX5" s="56"/>
    </row>
    <row r="6" hidden="1">
      <c r="A6" s="48" t="str">
        <f t="shared" si="1"/>
        <v>APTE20</v>
      </c>
      <c r="B6" s="10" t="s">
        <v>454</v>
      </c>
      <c r="C6" s="10"/>
      <c r="D6" s="10"/>
      <c r="E6" s="10" t="s">
        <v>596</v>
      </c>
      <c r="F6" s="10" t="s">
        <v>597</v>
      </c>
      <c r="G6" s="10" t="s">
        <v>598</v>
      </c>
      <c r="H6" s="10">
        <v>2020.0</v>
      </c>
      <c r="I6" s="58" t="s">
        <v>602</v>
      </c>
      <c r="J6" s="10" t="s">
        <v>615</v>
      </c>
      <c r="K6" s="50">
        <v>44013.0</v>
      </c>
      <c r="L6" s="50"/>
      <c r="M6" s="10" t="s">
        <v>617</v>
      </c>
      <c r="N6" s="10" t="str">
        <f t="shared" si="2"/>
        <v>Public</v>
      </c>
      <c r="O6" s="10"/>
      <c r="P6" s="10" t="s">
        <v>368</v>
      </c>
      <c r="Q6" s="10" t="s">
        <v>622</v>
      </c>
      <c r="R6" s="10" t="s">
        <v>370</v>
      </c>
      <c r="S6" s="51">
        <v>6.0</v>
      </c>
      <c r="T6" s="10" t="s">
        <v>165</v>
      </c>
      <c r="U6" s="10" t="s">
        <v>625</v>
      </c>
      <c r="V6" s="10"/>
      <c r="W6" s="10"/>
      <c r="X6" s="10"/>
      <c r="Y6" s="10" t="s">
        <v>627</v>
      </c>
      <c r="Z6" s="10"/>
      <c r="AA6" s="10"/>
      <c r="AB6" s="10" t="s">
        <v>378</v>
      </c>
      <c r="AC6" s="10" t="s">
        <v>378</v>
      </c>
      <c r="AD6" s="10" t="s">
        <v>631</v>
      </c>
      <c r="AE6" s="10"/>
      <c r="AF6" s="51" t="s">
        <v>634</v>
      </c>
      <c r="AG6" s="10" t="s">
        <v>635</v>
      </c>
      <c r="AH6" s="48"/>
      <c r="AI6" s="48"/>
      <c r="AJ6" s="48"/>
      <c r="AK6" s="48"/>
      <c r="AL6" s="48"/>
      <c r="AM6" s="48"/>
      <c r="AN6" s="48"/>
      <c r="AO6" s="48"/>
      <c r="AP6" s="48"/>
      <c r="AQ6" s="48"/>
      <c r="AR6" s="48"/>
      <c r="AS6" s="48"/>
      <c r="AT6" s="48"/>
      <c r="AU6" s="48"/>
      <c r="AV6" s="48"/>
      <c r="AW6" s="48"/>
      <c r="AX6" s="48"/>
      <c r="AY6" s="48"/>
      <c r="AZ6" s="48"/>
      <c r="BA6" s="48"/>
      <c r="BB6" s="10" t="s">
        <v>413</v>
      </c>
      <c r="BC6" s="10" t="s">
        <v>75</v>
      </c>
      <c r="BD6" s="10" t="s">
        <v>75</v>
      </c>
      <c r="BE6" s="10" t="s">
        <v>428</v>
      </c>
      <c r="BF6" s="48"/>
      <c r="BG6" s="48"/>
      <c r="BH6" s="48"/>
      <c r="BI6" s="56"/>
      <c r="BJ6" s="56"/>
      <c r="BK6" s="56"/>
      <c r="BL6" s="56"/>
      <c r="BM6" s="56"/>
      <c r="BN6" s="56"/>
      <c r="BO6" s="56"/>
      <c r="BP6" s="56"/>
      <c r="BQ6" s="56"/>
      <c r="BR6" s="56"/>
      <c r="BS6" s="56"/>
      <c r="BT6" s="56"/>
      <c r="BU6" s="56"/>
      <c r="BV6" s="56"/>
      <c r="BW6" s="56"/>
      <c r="BX6" s="56"/>
    </row>
    <row r="7" hidden="1">
      <c r="A7" s="48" t="str">
        <f t="shared" si="1"/>
        <v>CABO20</v>
      </c>
      <c r="B7" s="10" t="s">
        <v>454</v>
      </c>
      <c r="C7" s="10" t="s">
        <v>321</v>
      </c>
      <c r="D7" s="10"/>
      <c r="E7" s="10" t="s">
        <v>482</v>
      </c>
      <c r="F7" s="10" t="s">
        <v>650</v>
      </c>
      <c r="G7" s="10" t="s">
        <v>484</v>
      </c>
      <c r="H7" s="10">
        <v>2020.0</v>
      </c>
      <c r="I7" s="58" t="s">
        <v>656</v>
      </c>
      <c r="J7" s="10" t="s">
        <v>79</v>
      </c>
      <c r="K7" s="64"/>
      <c r="L7" s="64"/>
      <c r="M7" s="10" t="s">
        <v>674</v>
      </c>
      <c r="N7" s="10" t="b">
        <f t="shared" si="2"/>
        <v>0</v>
      </c>
      <c r="O7" s="10"/>
      <c r="P7" s="10" t="s">
        <v>368</v>
      </c>
      <c r="Q7" s="10" t="s">
        <v>78</v>
      </c>
      <c r="R7" s="59" t="s">
        <v>370</v>
      </c>
      <c r="S7" s="60"/>
      <c r="T7" s="48"/>
      <c r="U7" s="48"/>
      <c r="V7" s="48"/>
      <c r="W7" s="48"/>
      <c r="X7" s="48"/>
      <c r="Y7" s="48"/>
      <c r="Z7" s="48"/>
      <c r="AA7" s="48"/>
      <c r="AB7" s="48"/>
      <c r="AC7" s="48"/>
      <c r="AD7" s="48"/>
      <c r="AE7" s="48"/>
      <c r="AF7" s="60"/>
      <c r="AG7" s="48"/>
      <c r="AH7" s="48"/>
      <c r="AI7" s="48"/>
      <c r="AJ7" s="48"/>
      <c r="AK7" s="48"/>
      <c r="AL7" s="48"/>
      <c r="AM7" s="48"/>
      <c r="AN7" s="48"/>
      <c r="AO7" s="48"/>
      <c r="AP7" s="48"/>
      <c r="AQ7" s="48"/>
      <c r="AR7" s="48"/>
      <c r="AS7" s="48"/>
      <c r="AT7" s="48"/>
      <c r="AU7" s="48"/>
      <c r="AV7" s="48"/>
      <c r="AW7" s="48"/>
      <c r="AX7" s="48"/>
      <c r="AY7" s="48"/>
      <c r="AZ7" s="48"/>
      <c r="BA7" s="48"/>
      <c r="BB7" s="48"/>
      <c r="BC7" s="10"/>
      <c r="BD7" s="10" t="s">
        <v>75</v>
      </c>
      <c r="BE7" s="10"/>
      <c r="BF7" s="48"/>
      <c r="BG7" s="48"/>
      <c r="BH7" s="48"/>
      <c r="BI7" s="56"/>
      <c r="BJ7" s="56"/>
      <c r="BK7" s="56"/>
      <c r="BL7" s="56"/>
      <c r="BM7" s="56"/>
      <c r="BN7" s="56"/>
      <c r="BO7" s="56"/>
      <c r="BP7" s="56"/>
      <c r="BQ7" s="56"/>
      <c r="BR7" s="56"/>
      <c r="BS7" s="56"/>
      <c r="BT7" s="56"/>
      <c r="BU7" s="56"/>
      <c r="BV7" s="56"/>
      <c r="BW7" s="56"/>
      <c r="BX7" s="56"/>
    </row>
    <row r="8" hidden="1">
      <c r="A8" s="48" t="str">
        <f t="shared" si="1"/>
        <v>COAL24</v>
      </c>
      <c r="B8" s="10" t="s">
        <v>454</v>
      </c>
      <c r="C8" s="10" t="s">
        <v>321</v>
      </c>
      <c r="D8" s="10" t="s">
        <v>322</v>
      </c>
      <c r="E8" s="10" t="s">
        <v>696</v>
      </c>
      <c r="F8" s="10" t="s">
        <v>697</v>
      </c>
      <c r="G8" s="10" t="s">
        <v>698</v>
      </c>
      <c r="H8" s="10">
        <v>2024.0</v>
      </c>
      <c r="I8" s="58" t="s">
        <v>699</v>
      </c>
      <c r="J8" s="10" t="s">
        <v>702</v>
      </c>
      <c r="K8" s="50">
        <v>45316.0</v>
      </c>
      <c r="L8" s="50"/>
      <c r="M8" s="10" t="s">
        <v>703</v>
      </c>
      <c r="N8" s="10" t="b">
        <f t="shared" si="2"/>
        <v>0</v>
      </c>
      <c r="O8" s="10"/>
      <c r="P8" s="10" t="s">
        <v>368</v>
      </c>
      <c r="Q8" s="10" t="s">
        <v>706</v>
      </c>
      <c r="R8" s="10" t="s">
        <v>370</v>
      </c>
      <c r="S8" s="10" t="s">
        <v>708</v>
      </c>
      <c r="T8" s="10" t="s">
        <v>165</v>
      </c>
      <c r="U8" s="10" t="s">
        <v>711</v>
      </c>
      <c r="V8" s="10"/>
      <c r="W8" s="10"/>
      <c r="X8" s="10"/>
      <c r="Y8" s="10" t="s">
        <v>98</v>
      </c>
      <c r="Z8" s="10"/>
      <c r="AA8" s="10"/>
      <c r="AB8" s="10" t="s">
        <v>714</v>
      </c>
      <c r="AC8" s="10" t="s">
        <v>98</v>
      </c>
      <c r="AD8" s="48"/>
      <c r="AE8" s="65" t="s">
        <v>718</v>
      </c>
      <c r="AF8" s="10" t="s">
        <v>721</v>
      </c>
      <c r="AG8" s="10" t="s">
        <v>723</v>
      </c>
      <c r="AH8" s="48"/>
      <c r="AI8" s="48"/>
      <c r="AJ8" s="48"/>
      <c r="AK8" s="48"/>
      <c r="AL8" s="48"/>
      <c r="AM8" s="48"/>
      <c r="AN8" s="48"/>
      <c r="AO8" s="48"/>
      <c r="AP8" s="48"/>
      <c r="AQ8" s="48"/>
      <c r="AR8" s="48"/>
      <c r="AS8" s="48"/>
      <c r="AT8" s="48"/>
      <c r="AU8" s="48"/>
      <c r="AV8" s="48"/>
      <c r="AW8" s="48"/>
      <c r="AX8" s="48"/>
      <c r="AY8" s="48"/>
      <c r="AZ8" s="48"/>
      <c r="BA8" s="48"/>
      <c r="BB8" s="10" t="s">
        <v>80</v>
      </c>
      <c r="BC8" s="10" t="s">
        <v>80</v>
      </c>
      <c r="BD8" s="10" t="s">
        <v>75</v>
      </c>
      <c r="BE8" s="10" t="s">
        <v>428</v>
      </c>
      <c r="BF8" s="48"/>
      <c r="BG8" s="48"/>
      <c r="BH8" s="48"/>
      <c r="BI8" s="56"/>
      <c r="BJ8" s="56"/>
      <c r="BK8" s="56"/>
      <c r="BL8" s="56"/>
      <c r="BM8" s="56"/>
      <c r="BN8" s="56"/>
      <c r="BO8" s="56"/>
      <c r="BP8" s="56"/>
      <c r="BQ8" s="56"/>
      <c r="BR8" s="56"/>
      <c r="BS8" s="56"/>
      <c r="BT8" s="56"/>
      <c r="BU8" s="56"/>
      <c r="BV8" s="56"/>
      <c r="BW8" s="56"/>
      <c r="BX8" s="56"/>
    </row>
    <row r="9" hidden="1">
      <c r="A9" s="48" t="str">
        <f t="shared" si="1"/>
        <v>JURU23</v>
      </c>
      <c r="B9" s="10" t="s">
        <v>454</v>
      </c>
      <c r="C9" s="10" t="s">
        <v>321</v>
      </c>
      <c r="D9" s="10" t="s">
        <v>322</v>
      </c>
      <c r="E9" s="10" t="s">
        <v>733</v>
      </c>
      <c r="F9" s="10" t="s">
        <v>734</v>
      </c>
      <c r="G9" s="10" t="s">
        <v>717</v>
      </c>
      <c r="H9" s="10">
        <v>2023.0</v>
      </c>
      <c r="I9" s="58" t="s">
        <v>736</v>
      </c>
      <c r="J9" s="10" t="s">
        <v>741</v>
      </c>
      <c r="K9" s="50">
        <v>45257.0</v>
      </c>
      <c r="L9" s="50"/>
      <c r="M9" s="10" t="s">
        <v>742</v>
      </c>
      <c r="N9" s="10" t="str">
        <f t="shared" si="2"/>
        <v>Public</v>
      </c>
      <c r="O9" s="10"/>
      <c r="P9" s="10" t="s">
        <v>368</v>
      </c>
      <c r="Q9" s="10" t="s">
        <v>746</v>
      </c>
      <c r="R9" s="10" t="s">
        <v>747</v>
      </c>
      <c r="S9" s="51">
        <v>20.0</v>
      </c>
      <c r="T9" s="10" t="s">
        <v>165</v>
      </c>
      <c r="U9" s="10" t="s">
        <v>750</v>
      </c>
      <c r="V9" s="10"/>
      <c r="W9" s="10"/>
      <c r="X9" s="10"/>
      <c r="Y9" s="10" t="s">
        <v>751</v>
      </c>
      <c r="Z9" s="10"/>
      <c r="AA9" s="10"/>
      <c r="AB9" s="10" t="s">
        <v>752</v>
      </c>
      <c r="AC9" s="10" t="s">
        <v>751</v>
      </c>
      <c r="AD9" s="10">
        <v>20.0</v>
      </c>
      <c r="AE9" s="10"/>
      <c r="AF9" s="51" t="s">
        <v>753</v>
      </c>
      <c r="AG9" s="10" t="s">
        <v>754</v>
      </c>
      <c r="AH9" s="48"/>
      <c r="AI9" s="48"/>
      <c r="AJ9" s="48"/>
      <c r="AK9" s="48"/>
      <c r="AL9" s="48"/>
      <c r="AM9" s="48"/>
      <c r="AN9" s="48"/>
      <c r="AO9" s="48"/>
      <c r="AP9" s="48"/>
      <c r="AQ9" s="48"/>
      <c r="AR9" s="48"/>
      <c r="AS9" s="48"/>
      <c r="AT9" s="48"/>
      <c r="AU9" s="48"/>
      <c r="AV9" s="48"/>
      <c r="AW9" s="48"/>
      <c r="AX9" s="48"/>
      <c r="AY9" s="48"/>
      <c r="AZ9" s="48"/>
      <c r="BA9" s="48"/>
      <c r="BB9" s="10" t="s">
        <v>758</v>
      </c>
      <c r="BC9" s="10" t="s">
        <v>80</v>
      </c>
      <c r="BD9" s="10" t="s">
        <v>75</v>
      </c>
      <c r="BE9" s="10"/>
      <c r="BF9" s="48"/>
      <c r="BG9" s="48"/>
      <c r="BH9" s="48"/>
      <c r="BI9" s="56"/>
      <c r="BJ9" s="56"/>
      <c r="BK9" s="56"/>
      <c r="BL9" s="56"/>
      <c r="BM9" s="56"/>
      <c r="BN9" s="56"/>
      <c r="BO9" s="56"/>
      <c r="BP9" s="56"/>
      <c r="BQ9" s="56"/>
      <c r="BR9" s="56"/>
      <c r="BS9" s="56"/>
      <c r="BT9" s="56"/>
      <c r="BU9" s="56"/>
      <c r="BV9" s="56"/>
      <c r="BW9" s="56"/>
      <c r="BX9" s="56"/>
    </row>
    <row r="10" hidden="1">
      <c r="A10" s="48" t="str">
        <f t="shared" si="1"/>
        <v>JYJU22</v>
      </c>
      <c r="B10" s="10" t="s">
        <v>454</v>
      </c>
      <c r="C10" s="10"/>
      <c r="D10" s="10"/>
      <c r="E10" s="10" t="s">
        <v>761</v>
      </c>
      <c r="F10" s="10" t="s">
        <v>764</v>
      </c>
      <c r="G10" s="10" t="s">
        <v>765</v>
      </c>
      <c r="H10" s="10">
        <v>2022.0</v>
      </c>
      <c r="I10" s="67" t="s">
        <v>767</v>
      </c>
      <c r="J10" s="10" t="s">
        <v>771</v>
      </c>
      <c r="K10" s="50">
        <v>44883.0</v>
      </c>
      <c r="L10" s="50"/>
      <c r="M10" s="69" t="s">
        <v>774</v>
      </c>
      <c r="N10" s="10" t="b">
        <f t="shared" si="2"/>
        <v>0</v>
      </c>
      <c r="O10" s="10" t="s">
        <v>779</v>
      </c>
      <c r="P10" s="10" t="s">
        <v>368</v>
      </c>
      <c r="Q10" s="10" t="s">
        <v>780</v>
      </c>
      <c r="R10" s="59" t="s">
        <v>781</v>
      </c>
      <c r="S10" s="51" t="s">
        <v>378</v>
      </c>
      <c r="T10" s="10" t="s">
        <v>782</v>
      </c>
      <c r="U10" s="10" t="s">
        <v>378</v>
      </c>
      <c r="V10" s="10" t="s">
        <v>378</v>
      </c>
      <c r="W10" s="10" t="s">
        <v>378</v>
      </c>
      <c r="X10" s="10" t="s">
        <v>378</v>
      </c>
      <c r="Y10" s="10" t="s">
        <v>378</v>
      </c>
      <c r="Z10" s="10" t="s">
        <v>378</v>
      </c>
      <c r="AA10" s="10" t="s">
        <v>378</v>
      </c>
      <c r="AB10" s="10" t="s">
        <v>378</v>
      </c>
      <c r="AC10" s="10" t="s">
        <v>378</v>
      </c>
      <c r="AD10" s="10" t="s">
        <v>378</v>
      </c>
      <c r="AE10" s="10" t="s">
        <v>378</v>
      </c>
      <c r="AF10" s="51" t="s">
        <v>783</v>
      </c>
      <c r="AG10" s="10" t="s">
        <v>288</v>
      </c>
      <c r="AH10" s="10"/>
      <c r="AI10" s="10"/>
      <c r="AJ10" s="10"/>
      <c r="AK10" s="10"/>
      <c r="AL10" s="10"/>
      <c r="AM10" s="10"/>
      <c r="AN10" s="10"/>
      <c r="AO10" s="10"/>
      <c r="AP10" s="10"/>
      <c r="AQ10" s="10"/>
      <c r="AR10" s="10"/>
      <c r="AS10" s="10"/>
      <c r="AT10" s="10"/>
      <c r="AU10" s="10"/>
      <c r="AV10" s="10"/>
      <c r="AW10" s="10"/>
      <c r="AX10" s="10"/>
      <c r="AY10" s="10"/>
      <c r="AZ10" s="10"/>
      <c r="BA10" s="10"/>
      <c r="BB10" s="10" t="s">
        <v>75</v>
      </c>
      <c r="BC10" s="10" t="s">
        <v>75</v>
      </c>
      <c r="BD10" s="10" t="s">
        <v>75</v>
      </c>
      <c r="BE10" s="10" t="s">
        <v>428</v>
      </c>
      <c r="BF10" s="48"/>
      <c r="BG10" s="48"/>
      <c r="BH10" s="48"/>
      <c r="BI10" s="48"/>
      <c r="BJ10" s="48"/>
      <c r="BK10" s="48"/>
      <c r="BL10" s="48"/>
      <c r="BM10" s="48"/>
      <c r="BN10" s="48"/>
      <c r="BO10" s="48"/>
      <c r="BP10" s="48"/>
      <c r="BQ10" s="48"/>
      <c r="BR10" s="48"/>
      <c r="BS10" s="48"/>
      <c r="BT10" s="48"/>
      <c r="BU10" s="48"/>
      <c r="BV10" s="48"/>
      <c r="BW10" s="48"/>
      <c r="BX10" s="48"/>
    </row>
    <row r="11" hidden="1">
      <c r="A11" s="48" t="str">
        <f t="shared" si="1"/>
        <v>LUJA20</v>
      </c>
      <c r="B11" s="10" t="s">
        <v>454</v>
      </c>
      <c r="C11" s="10" t="s">
        <v>321</v>
      </c>
      <c r="D11" s="10" t="s">
        <v>322</v>
      </c>
      <c r="E11" s="10" t="s">
        <v>610</v>
      </c>
      <c r="F11" s="10" t="s">
        <v>784</v>
      </c>
      <c r="G11" s="10" t="s">
        <v>785</v>
      </c>
      <c r="H11" s="10">
        <v>2020.0</v>
      </c>
      <c r="I11" s="49" t="s">
        <v>786</v>
      </c>
      <c r="J11" s="10" t="s">
        <v>788</v>
      </c>
      <c r="K11" s="50">
        <v>43858.0</v>
      </c>
      <c r="L11" s="50"/>
      <c r="M11" s="10" t="s">
        <v>608</v>
      </c>
      <c r="N11" s="10" t="str">
        <f t="shared" si="2"/>
        <v>Public</v>
      </c>
      <c r="O11" s="10"/>
      <c r="P11" s="10" t="s">
        <v>368</v>
      </c>
      <c r="Q11" s="10" t="s">
        <v>78</v>
      </c>
      <c r="R11" s="59" t="s">
        <v>370</v>
      </c>
      <c r="S11" s="60"/>
      <c r="T11" s="10" t="s">
        <v>165</v>
      </c>
      <c r="U11" s="48"/>
      <c r="V11" s="48"/>
      <c r="W11" s="48"/>
      <c r="X11" s="48"/>
      <c r="Y11" s="48"/>
      <c r="Z11" s="48"/>
      <c r="AA11" s="48"/>
      <c r="AB11" s="48"/>
      <c r="AC11" s="48"/>
      <c r="AD11" s="48"/>
      <c r="AE11" s="48"/>
      <c r="AF11" s="60"/>
      <c r="AG11" s="48"/>
      <c r="AH11" s="48"/>
      <c r="AI11" s="48"/>
      <c r="AJ11" s="48"/>
      <c r="AK11" s="48"/>
      <c r="AL11" s="48"/>
      <c r="AM11" s="48"/>
      <c r="AN11" s="48"/>
      <c r="AO11" s="48"/>
      <c r="AP11" s="48"/>
      <c r="AQ11" s="48"/>
      <c r="AR11" s="48"/>
      <c r="AS11" s="48"/>
      <c r="AT11" s="48"/>
      <c r="AU11" s="48"/>
      <c r="AV11" s="48"/>
      <c r="AW11" s="48"/>
      <c r="AX11" s="48"/>
      <c r="AY11" s="48"/>
      <c r="AZ11" s="48"/>
      <c r="BA11" s="48"/>
      <c r="BB11" s="48"/>
      <c r="BC11" s="10"/>
      <c r="BD11" s="10" t="s">
        <v>75</v>
      </c>
      <c r="BE11" s="10" t="s">
        <v>428</v>
      </c>
      <c r="BF11" s="48"/>
      <c r="BG11" s="48"/>
      <c r="BH11" s="48"/>
      <c r="BI11" s="56"/>
      <c r="BJ11" s="56"/>
      <c r="BK11" s="56"/>
      <c r="BL11" s="56"/>
      <c r="BM11" s="56"/>
      <c r="BN11" s="56"/>
      <c r="BO11" s="56"/>
      <c r="BP11" s="56"/>
      <c r="BQ11" s="56"/>
      <c r="BR11" s="56"/>
      <c r="BS11" s="56"/>
      <c r="BT11" s="56"/>
      <c r="BU11" s="56"/>
      <c r="BV11" s="56"/>
      <c r="BW11" s="56"/>
      <c r="BX11" s="56"/>
    </row>
    <row r="12" hidden="1">
      <c r="A12" s="48" t="str">
        <f t="shared" si="1"/>
        <v>MAAL22</v>
      </c>
      <c r="B12" s="10" t="s">
        <v>454</v>
      </c>
      <c r="C12" s="10" t="s">
        <v>321</v>
      </c>
      <c r="D12" s="10"/>
      <c r="E12" s="10" t="s">
        <v>448</v>
      </c>
      <c r="F12" s="10" t="s">
        <v>450</v>
      </c>
      <c r="G12" s="10" t="s">
        <v>793</v>
      </c>
      <c r="H12" s="10">
        <v>2022.0</v>
      </c>
      <c r="I12" s="58" t="s">
        <v>794</v>
      </c>
      <c r="J12" s="10" t="s">
        <v>384</v>
      </c>
      <c r="K12" s="50">
        <v>44720.0</v>
      </c>
      <c r="L12" s="50"/>
      <c r="M12" s="10" t="s">
        <v>795</v>
      </c>
      <c r="N12" s="10" t="b">
        <f t="shared" si="2"/>
        <v>0</v>
      </c>
      <c r="O12" s="10"/>
      <c r="P12" s="10" t="s">
        <v>368</v>
      </c>
      <c r="Q12" s="10" t="s">
        <v>797</v>
      </c>
      <c r="R12" s="59" t="s">
        <v>747</v>
      </c>
      <c r="S12" s="10">
        <v>110.0</v>
      </c>
      <c r="T12" s="10" t="s">
        <v>165</v>
      </c>
      <c r="U12" s="10" t="s">
        <v>799</v>
      </c>
      <c r="V12" s="10"/>
      <c r="W12" s="10"/>
      <c r="X12" s="10"/>
      <c r="Y12" s="10" t="s">
        <v>751</v>
      </c>
      <c r="Z12" s="10"/>
      <c r="AA12" s="10"/>
      <c r="AB12" s="10" t="s">
        <v>800</v>
      </c>
      <c r="AC12" s="10" t="s">
        <v>801</v>
      </c>
      <c r="AD12" s="10" t="s">
        <v>802</v>
      </c>
      <c r="AE12" s="10"/>
      <c r="AF12" s="10" t="s">
        <v>804</v>
      </c>
      <c r="AG12" s="10" t="s">
        <v>806</v>
      </c>
      <c r="AH12" s="48"/>
      <c r="AI12" s="48"/>
      <c r="AJ12" s="48"/>
      <c r="AK12" s="48"/>
      <c r="AL12" s="48"/>
      <c r="AM12" s="48"/>
      <c r="AN12" s="48"/>
      <c r="AO12" s="48"/>
      <c r="AP12" s="48"/>
      <c r="AQ12" s="48"/>
      <c r="AR12" s="48"/>
      <c r="AS12" s="48"/>
      <c r="AT12" s="48"/>
      <c r="AU12" s="48"/>
      <c r="AV12" s="48"/>
      <c r="AW12" s="48"/>
      <c r="AX12" s="48"/>
      <c r="AY12" s="48"/>
      <c r="AZ12" s="48"/>
      <c r="BA12" s="48"/>
      <c r="BB12" s="10" t="s">
        <v>758</v>
      </c>
      <c r="BC12" s="10" t="s">
        <v>80</v>
      </c>
      <c r="BD12" s="10" t="s">
        <v>75</v>
      </c>
      <c r="BE12" s="10" t="s">
        <v>428</v>
      </c>
      <c r="BF12" s="10"/>
      <c r="BG12" s="10" t="s">
        <v>808</v>
      </c>
      <c r="BH12" s="10"/>
      <c r="BI12" s="56"/>
      <c r="BJ12" s="56"/>
      <c r="BK12" s="56"/>
      <c r="BL12" s="56"/>
      <c r="BM12" s="56"/>
      <c r="BN12" s="56"/>
      <c r="BO12" s="56"/>
      <c r="BP12" s="56"/>
      <c r="BQ12" s="56"/>
      <c r="BR12" s="56"/>
      <c r="BS12" s="56"/>
      <c r="BT12" s="56"/>
      <c r="BU12" s="56"/>
      <c r="BV12" s="56"/>
      <c r="BW12" s="56"/>
      <c r="BX12" s="56"/>
    </row>
    <row r="13" hidden="1">
      <c r="A13" s="48" t="str">
        <f t="shared" si="1"/>
        <v>MABR19</v>
      </c>
      <c r="B13" s="10" t="s">
        <v>454</v>
      </c>
      <c r="C13" s="10" t="s">
        <v>321</v>
      </c>
      <c r="D13" s="10" t="s">
        <v>322</v>
      </c>
      <c r="E13" s="10" t="s">
        <v>421</v>
      </c>
      <c r="F13" s="10" t="s">
        <v>424</v>
      </c>
      <c r="G13" s="10" t="s">
        <v>810</v>
      </c>
      <c r="H13" s="10">
        <v>2019.0</v>
      </c>
      <c r="I13" s="58" t="s">
        <v>811</v>
      </c>
      <c r="J13" s="10" t="s">
        <v>170</v>
      </c>
      <c r="K13" s="50">
        <v>43763.0</v>
      </c>
      <c r="L13" s="50" t="s">
        <v>812</v>
      </c>
      <c r="M13" s="10" t="s">
        <v>813</v>
      </c>
      <c r="N13" s="10" t="str">
        <f t="shared" si="2"/>
        <v>Public</v>
      </c>
      <c r="O13" s="10"/>
      <c r="P13" s="10" t="s">
        <v>368</v>
      </c>
      <c r="Q13" s="10" t="s">
        <v>814</v>
      </c>
      <c r="R13" s="59" t="s">
        <v>370</v>
      </c>
      <c r="S13" s="10">
        <v>17.0</v>
      </c>
      <c r="T13" s="10" t="s">
        <v>165</v>
      </c>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10"/>
      <c r="BD13" s="10" t="s">
        <v>75</v>
      </c>
      <c r="BE13" s="10" t="s">
        <v>815</v>
      </c>
      <c r="BF13" s="48"/>
      <c r="BG13" s="48"/>
      <c r="BH13" s="48"/>
      <c r="BI13" s="56"/>
      <c r="BJ13" s="56"/>
      <c r="BK13" s="56"/>
      <c r="BL13" s="56"/>
      <c r="BM13" s="56"/>
      <c r="BN13" s="56"/>
      <c r="BO13" s="56"/>
      <c r="BP13" s="56"/>
      <c r="BQ13" s="56"/>
      <c r="BR13" s="56"/>
      <c r="BS13" s="56"/>
      <c r="BT13" s="56"/>
      <c r="BU13" s="56"/>
      <c r="BV13" s="56"/>
      <c r="BW13" s="56"/>
      <c r="BX13" s="56"/>
    </row>
    <row r="14" hidden="1">
      <c r="A14" s="48" t="str">
        <f t="shared" si="1"/>
        <v>QIRU23</v>
      </c>
      <c r="B14" s="10" t="s">
        <v>454</v>
      </c>
      <c r="C14" s="10" t="s">
        <v>321</v>
      </c>
      <c r="D14" s="10" t="s">
        <v>322</v>
      </c>
      <c r="E14" s="10" t="s">
        <v>713</v>
      </c>
      <c r="F14" s="10" t="s">
        <v>715</v>
      </c>
      <c r="G14" s="10" t="s">
        <v>717</v>
      </c>
      <c r="H14" s="10">
        <v>2023.0</v>
      </c>
      <c r="I14" s="10" t="s">
        <v>816</v>
      </c>
      <c r="J14" s="10" t="s">
        <v>384</v>
      </c>
      <c r="K14" s="50">
        <v>45091.0</v>
      </c>
      <c r="L14" s="50"/>
      <c r="M14" s="10" t="s">
        <v>709</v>
      </c>
      <c r="N14" s="10" t="str">
        <f t="shared" si="2"/>
        <v>Public</v>
      </c>
      <c r="O14" s="10"/>
      <c r="P14" s="10" t="s">
        <v>368</v>
      </c>
      <c r="Q14" s="10" t="s">
        <v>817</v>
      </c>
      <c r="R14" s="10" t="s">
        <v>747</v>
      </c>
      <c r="S14" s="10" t="s">
        <v>818</v>
      </c>
      <c r="T14" s="10" t="s">
        <v>165</v>
      </c>
      <c r="U14" s="10" t="s">
        <v>75</v>
      </c>
      <c r="V14" s="10"/>
      <c r="W14" s="10"/>
      <c r="X14" s="10"/>
      <c r="Y14" s="10" t="s">
        <v>819</v>
      </c>
      <c r="Z14" s="10"/>
      <c r="AA14" s="10"/>
      <c r="AB14" s="10" t="s">
        <v>820</v>
      </c>
      <c r="AC14" s="10" t="s">
        <v>821</v>
      </c>
      <c r="AD14" s="48"/>
      <c r="AE14" s="65" t="s">
        <v>822</v>
      </c>
      <c r="AF14" s="10" t="s">
        <v>823</v>
      </c>
      <c r="AG14" s="10" t="s">
        <v>824</v>
      </c>
      <c r="AH14" s="48"/>
      <c r="AI14" s="48"/>
      <c r="AJ14" s="48"/>
      <c r="AK14" s="48"/>
      <c r="AL14" s="48"/>
      <c r="AM14" s="48"/>
      <c r="AN14" s="48"/>
      <c r="AO14" s="48"/>
      <c r="AP14" s="48"/>
      <c r="AQ14" s="48"/>
      <c r="AR14" s="48"/>
      <c r="AS14" s="48"/>
      <c r="AT14" s="48"/>
      <c r="AU14" s="48"/>
      <c r="AV14" s="48"/>
      <c r="AW14" s="48"/>
      <c r="AX14" s="48"/>
      <c r="AY14" s="48"/>
      <c r="AZ14" s="48"/>
      <c r="BA14" s="48"/>
      <c r="BB14" s="10" t="s">
        <v>75</v>
      </c>
      <c r="BC14" s="10" t="s">
        <v>75</v>
      </c>
      <c r="BD14" s="10" t="s">
        <v>75</v>
      </c>
      <c r="BE14" s="10" t="s">
        <v>815</v>
      </c>
      <c r="BF14" s="48"/>
      <c r="BG14" s="48"/>
      <c r="BH14" s="48"/>
      <c r="BI14" s="56"/>
      <c r="BJ14" s="56"/>
      <c r="BK14" s="56"/>
      <c r="BL14" s="56"/>
      <c r="BM14" s="56"/>
      <c r="BN14" s="56"/>
      <c r="BO14" s="56"/>
      <c r="BP14" s="56"/>
      <c r="BQ14" s="56"/>
      <c r="BR14" s="56"/>
      <c r="BS14" s="56"/>
      <c r="BT14" s="56"/>
      <c r="BU14" s="56"/>
      <c r="BV14" s="56"/>
      <c r="BW14" s="56"/>
      <c r="BX14" s="56"/>
    </row>
    <row r="15" hidden="1">
      <c r="A15" s="48" t="str">
        <f t="shared" si="1"/>
        <v>RADW22</v>
      </c>
      <c r="B15" s="10" t="s">
        <v>322</v>
      </c>
      <c r="C15" s="10" t="s">
        <v>321</v>
      </c>
      <c r="D15" s="10" t="s">
        <v>322</v>
      </c>
      <c r="E15" s="10" t="s">
        <v>651</v>
      </c>
      <c r="F15" s="10" t="s">
        <v>653</v>
      </c>
      <c r="G15" s="10" t="s">
        <v>655</v>
      </c>
      <c r="H15" s="10">
        <v>2022.0</v>
      </c>
      <c r="I15" s="10" t="s">
        <v>825</v>
      </c>
      <c r="J15" s="10" t="s">
        <v>826</v>
      </c>
      <c r="K15" s="64">
        <v>44706.0</v>
      </c>
      <c r="L15" s="64"/>
      <c r="M15" s="10" t="s">
        <v>672</v>
      </c>
      <c r="N15" s="10" t="str">
        <f t="shared" si="2"/>
        <v>Public</v>
      </c>
      <c r="O15" s="10"/>
      <c r="P15" s="10" t="s">
        <v>368</v>
      </c>
      <c r="Q15" s="48"/>
      <c r="R15" s="10" t="s">
        <v>370</v>
      </c>
      <c r="S15" s="10">
        <v>12.0</v>
      </c>
      <c r="T15" s="10" t="s">
        <v>165</v>
      </c>
      <c r="U15" s="10" t="s">
        <v>827</v>
      </c>
      <c r="V15" s="48"/>
      <c r="W15" s="48"/>
      <c r="X15" s="48"/>
      <c r="Y15" s="48"/>
      <c r="Z15" s="48"/>
      <c r="AA15" s="48"/>
      <c r="AB15" s="48"/>
      <c r="AC15" s="48"/>
      <c r="AD15" s="48"/>
      <c r="AE15" s="10"/>
      <c r="AF15" s="10" t="s">
        <v>753</v>
      </c>
      <c r="AG15" s="10" t="s">
        <v>407</v>
      </c>
      <c r="AH15" s="48"/>
      <c r="AI15" s="48"/>
      <c r="AJ15" s="48"/>
      <c r="AK15" s="48"/>
      <c r="AL15" s="48"/>
      <c r="AM15" s="48"/>
      <c r="AN15" s="48"/>
      <c r="AO15" s="48"/>
      <c r="AP15" s="48"/>
      <c r="AQ15" s="48"/>
      <c r="AR15" s="48"/>
      <c r="AS15" s="48"/>
      <c r="AT15" s="48"/>
      <c r="AU15" s="48"/>
      <c r="AV15" s="48"/>
      <c r="AW15" s="48"/>
      <c r="AX15" s="48"/>
      <c r="AY15" s="48"/>
      <c r="AZ15" s="48"/>
      <c r="BA15" s="48"/>
      <c r="BB15" s="48"/>
      <c r="BC15" s="10"/>
      <c r="BD15" s="10" t="s">
        <v>75</v>
      </c>
      <c r="BE15" s="10" t="s">
        <v>428</v>
      </c>
      <c r="BF15" s="48"/>
      <c r="BG15" s="48"/>
      <c r="BH15" s="48"/>
      <c r="BI15" s="56"/>
      <c r="BJ15" s="56"/>
      <c r="BK15" s="56"/>
      <c r="BL15" s="56"/>
      <c r="BM15" s="56"/>
      <c r="BN15" s="56"/>
      <c r="BO15" s="56"/>
      <c r="BP15" s="56"/>
      <c r="BQ15" s="56"/>
      <c r="BR15" s="56"/>
      <c r="BS15" s="56"/>
      <c r="BT15" s="56"/>
      <c r="BU15" s="56"/>
      <c r="BV15" s="56"/>
      <c r="BW15" s="56"/>
      <c r="BX15" s="56"/>
    </row>
    <row r="16" hidden="1">
      <c r="A16" s="48" t="str">
        <f t="shared" si="1"/>
        <v>SAEL25</v>
      </c>
      <c r="B16" s="10" t="s">
        <v>322</v>
      </c>
      <c r="C16" s="10"/>
      <c r="D16" s="10"/>
      <c r="E16" s="10" t="s">
        <v>828</v>
      </c>
      <c r="F16" s="10" t="s">
        <v>829</v>
      </c>
      <c r="G16" s="10" t="s">
        <v>830</v>
      </c>
      <c r="H16" s="10">
        <v>2025.0</v>
      </c>
      <c r="I16" s="58" t="s">
        <v>831</v>
      </c>
      <c r="J16" s="10" t="s">
        <v>832</v>
      </c>
      <c r="K16" s="50">
        <v>45718.0</v>
      </c>
      <c r="L16" s="50"/>
      <c r="M16" s="10" t="s">
        <v>378</v>
      </c>
      <c r="N16" s="10" t="b">
        <f t="shared" si="2"/>
        <v>0</v>
      </c>
      <c r="O16" s="10" t="s">
        <v>378</v>
      </c>
      <c r="P16" s="10" t="s">
        <v>833</v>
      </c>
      <c r="Q16" s="10" t="s">
        <v>834</v>
      </c>
      <c r="R16" s="59" t="s">
        <v>835</v>
      </c>
      <c r="S16" s="51">
        <v>109.0</v>
      </c>
      <c r="T16" s="10" t="s">
        <v>165</v>
      </c>
      <c r="U16" s="10">
        <v>109.0</v>
      </c>
      <c r="V16" s="10">
        <v>109.0</v>
      </c>
      <c r="W16" s="10">
        <v>109.0</v>
      </c>
      <c r="X16" s="10">
        <v>0.0</v>
      </c>
      <c r="Y16" s="10" t="s">
        <v>378</v>
      </c>
      <c r="Z16" s="10" t="s">
        <v>378</v>
      </c>
      <c r="AA16" s="10" t="s">
        <v>378</v>
      </c>
      <c r="AB16" s="10" t="s">
        <v>378</v>
      </c>
      <c r="AC16" s="10" t="s">
        <v>836</v>
      </c>
      <c r="AD16" s="10">
        <v>109.0</v>
      </c>
      <c r="AE16" s="10" t="s">
        <v>378</v>
      </c>
      <c r="AF16" s="10" t="s">
        <v>378</v>
      </c>
      <c r="AG16" s="10" t="s">
        <v>288</v>
      </c>
      <c r="AH16" s="10"/>
      <c r="AI16" s="10"/>
      <c r="AJ16" s="10"/>
      <c r="AK16" s="10"/>
      <c r="AL16" s="10"/>
      <c r="AM16" s="10"/>
      <c r="AN16" s="10"/>
      <c r="AO16" s="10"/>
      <c r="AP16" s="10"/>
      <c r="AQ16" s="10"/>
      <c r="AR16" s="10"/>
      <c r="AS16" s="10"/>
      <c r="AT16" s="10"/>
      <c r="AU16" s="10"/>
      <c r="AV16" s="10"/>
      <c r="AW16" s="10"/>
      <c r="AX16" s="10"/>
      <c r="AY16" s="10"/>
      <c r="AZ16" s="10"/>
      <c r="BA16" s="10"/>
      <c r="BB16" s="10" t="s">
        <v>80</v>
      </c>
      <c r="BC16" s="10" t="s">
        <v>80</v>
      </c>
      <c r="BD16" s="10" t="s">
        <v>80</v>
      </c>
      <c r="BE16" s="10" t="s">
        <v>428</v>
      </c>
      <c r="BF16" s="48"/>
      <c r="BG16" s="48"/>
      <c r="BH16" s="48"/>
      <c r="BI16" s="48"/>
      <c r="BJ16" s="48"/>
      <c r="BK16" s="48"/>
      <c r="BL16" s="48"/>
      <c r="BM16" s="48"/>
      <c r="BN16" s="48"/>
      <c r="BO16" s="48"/>
      <c r="BP16" s="48"/>
      <c r="BQ16" s="48"/>
      <c r="BR16" s="48"/>
      <c r="BS16" s="48"/>
      <c r="BT16" s="48"/>
      <c r="BU16" s="48"/>
      <c r="BV16" s="48"/>
      <c r="BW16" s="48"/>
      <c r="BX16" s="48"/>
    </row>
    <row r="17" hidden="1">
      <c r="A17" s="48" t="str">
        <f t="shared" si="1"/>
        <v>SARA19</v>
      </c>
      <c r="B17" s="10" t="s">
        <v>322</v>
      </c>
      <c r="C17" s="10" t="s">
        <v>321</v>
      </c>
      <c r="D17" s="10" t="s">
        <v>322</v>
      </c>
      <c r="E17" s="10" t="s">
        <v>837</v>
      </c>
      <c r="F17" s="10" t="s">
        <v>838</v>
      </c>
      <c r="G17" s="10" t="s">
        <v>839</v>
      </c>
      <c r="H17" s="10">
        <v>2019.0</v>
      </c>
      <c r="I17" s="49" t="s">
        <v>840</v>
      </c>
      <c r="J17" s="10" t="s">
        <v>841</v>
      </c>
      <c r="K17" s="64"/>
      <c r="L17" s="64"/>
      <c r="M17" s="10" t="s">
        <v>842</v>
      </c>
      <c r="N17" s="10" t="b">
        <f t="shared" si="2"/>
        <v>0</v>
      </c>
      <c r="O17" s="10"/>
      <c r="P17" s="10" t="s">
        <v>368</v>
      </c>
      <c r="Q17" s="10" t="s">
        <v>78</v>
      </c>
      <c r="R17" s="59" t="s">
        <v>370</v>
      </c>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10"/>
      <c r="BD17" s="10" t="s">
        <v>75</v>
      </c>
      <c r="BE17" s="10" t="s">
        <v>428</v>
      </c>
      <c r="BF17" s="48"/>
      <c r="BG17" s="48"/>
      <c r="BH17" s="48"/>
      <c r="BI17" s="56"/>
      <c r="BJ17" s="56"/>
      <c r="BK17" s="56"/>
      <c r="BL17" s="56"/>
      <c r="BM17" s="56"/>
      <c r="BN17" s="56"/>
      <c r="BO17" s="56"/>
      <c r="BP17" s="56"/>
      <c r="BQ17" s="56"/>
      <c r="BR17" s="56"/>
      <c r="BS17" s="56"/>
      <c r="BT17" s="56"/>
      <c r="BU17" s="56"/>
      <c r="BV17" s="56"/>
      <c r="BW17" s="56"/>
      <c r="BX17" s="56"/>
    </row>
    <row r="18" hidden="1">
      <c r="A18" s="48" t="str">
        <f t="shared" si="1"/>
        <v>SEHO22</v>
      </c>
      <c r="B18" s="10" t="s">
        <v>322</v>
      </c>
      <c r="C18" s="10" t="s">
        <v>321</v>
      </c>
      <c r="D18" s="10"/>
      <c r="E18" s="10" t="s">
        <v>383</v>
      </c>
      <c r="F18" s="10" t="s">
        <v>843</v>
      </c>
      <c r="G18" s="10" t="s">
        <v>844</v>
      </c>
      <c r="H18" s="10">
        <v>2022.0</v>
      </c>
      <c r="I18" s="58" t="s">
        <v>845</v>
      </c>
      <c r="J18" s="10" t="s">
        <v>384</v>
      </c>
      <c r="K18" s="50">
        <v>44783.0</v>
      </c>
      <c r="L18" s="50"/>
      <c r="M18" s="10" t="s">
        <v>846</v>
      </c>
      <c r="N18" s="10" t="b">
        <f t="shared" si="2"/>
        <v>0</v>
      </c>
      <c r="O18" s="10"/>
      <c r="P18" s="10" t="s">
        <v>368</v>
      </c>
      <c r="Q18" s="10" t="s">
        <v>847</v>
      </c>
      <c r="R18" s="10" t="s">
        <v>747</v>
      </c>
      <c r="S18" s="51">
        <v>8.0</v>
      </c>
      <c r="T18" s="10" t="s">
        <v>165</v>
      </c>
      <c r="U18" s="10" t="s">
        <v>750</v>
      </c>
      <c r="V18" s="10"/>
      <c r="W18" s="10"/>
      <c r="X18" s="10"/>
      <c r="Y18" s="10" t="s">
        <v>751</v>
      </c>
      <c r="Z18" s="10"/>
      <c r="AA18" s="10"/>
      <c r="AB18" s="10" t="s">
        <v>751</v>
      </c>
      <c r="AC18" s="10" t="s">
        <v>751</v>
      </c>
      <c r="AD18" s="10" t="s">
        <v>848</v>
      </c>
      <c r="AE18" s="10"/>
      <c r="AF18" s="51" t="s">
        <v>823</v>
      </c>
      <c r="AG18" s="10" t="s">
        <v>849</v>
      </c>
      <c r="AH18" s="48"/>
      <c r="AI18" s="48"/>
      <c r="AJ18" s="48"/>
      <c r="AK18" s="48"/>
      <c r="AL18" s="48"/>
      <c r="AM18" s="48"/>
      <c r="AN18" s="48"/>
      <c r="AO18" s="48"/>
      <c r="AP18" s="48"/>
      <c r="AQ18" s="48"/>
      <c r="AR18" s="48"/>
      <c r="AS18" s="48"/>
      <c r="AT18" s="48"/>
      <c r="AU18" s="48"/>
      <c r="AV18" s="48"/>
      <c r="AW18" s="48"/>
      <c r="AX18" s="48"/>
      <c r="AY18" s="48"/>
      <c r="AZ18" s="48"/>
      <c r="BA18" s="48"/>
      <c r="BB18" s="10" t="s">
        <v>758</v>
      </c>
      <c r="BC18" s="10" t="s">
        <v>80</v>
      </c>
      <c r="BD18" s="10" t="s">
        <v>75</v>
      </c>
      <c r="BE18" s="10" t="s">
        <v>428</v>
      </c>
      <c r="BF18" s="48"/>
      <c r="BG18" s="48"/>
      <c r="BH18" s="48"/>
      <c r="BI18" s="56"/>
      <c r="BJ18" s="56"/>
      <c r="BK18" s="56"/>
      <c r="BL18" s="56"/>
      <c r="BM18" s="56"/>
      <c r="BN18" s="56"/>
      <c r="BO18" s="56"/>
      <c r="BP18" s="56"/>
      <c r="BQ18" s="56"/>
      <c r="BR18" s="56"/>
      <c r="BS18" s="56"/>
      <c r="BT18" s="56"/>
      <c r="BU18" s="56"/>
      <c r="BV18" s="56"/>
      <c r="BW18" s="56"/>
      <c r="BX18" s="56"/>
    </row>
    <row r="19" hidden="1">
      <c r="A19" s="48" t="str">
        <f t="shared" si="1"/>
        <v>SHDA24</v>
      </c>
      <c r="B19" s="10" t="s">
        <v>322</v>
      </c>
      <c r="C19" s="10" t="s">
        <v>321</v>
      </c>
      <c r="D19" s="10"/>
      <c r="E19" s="10" t="s">
        <v>850</v>
      </c>
      <c r="F19" s="10" t="s">
        <v>851</v>
      </c>
      <c r="G19" s="10" t="s">
        <v>852</v>
      </c>
      <c r="H19" s="10">
        <v>2024.0</v>
      </c>
      <c r="I19" s="49" t="s">
        <v>853</v>
      </c>
      <c r="J19" s="10" t="s">
        <v>854</v>
      </c>
      <c r="K19" s="50">
        <v>45238.0</v>
      </c>
      <c r="L19" s="50"/>
      <c r="M19" s="10" t="s">
        <v>855</v>
      </c>
      <c r="N19" s="10" t="b">
        <f t="shared" si="2"/>
        <v>0</v>
      </c>
      <c r="O19" s="10"/>
      <c r="P19" s="10" t="s">
        <v>368</v>
      </c>
      <c r="Q19" s="10" t="s">
        <v>856</v>
      </c>
      <c r="R19" s="10" t="s">
        <v>370</v>
      </c>
      <c r="S19" s="51">
        <v>28.0</v>
      </c>
      <c r="T19" s="10" t="s">
        <v>857</v>
      </c>
      <c r="U19" s="10" t="s">
        <v>858</v>
      </c>
      <c r="V19" s="10"/>
      <c r="W19" s="10"/>
      <c r="X19" s="10"/>
      <c r="Y19" s="10" t="s">
        <v>859</v>
      </c>
      <c r="Z19" s="10"/>
      <c r="AA19" s="10"/>
      <c r="AB19" s="10" t="s">
        <v>860</v>
      </c>
      <c r="AC19" s="10" t="s">
        <v>861</v>
      </c>
      <c r="AD19" s="10" t="s">
        <v>862</v>
      </c>
      <c r="AE19" s="10"/>
      <c r="AF19" s="51" t="s">
        <v>863</v>
      </c>
      <c r="AG19" s="10" t="s">
        <v>864</v>
      </c>
      <c r="AH19" s="48"/>
      <c r="AI19" s="48"/>
      <c r="AJ19" s="48"/>
      <c r="AK19" s="48"/>
      <c r="AL19" s="48"/>
      <c r="AM19" s="48"/>
      <c r="AN19" s="48"/>
      <c r="AO19" s="48"/>
      <c r="AP19" s="48"/>
      <c r="AQ19" s="48"/>
      <c r="AR19" s="48"/>
      <c r="AS19" s="48"/>
      <c r="AT19" s="48"/>
      <c r="AU19" s="48"/>
      <c r="AV19" s="48"/>
      <c r="AW19" s="48"/>
      <c r="AX19" s="48"/>
      <c r="AY19" s="48"/>
      <c r="AZ19" s="48"/>
      <c r="BA19" s="48"/>
      <c r="BB19" s="10" t="s">
        <v>413</v>
      </c>
      <c r="BC19" s="10" t="s">
        <v>75</v>
      </c>
      <c r="BD19" s="10" t="s">
        <v>75</v>
      </c>
      <c r="BE19" s="10" t="s">
        <v>815</v>
      </c>
      <c r="BF19" s="48"/>
      <c r="BG19" s="48"/>
      <c r="BH19" s="48"/>
      <c r="BI19" s="56"/>
      <c r="BJ19" s="56"/>
      <c r="BK19" s="56"/>
      <c r="BL19" s="56"/>
      <c r="BM19" s="56"/>
      <c r="BN19" s="56"/>
      <c r="BO19" s="56"/>
      <c r="BP19" s="56"/>
      <c r="BQ19" s="56"/>
      <c r="BR19" s="56"/>
      <c r="BS19" s="56"/>
      <c r="BT19" s="56"/>
      <c r="BU19" s="56"/>
      <c r="BV19" s="56"/>
      <c r="BW19" s="56"/>
      <c r="BX19" s="56"/>
    </row>
    <row r="20" hidden="1">
      <c r="A20" s="48" t="str">
        <f t="shared" si="1"/>
        <v>TAJO20</v>
      </c>
      <c r="B20" s="10" t="s">
        <v>322</v>
      </c>
      <c r="C20" s="10" t="s">
        <v>321</v>
      </c>
      <c r="D20" s="10" t="s">
        <v>322</v>
      </c>
      <c r="E20" s="10" t="s">
        <v>865</v>
      </c>
      <c r="F20" s="10" t="s">
        <v>376</v>
      </c>
      <c r="G20" s="10" t="s">
        <v>326</v>
      </c>
      <c r="H20" s="10">
        <v>2020.0</v>
      </c>
      <c r="I20" s="58" t="s">
        <v>866</v>
      </c>
      <c r="J20" s="10" t="s">
        <v>342</v>
      </c>
      <c r="K20" s="50">
        <v>43852.0</v>
      </c>
      <c r="L20" s="50"/>
      <c r="M20" s="10" t="s">
        <v>867</v>
      </c>
      <c r="N20" s="10" t="str">
        <f t="shared" si="2"/>
        <v>Public</v>
      </c>
      <c r="O20" s="10"/>
      <c r="P20" s="10" t="s">
        <v>368</v>
      </c>
      <c r="Q20" s="10" t="s">
        <v>868</v>
      </c>
      <c r="R20" s="10" t="s">
        <v>370</v>
      </c>
      <c r="S20" s="51" t="s">
        <v>869</v>
      </c>
      <c r="T20" s="10" t="s">
        <v>870</v>
      </c>
      <c r="U20" s="10" t="s">
        <v>377</v>
      </c>
      <c r="V20" s="10"/>
      <c r="W20" s="10"/>
      <c r="X20" s="10"/>
      <c r="Y20" s="10" t="s">
        <v>871</v>
      </c>
      <c r="Z20" s="10"/>
      <c r="AA20" s="10"/>
      <c r="AB20" s="10" t="s">
        <v>378</v>
      </c>
      <c r="AC20" s="10" t="s">
        <v>872</v>
      </c>
      <c r="AD20" s="10" t="s">
        <v>873</v>
      </c>
      <c r="AE20" s="10"/>
      <c r="AF20" s="51" t="s">
        <v>721</v>
      </c>
      <c r="AG20" s="10" t="s">
        <v>824</v>
      </c>
      <c r="AH20" s="48"/>
      <c r="AI20" s="48"/>
      <c r="AJ20" s="48"/>
      <c r="AK20" s="48"/>
      <c r="AL20" s="48"/>
      <c r="AM20" s="48"/>
      <c r="AN20" s="48"/>
      <c r="AO20" s="48"/>
      <c r="AP20" s="48"/>
      <c r="AQ20" s="48"/>
      <c r="AR20" s="48"/>
      <c r="AS20" s="48"/>
      <c r="AT20" s="48"/>
      <c r="AU20" s="48"/>
      <c r="AV20" s="48"/>
      <c r="AW20" s="48"/>
      <c r="AX20" s="48"/>
      <c r="AY20" s="48"/>
      <c r="AZ20" s="48"/>
      <c r="BA20" s="48"/>
      <c r="BB20" s="10" t="s">
        <v>413</v>
      </c>
      <c r="BC20" s="10" t="s">
        <v>75</v>
      </c>
      <c r="BD20" s="10" t="s">
        <v>75</v>
      </c>
      <c r="BE20" s="10" t="s">
        <v>428</v>
      </c>
      <c r="BF20" s="10"/>
      <c r="BG20" s="10" t="s">
        <v>874</v>
      </c>
      <c r="BH20" s="10" t="s">
        <v>317</v>
      </c>
      <c r="BI20" s="56"/>
      <c r="BJ20" s="56"/>
      <c r="BK20" s="56"/>
      <c r="BL20" s="56"/>
      <c r="BM20" s="56"/>
      <c r="BN20" s="56"/>
      <c r="BO20" s="56"/>
      <c r="BP20" s="56"/>
      <c r="BQ20" s="56"/>
      <c r="BR20" s="56"/>
      <c r="BS20" s="56"/>
      <c r="BT20" s="56"/>
      <c r="BU20" s="56"/>
      <c r="BV20" s="56"/>
      <c r="BW20" s="56"/>
      <c r="BX20" s="56"/>
    </row>
    <row r="21" hidden="1">
      <c r="A21" s="75" t="str">
        <f t="shared" si="1"/>
        <v>TAJO22</v>
      </c>
      <c r="B21" s="76" t="s">
        <v>790</v>
      </c>
      <c r="C21" s="76" t="s">
        <v>321</v>
      </c>
      <c r="D21" s="76" t="s">
        <v>322</v>
      </c>
      <c r="E21" s="76" t="s">
        <v>691</v>
      </c>
      <c r="F21" s="76" t="s">
        <v>376</v>
      </c>
      <c r="G21" s="76" t="s">
        <v>326</v>
      </c>
      <c r="H21" s="76">
        <v>2022.0</v>
      </c>
      <c r="I21" s="77" t="s">
        <v>875</v>
      </c>
      <c r="J21" s="76" t="s">
        <v>342</v>
      </c>
      <c r="K21" s="78">
        <v>44757.0</v>
      </c>
      <c r="L21" s="78"/>
      <c r="M21" s="76" t="s">
        <v>688</v>
      </c>
      <c r="N21" s="76" t="str">
        <f t="shared" si="2"/>
        <v>Public</v>
      </c>
      <c r="O21" s="76"/>
      <c r="P21" s="76" t="s">
        <v>368</v>
      </c>
      <c r="Q21" s="76" t="s">
        <v>876</v>
      </c>
      <c r="R21" s="76" t="s">
        <v>370</v>
      </c>
      <c r="S21" s="76">
        <v>6.0</v>
      </c>
      <c r="T21" s="76" t="s">
        <v>165</v>
      </c>
      <c r="U21" s="76" t="s">
        <v>824</v>
      </c>
      <c r="V21" s="76"/>
      <c r="W21" s="76"/>
      <c r="X21" s="76"/>
      <c r="Y21" s="76" t="s">
        <v>877</v>
      </c>
      <c r="Z21" s="76"/>
      <c r="AA21" s="76"/>
      <c r="AB21" s="76" t="s">
        <v>878</v>
      </c>
      <c r="AC21" s="76" t="s">
        <v>879</v>
      </c>
      <c r="AD21" s="75"/>
      <c r="AE21" s="79" t="s">
        <v>880</v>
      </c>
      <c r="AF21" s="76" t="s">
        <v>881</v>
      </c>
      <c r="AG21" s="76" t="s">
        <v>824</v>
      </c>
      <c r="AH21" s="75"/>
      <c r="AI21" s="75"/>
      <c r="AJ21" s="75"/>
      <c r="AK21" s="75"/>
      <c r="AL21" s="75"/>
      <c r="AM21" s="75"/>
      <c r="AN21" s="75"/>
      <c r="AO21" s="75"/>
      <c r="AP21" s="75"/>
      <c r="AQ21" s="75"/>
      <c r="AR21" s="75"/>
      <c r="AS21" s="75"/>
      <c r="AT21" s="75"/>
      <c r="AU21" s="75"/>
      <c r="AV21" s="75"/>
      <c r="AW21" s="75"/>
      <c r="AX21" s="75"/>
      <c r="AY21" s="75"/>
      <c r="AZ21" s="75"/>
      <c r="BA21" s="75"/>
      <c r="BB21" s="76" t="s">
        <v>75</v>
      </c>
      <c r="BC21" s="76" t="s">
        <v>80</v>
      </c>
      <c r="BD21" s="76" t="s">
        <v>75</v>
      </c>
      <c r="BE21" s="76" t="s">
        <v>428</v>
      </c>
      <c r="BF21" s="76"/>
      <c r="BG21" s="76" t="s">
        <v>882</v>
      </c>
      <c r="BH21" s="76"/>
      <c r="BI21" s="56"/>
      <c r="BJ21" s="56"/>
      <c r="BK21" s="56"/>
      <c r="BL21" s="56"/>
      <c r="BM21" s="56"/>
      <c r="BN21" s="56"/>
      <c r="BO21" s="56"/>
      <c r="BP21" s="56"/>
      <c r="BQ21" s="56"/>
      <c r="BR21" s="56"/>
      <c r="BS21" s="56"/>
      <c r="BT21" s="56"/>
      <c r="BU21" s="56"/>
      <c r="BV21" s="56"/>
      <c r="BW21" s="56"/>
      <c r="BX21" s="56"/>
    </row>
    <row r="22" hidden="1">
      <c r="A22" s="48" t="str">
        <f t="shared" si="1"/>
        <v>WEJO20</v>
      </c>
      <c r="B22" s="10" t="s">
        <v>790</v>
      </c>
      <c r="C22" s="10" t="s">
        <v>321</v>
      </c>
      <c r="D22" s="10" t="s">
        <v>322</v>
      </c>
      <c r="E22" s="10" t="s">
        <v>883</v>
      </c>
      <c r="F22" s="10" t="s">
        <v>884</v>
      </c>
      <c r="G22" s="10" t="s">
        <v>326</v>
      </c>
      <c r="H22" s="10">
        <v>2020.0</v>
      </c>
      <c r="I22" s="49" t="s">
        <v>885</v>
      </c>
      <c r="J22" s="10" t="s">
        <v>886</v>
      </c>
      <c r="K22" s="64"/>
      <c r="L22" s="64"/>
      <c r="M22" s="10" t="s">
        <v>362</v>
      </c>
      <c r="N22" s="10" t="str">
        <f t="shared" si="2"/>
        <v>Public</v>
      </c>
      <c r="O22" s="10"/>
      <c r="P22" s="10" t="s">
        <v>368</v>
      </c>
      <c r="Q22" s="10" t="s">
        <v>78</v>
      </c>
      <c r="R22" s="10" t="s">
        <v>370</v>
      </c>
      <c r="S22" s="51">
        <v>19.0</v>
      </c>
      <c r="T22" s="10" t="s">
        <v>165</v>
      </c>
      <c r="U22" s="48"/>
      <c r="V22" s="48"/>
      <c r="W22" s="48"/>
      <c r="X22" s="48"/>
      <c r="Y22" s="48"/>
      <c r="Z22" s="48"/>
      <c r="AA22" s="48"/>
      <c r="AB22" s="48"/>
      <c r="AC22" s="48"/>
      <c r="AD22" s="10">
        <v>7.0</v>
      </c>
      <c r="AE22" s="48"/>
      <c r="AF22" s="60"/>
      <c r="AG22" s="48"/>
      <c r="AH22" s="48"/>
      <c r="AI22" s="48"/>
      <c r="AJ22" s="48"/>
      <c r="AK22" s="48"/>
      <c r="AL22" s="48"/>
      <c r="AM22" s="48"/>
      <c r="AN22" s="48"/>
      <c r="AO22" s="48"/>
      <c r="AP22" s="48"/>
      <c r="AQ22" s="48"/>
      <c r="AR22" s="48"/>
      <c r="AS22" s="48"/>
      <c r="AT22" s="48"/>
      <c r="AU22" s="48"/>
      <c r="AV22" s="48"/>
      <c r="AW22" s="48"/>
      <c r="AX22" s="48"/>
      <c r="AY22" s="48"/>
      <c r="AZ22" s="48"/>
      <c r="BA22" s="48"/>
      <c r="BB22" s="48"/>
      <c r="BC22" s="10"/>
      <c r="BD22" s="10" t="s">
        <v>75</v>
      </c>
      <c r="BE22" s="10" t="s">
        <v>428</v>
      </c>
      <c r="BF22" s="48"/>
      <c r="BG22" s="48"/>
      <c r="BH22" s="48"/>
      <c r="BI22" s="56"/>
      <c r="BJ22" s="56"/>
      <c r="BK22" s="56"/>
      <c r="BL22" s="56"/>
      <c r="BM22" s="56"/>
      <c r="BN22" s="56"/>
      <c r="BO22" s="56"/>
      <c r="BP22" s="56"/>
      <c r="BQ22" s="56"/>
      <c r="BR22" s="56"/>
      <c r="BS22" s="56"/>
      <c r="BT22" s="56"/>
      <c r="BU22" s="56"/>
      <c r="BV22" s="56"/>
      <c r="BW22" s="56"/>
      <c r="BX22" s="56"/>
    </row>
    <row r="23" hidden="1">
      <c r="A23" s="48" t="str">
        <f t="shared" si="1"/>
        <v>YUZH18</v>
      </c>
      <c r="B23" s="10" t="s">
        <v>322</v>
      </c>
      <c r="C23" s="10"/>
      <c r="D23" s="10"/>
      <c r="E23" s="10" t="s">
        <v>887</v>
      </c>
      <c r="F23" s="10" t="s">
        <v>888</v>
      </c>
      <c r="G23" s="10" t="s">
        <v>889</v>
      </c>
      <c r="H23" s="10">
        <v>2018.0</v>
      </c>
      <c r="I23" s="58" t="s">
        <v>890</v>
      </c>
      <c r="J23" s="10" t="s">
        <v>174</v>
      </c>
      <c r="K23" s="64"/>
      <c r="L23" s="64"/>
      <c r="M23" s="49" t="s">
        <v>891</v>
      </c>
      <c r="N23" s="10" t="b">
        <f t="shared" si="2"/>
        <v>0</v>
      </c>
      <c r="O23" s="10" t="s">
        <v>900</v>
      </c>
      <c r="P23" s="10" t="s">
        <v>833</v>
      </c>
      <c r="Q23" s="48"/>
      <c r="R23" s="59" t="s">
        <v>903</v>
      </c>
      <c r="S23" s="60"/>
      <c r="T23" s="48"/>
      <c r="U23" s="48"/>
      <c r="V23" s="48"/>
      <c r="W23" s="48"/>
      <c r="X23" s="48"/>
      <c r="Y23" s="48"/>
      <c r="Z23" s="48"/>
      <c r="AA23" s="48"/>
      <c r="AB23" s="48"/>
      <c r="AC23" s="48"/>
      <c r="AD23" s="48"/>
      <c r="AE23" s="48"/>
      <c r="AF23" s="60"/>
      <c r="AG23" s="48"/>
      <c r="AH23" s="10"/>
      <c r="AI23" s="10"/>
      <c r="AJ23" s="10"/>
      <c r="AK23" s="10"/>
      <c r="AL23" s="10"/>
      <c r="AM23" s="10"/>
      <c r="AN23" s="10"/>
      <c r="AO23" s="10"/>
      <c r="AP23" s="10"/>
      <c r="AQ23" s="10"/>
      <c r="AR23" s="10"/>
      <c r="AS23" s="10"/>
      <c r="AT23" s="10"/>
      <c r="AU23" s="10"/>
      <c r="AV23" s="10"/>
      <c r="AW23" s="10"/>
      <c r="AX23" s="10"/>
      <c r="AY23" s="10"/>
      <c r="AZ23" s="10"/>
      <c r="BA23" s="10"/>
      <c r="BB23" s="10" t="s">
        <v>80</v>
      </c>
      <c r="BC23" s="10" t="s">
        <v>80</v>
      </c>
      <c r="BD23" s="10" t="s">
        <v>80</v>
      </c>
      <c r="BE23" s="10" t="s">
        <v>428</v>
      </c>
      <c r="BF23" s="48"/>
      <c r="BG23" s="48"/>
      <c r="BH23" s="48"/>
      <c r="BI23" s="48"/>
      <c r="BJ23" s="48"/>
      <c r="BK23" s="48"/>
      <c r="BL23" s="48"/>
      <c r="BM23" s="48"/>
      <c r="BN23" s="48"/>
      <c r="BO23" s="48"/>
      <c r="BP23" s="48"/>
      <c r="BQ23" s="48"/>
      <c r="BR23" s="48"/>
      <c r="BS23" s="48"/>
      <c r="BT23" s="48"/>
      <c r="BU23" s="48"/>
      <c r="BV23" s="48"/>
      <c r="BW23" s="48"/>
      <c r="BX23" s="48"/>
    </row>
    <row r="24" hidden="1">
      <c r="A24" s="48" t="str">
        <f t="shared" si="1"/>
        <v>ZOJE24</v>
      </c>
      <c r="B24" s="10" t="s">
        <v>798</v>
      </c>
      <c r="C24" s="10" t="s">
        <v>321</v>
      </c>
      <c r="D24" s="10" t="s">
        <v>322</v>
      </c>
      <c r="E24" s="10" t="s">
        <v>915</v>
      </c>
      <c r="F24" s="10" t="s">
        <v>916</v>
      </c>
      <c r="G24" s="10" t="s">
        <v>917</v>
      </c>
      <c r="H24" s="10">
        <v>2024.0</v>
      </c>
      <c r="I24" s="85" t="s">
        <v>918</v>
      </c>
      <c r="J24" s="10" t="s">
        <v>924</v>
      </c>
      <c r="K24" s="50">
        <v>45364.0</v>
      </c>
      <c r="L24" s="50"/>
      <c r="M24" s="10" t="s">
        <v>925</v>
      </c>
      <c r="N24" s="10" t="str">
        <f t="shared" si="2"/>
        <v>Public</v>
      </c>
      <c r="O24" s="10"/>
      <c r="P24" s="10" t="s">
        <v>368</v>
      </c>
      <c r="Q24" s="10" t="s">
        <v>927</v>
      </c>
      <c r="R24" s="10" t="s">
        <v>370</v>
      </c>
      <c r="S24" s="51">
        <v>6.0</v>
      </c>
      <c r="T24" s="10" t="s">
        <v>165</v>
      </c>
      <c r="U24" s="10" t="s">
        <v>929</v>
      </c>
      <c r="V24" s="10"/>
      <c r="W24" s="10"/>
      <c r="X24" s="10"/>
      <c r="Y24" s="10"/>
      <c r="Z24" s="10"/>
      <c r="AA24" s="10"/>
      <c r="AB24" s="10" t="s">
        <v>714</v>
      </c>
      <c r="AC24" s="10" t="s">
        <v>931</v>
      </c>
      <c r="AD24" s="10" t="s">
        <v>933</v>
      </c>
      <c r="AE24" s="10"/>
      <c r="AF24" s="51" t="s">
        <v>630</v>
      </c>
      <c r="AG24" s="10"/>
      <c r="AH24" s="48"/>
      <c r="AI24" s="48"/>
      <c r="AJ24" s="48"/>
      <c r="AK24" s="48"/>
      <c r="AL24" s="48"/>
      <c r="AM24" s="48"/>
      <c r="AN24" s="48"/>
      <c r="AO24" s="48"/>
      <c r="AP24" s="48"/>
      <c r="AQ24" s="48"/>
      <c r="AR24" s="48"/>
      <c r="AS24" s="48"/>
      <c r="AT24" s="48"/>
      <c r="AU24" s="48"/>
      <c r="AV24" s="48"/>
      <c r="AW24" s="48"/>
      <c r="AX24" s="48"/>
      <c r="AY24" s="48"/>
      <c r="AZ24" s="48"/>
      <c r="BA24" s="48"/>
      <c r="BB24" s="10" t="s">
        <v>413</v>
      </c>
      <c r="BC24" s="10" t="s">
        <v>75</v>
      </c>
      <c r="BD24" s="10" t="s">
        <v>75</v>
      </c>
      <c r="BE24" s="10" t="s">
        <v>428</v>
      </c>
      <c r="BF24" s="48"/>
      <c r="BG24" s="48"/>
      <c r="BH24" s="48"/>
      <c r="BI24" s="56"/>
      <c r="BJ24" s="56"/>
      <c r="BK24" s="56"/>
      <c r="BL24" s="56"/>
      <c r="BM24" s="56"/>
      <c r="BN24" s="56"/>
      <c r="BO24" s="56"/>
      <c r="BP24" s="56"/>
      <c r="BQ24" s="56"/>
      <c r="BR24" s="56"/>
      <c r="BS24" s="56"/>
      <c r="BT24" s="56"/>
      <c r="BU24" s="56"/>
      <c r="BV24" s="56"/>
      <c r="BW24" s="56"/>
      <c r="BX24" s="56"/>
    </row>
    <row r="25" hidden="1">
      <c r="A25" s="48" t="str">
        <f t="shared" si="1"/>
        <v>XIST23</v>
      </c>
      <c r="B25" s="10" t="s">
        <v>798</v>
      </c>
      <c r="C25" s="10"/>
      <c r="D25" s="10"/>
      <c r="E25" s="10" t="s">
        <v>944</v>
      </c>
      <c r="F25" s="10" t="s">
        <v>945</v>
      </c>
      <c r="G25" s="10" t="s">
        <v>946</v>
      </c>
      <c r="H25" s="10">
        <v>2023.0</v>
      </c>
      <c r="I25" s="10" t="s">
        <v>947</v>
      </c>
      <c r="J25" s="10" t="s">
        <v>948</v>
      </c>
      <c r="K25" s="50">
        <v>45106.0</v>
      </c>
      <c r="L25" s="50" t="s">
        <v>952</v>
      </c>
      <c r="M25" s="10" t="s">
        <v>954</v>
      </c>
      <c r="N25" s="10" t="s">
        <v>368</v>
      </c>
      <c r="O25" s="10" t="s">
        <v>956</v>
      </c>
      <c r="P25" s="10" t="s">
        <v>833</v>
      </c>
      <c r="Q25" s="10" t="s">
        <v>958</v>
      </c>
      <c r="R25" s="10" t="s">
        <v>958</v>
      </c>
      <c r="S25" s="51" t="s">
        <v>961</v>
      </c>
      <c r="T25" s="10" t="s">
        <v>165</v>
      </c>
      <c r="U25" s="48"/>
      <c r="V25" s="48"/>
      <c r="W25" s="48"/>
      <c r="X25" s="48"/>
      <c r="Y25" s="48"/>
      <c r="Z25" s="48"/>
      <c r="AA25" s="48"/>
      <c r="AB25" s="10" t="s">
        <v>878</v>
      </c>
      <c r="AC25" s="48"/>
      <c r="AD25" s="48"/>
      <c r="AE25" s="48"/>
      <c r="AF25" s="60"/>
      <c r="AG25" s="48"/>
      <c r="AH25" s="48"/>
      <c r="AI25" s="48"/>
      <c r="AJ25" s="48"/>
      <c r="AK25" s="48"/>
      <c r="AL25" s="48"/>
      <c r="AM25" s="48"/>
      <c r="AN25" s="48"/>
      <c r="AO25" s="48"/>
      <c r="AP25" s="48"/>
      <c r="AQ25" s="48"/>
      <c r="AR25" s="48"/>
      <c r="AS25" s="48"/>
      <c r="AT25" s="48"/>
      <c r="AU25" s="48"/>
      <c r="AV25" s="48"/>
      <c r="AW25" s="48"/>
      <c r="AX25" s="48"/>
      <c r="AY25" s="48"/>
      <c r="AZ25" s="48"/>
      <c r="BA25" s="48"/>
      <c r="BB25" s="48"/>
      <c r="BC25" s="10" t="s">
        <v>80</v>
      </c>
      <c r="BD25" s="10" t="s">
        <v>75</v>
      </c>
      <c r="BE25" s="10" t="s">
        <v>428</v>
      </c>
      <c r="BF25" s="48"/>
      <c r="BG25" s="48"/>
      <c r="BH25" s="48"/>
      <c r="BI25" s="48"/>
      <c r="BJ25" s="48"/>
      <c r="BK25" s="48"/>
      <c r="BL25" s="48"/>
      <c r="BM25" s="48"/>
      <c r="BN25" s="48"/>
      <c r="BO25" s="48"/>
      <c r="BP25" s="48"/>
      <c r="BQ25" s="48"/>
      <c r="BR25" s="48"/>
      <c r="BS25" s="48"/>
      <c r="BT25" s="48"/>
      <c r="BU25" s="48"/>
      <c r="BV25" s="48"/>
      <c r="BW25" s="48"/>
      <c r="BX25" s="48"/>
    </row>
    <row r="26" hidden="1">
      <c r="A26" s="75" t="str">
        <f t="shared" si="1"/>
        <v>ANAY24</v>
      </c>
      <c r="B26" s="76" t="s">
        <v>798</v>
      </c>
      <c r="C26" s="76" t="s">
        <v>321</v>
      </c>
      <c r="D26" s="76" t="s">
        <v>322</v>
      </c>
      <c r="E26" s="76" t="s">
        <v>540</v>
      </c>
      <c r="F26" s="76" t="s">
        <v>542</v>
      </c>
      <c r="G26" s="76" t="s">
        <v>544</v>
      </c>
      <c r="H26" s="76">
        <v>2024.0</v>
      </c>
      <c r="I26" s="77" t="s">
        <v>972</v>
      </c>
      <c r="J26" s="76" t="s">
        <v>170</v>
      </c>
      <c r="K26" s="78">
        <v>45300.0</v>
      </c>
      <c r="L26" s="78" t="s">
        <v>952</v>
      </c>
      <c r="M26" s="76" t="s">
        <v>975</v>
      </c>
      <c r="N26" s="76" t="s">
        <v>368</v>
      </c>
      <c r="O26" s="76" t="s">
        <v>976</v>
      </c>
      <c r="P26" s="76" t="s">
        <v>977</v>
      </c>
      <c r="Q26" s="76" t="s">
        <v>980</v>
      </c>
      <c r="R26" s="76" t="s">
        <v>981</v>
      </c>
      <c r="S26" s="75"/>
      <c r="T26" s="76" t="s">
        <v>165</v>
      </c>
      <c r="U26" s="75"/>
      <c r="V26" s="75"/>
      <c r="W26" s="75"/>
      <c r="X26" s="75"/>
      <c r="Y26" s="75"/>
      <c r="Z26" s="76" t="s">
        <v>982</v>
      </c>
      <c r="AA26" s="76" t="s">
        <v>983</v>
      </c>
      <c r="AB26" s="76" t="s">
        <v>984</v>
      </c>
      <c r="AC26" s="76" t="s">
        <v>985</v>
      </c>
      <c r="AD26" s="75"/>
      <c r="AE26" s="75"/>
      <c r="AF26" s="90" t="s">
        <v>823</v>
      </c>
      <c r="AG26" s="75"/>
      <c r="AH26" s="75"/>
      <c r="AI26" s="75"/>
      <c r="AJ26" s="75"/>
      <c r="AK26" s="75"/>
      <c r="AL26" s="75"/>
      <c r="AM26" s="75"/>
      <c r="AN26" s="75"/>
      <c r="AO26" s="75"/>
      <c r="AP26" s="75"/>
      <c r="AQ26" s="75"/>
      <c r="AR26" s="75"/>
      <c r="AS26" s="75"/>
      <c r="AT26" s="75"/>
      <c r="AU26" s="75"/>
      <c r="AV26" s="75"/>
      <c r="AW26" s="75"/>
      <c r="AX26" s="75"/>
      <c r="AY26" s="75"/>
      <c r="AZ26" s="75"/>
      <c r="BA26" s="75"/>
      <c r="BB26" s="75"/>
      <c r="BC26" s="76" t="s">
        <v>80</v>
      </c>
      <c r="BD26" s="76" t="s">
        <v>75</v>
      </c>
      <c r="BE26" s="76" t="s">
        <v>428</v>
      </c>
      <c r="BF26" s="75"/>
      <c r="BG26" s="75"/>
      <c r="BH26" s="75"/>
      <c r="BI26" s="56"/>
      <c r="BJ26" s="56"/>
      <c r="BK26" s="56"/>
      <c r="BL26" s="56"/>
      <c r="BM26" s="56"/>
      <c r="BN26" s="56"/>
      <c r="BO26" s="56"/>
      <c r="BP26" s="56"/>
      <c r="BQ26" s="56"/>
      <c r="BR26" s="56"/>
      <c r="BS26" s="56"/>
      <c r="BT26" s="56"/>
      <c r="BU26" s="56"/>
      <c r="BV26" s="56"/>
      <c r="BW26" s="56"/>
      <c r="BX26" s="56"/>
    </row>
    <row r="27" hidden="1">
      <c r="A27" s="48" t="str">
        <f t="shared" si="1"/>
        <v>CLAN22</v>
      </c>
      <c r="B27" s="10" t="s">
        <v>798</v>
      </c>
      <c r="C27" s="10"/>
      <c r="D27" s="10"/>
      <c r="E27" s="10" t="s">
        <v>997</v>
      </c>
      <c r="F27" s="10" t="s">
        <v>999</v>
      </c>
      <c r="G27" s="10" t="s">
        <v>1000</v>
      </c>
      <c r="H27" s="10">
        <v>2022.0</v>
      </c>
      <c r="I27" s="10" t="s">
        <v>1001</v>
      </c>
      <c r="J27" s="10" t="s">
        <v>170</v>
      </c>
      <c r="K27" s="50">
        <v>44841.0</v>
      </c>
      <c r="L27" s="50" t="s">
        <v>1005</v>
      </c>
      <c r="M27" s="10" t="s">
        <v>1006</v>
      </c>
      <c r="N27" s="10" t="s">
        <v>368</v>
      </c>
      <c r="O27" s="48"/>
      <c r="P27" s="10" t="s">
        <v>368</v>
      </c>
      <c r="Q27" s="10" t="s">
        <v>1010</v>
      </c>
      <c r="R27" s="10" t="s">
        <v>1011</v>
      </c>
      <c r="S27" s="51">
        <v>5.0</v>
      </c>
      <c r="T27" s="10" t="s">
        <v>165</v>
      </c>
      <c r="U27" s="48"/>
      <c r="V27" s="48"/>
      <c r="W27" s="48"/>
      <c r="X27" s="48"/>
      <c r="Y27" s="48"/>
      <c r="Z27" s="10">
        <v>3.0</v>
      </c>
      <c r="AA27" s="10">
        <v>2.0</v>
      </c>
      <c r="AB27" s="48"/>
      <c r="AC27" s="48"/>
      <c r="AD27" s="48"/>
      <c r="AE27" s="48"/>
      <c r="AF27" s="51" t="s">
        <v>823</v>
      </c>
      <c r="AG27" s="48"/>
      <c r="AH27" s="48"/>
      <c r="AI27" s="48"/>
      <c r="AJ27" s="48"/>
      <c r="AK27" s="48"/>
      <c r="AL27" s="48"/>
      <c r="AM27" s="48"/>
      <c r="AN27" s="48"/>
      <c r="AO27" s="48"/>
      <c r="AP27" s="48"/>
      <c r="AQ27" s="48"/>
      <c r="AR27" s="48"/>
      <c r="AS27" s="48"/>
      <c r="AT27" s="48"/>
      <c r="AU27" s="48"/>
      <c r="AV27" s="48"/>
      <c r="AW27" s="48"/>
      <c r="AX27" s="48"/>
      <c r="AY27" s="48"/>
      <c r="AZ27" s="48"/>
      <c r="BA27" s="48"/>
      <c r="BB27" s="48"/>
      <c r="BC27" s="10" t="s">
        <v>80</v>
      </c>
      <c r="BD27" s="10" t="s">
        <v>75</v>
      </c>
      <c r="BE27" s="10" t="s">
        <v>428</v>
      </c>
      <c r="BF27" s="48"/>
      <c r="BG27" s="48"/>
      <c r="BH27" s="48"/>
      <c r="BI27" s="48"/>
      <c r="BJ27" s="48"/>
      <c r="BK27" s="48"/>
      <c r="BL27" s="48"/>
      <c r="BM27" s="48"/>
      <c r="BN27" s="48"/>
      <c r="BO27" s="48"/>
      <c r="BP27" s="48"/>
      <c r="BQ27" s="48"/>
      <c r="BR27" s="48"/>
      <c r="BS27" s="48"/>
      <c r="BT27" s="48"/>
      <c r="BU27" s="48"/>
      <c r="BV27" s="48"/>
      <c r="BW27" s="48"/>
      <c r="BX27" s="48"/>
    </row>
    <row r="28" hidden="1">
      <c r="A28" s="48" t="str">
        <f t="shared" si="1"/>
        <v>MAN/25</v>
      </c>
      <c r="B28" s="10" t="s">
        <v>798</v>
      </c>
      <c r="C28" s="10"/>
      <c r="D28" s="10"/>
      <c r="E28" s="10" t="s">
        <v>1018</v>
      </c>
      <c r="F28" s="10" t="s">
        <v>1019</v>
      </c>
      <c r="G28" s="10" t="s">
        <v>931</v>
      </c>
      <c r="H28" s="10">
        <v>2025.0</v>
      </c>
      <c r="I28" s="10" t="s">
        <v>931</v>
      </c>
      <c r="J28" s="10" t="s">
        <v>174</v>
      </c>
      <c r="K28" s="50">
        <v>45854.0</v>
      </c>
      <c r="L28" s="50" t="s">
        <v>1021</v>
      </c>
      <c r="M28" s="10" t="s">
        <v>1022</v>
      </c>
      <c r="N28" s="10" t="s">
        <v>368</v>
      </c>
      <c r="O28" s="10" t="s">
        <v>1026</v>
      </c>
      <c r="P28" s="59" t="s">
        <v>368</v>
      </c>
      <c r="Q28" s="10" t="s">
        <v>1028</v>
      </c>
      <c r="R28" s="10" t="s">
        <v>1029</v>
      </c>
      <c r="S28" s="51">
        <v>3.0</v>
      </c>
      <c r="T28" s="10" t="s">
        <v>73</v>
      </c>
      <c r="U28" s="48"/>
      <c r="V28" s="48"/>
      <c r="W28" s="10">
        <v>5.0</v>
      </c>
      <c r="X28" s="10">
        <v>5.0</v>
      </c>
      <c r="Y28" s="48"/>
      <c r="Z28" s="48"/>
      <c r="AA28" s="48"/>
      <c r="AB28" s="48"/>
      <c r="AC28" s="48"/>
      <c r="AD28" s="48"/>
      <c r="AE28" s="48"/>
      <c r="AF28" s="60"/>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row>
    <row r="29" hidden="1">
      <c r="A29" s="48" t="str">
        <f t="shared" si="1"/>
        <v>EFIS24</v>
      </c>
      <c r="B29" s="10" t="s">
        <v>798</v>
      </c>
      <c r="C29" s="10"/>
      <c r="D29" s="10"/>
      <c r="E29" s="10" t="s">
        <v>1047</v>
      </c>
      <c r="F29" s="10" t="s">
        <v>1048</v>
      </c>
      <c r="G29" s="10" t="s">
        <v>1049</v>
      </c>
      <c r="H29" s="10">
        <v>2024.0</v>
      </c>
      <c r="I29" s="10" t="s">
        <v>1050</v>
      </c>
      <c r="J29" s="10" t="s">
        <v>826</v>
      </c>
      <c r="K29" s="50">
        <v>45628.0</v>
      </c>
      <c r="L29" s="50" t="s">
        <v>1052</v>
      </c>
      <c r="M29" s="10" t="s">
        <v>1053</v>
      </c>
      <c r="N29" s="10" t="s">
        <v>368</v>
      </c>
      <c r="O29" s="10" t="s">
        <v>1026</v>
      </c>
      <c r="P29" s="59" t="s">
        <v>368</v>
      </c>
      <c r="Q29" s="10" t="s">
        <v>1055</v>
      </c>
      <c r="R29" s="59" t="s">
        <v>1029</v>
      </c>
      <c r="S29" s="51">
        <v>28.0</v>
      </c>
      <c r="T29" s="10" t="s">
        <v>165</v>
      </c>
      <c r="U29" s="48"/>
      <c r="V29" s="48"/>
      <c r="W29" s="48"/>
      <c r="X29" s="48"/>
      <c r="Y29" s="48"/>
      <c r="Z29" s="48"/>
      <c r="AA29" s="48"/>
      <c r="AB29" s="48"/>
      <c r="AC29" s="48"/>
      <c r="AD29" s="48"/>
      <c r="AE29" s="48"/>
      <c r="AF29" s="60"/>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row>
    <row r="30" hidden="1">
      <c r="A30" s="48" t="str">
        <f t="shared" si="1"/>
        <v>SUFI24</v>
      </c>
      <c r="B30" s="10" t="s">
        <v>798</v>
      </c>
      <c r="C30" s="10"/>
      <c r="D30" s="10"/>
      <c r="E30" s="10" t="s">
        <v>1062</v>
      </c>
      <c r="F30" s="10" t="s">
        <v>1063</v>
      </c>
      <c r="G30" s="10" t="s">
        <v>1064</v>
      </c>
      <c r="H30" s="10">
        <v>2024.0</v>
      </c>
      <c r="I30" s="10" t="s">
        <v>931</v>
      </c>
      <c r="J30" s="10" t="s">
        <v>174</v>
      </c>
      <c r="K30" s="50">
        <v>45473.0</v>
      </c>
      <c r="L30" s="50" t="s">
        <v>345</v>
      </c>
      <c r="M30" s="10" t="s">
        <v>1065</v>
      </c>
      <c r="N30" s="10" t="s">
        <v>368</v>
      </c>
      <c r="O30" s="10" t="s">
        <v>1026</v>
      </c>
      <c r="P30" s="59" t="s">
        <v>368</v>
      </c>
      <c r="Q30" s="10" t="s">
        <v>1066</v>
      </c>
      <c r="R30" s="59" t="s">
        <v>1029</v>
      </c>
      <c r="S30" s="51">
        <v>36.0</v>
      </c>
      <c r="T30" s="10" t="s">
        <v>165</v>
      </c>
      <c r="U30" s="48"/>
      <c r="V30" s="48"/>
      <c r="W30" s="48"/>
      <c r="X30" s="48"/>
      <c r="Y30" s="48"/>
      <c r="Z30" s="48"/>
      <c r="AA30" s="48"/>
      <c r="AB30" s="48"/>
      <c r="AC30" s="48"/>
      <c r="AD30" s="48"/>
      <c r="AE30" s="48"/>
      <c r="AF30" s="60"/>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row>
    <row r="31" hidden="1">
      <c r="A31" s="48" t="str">
        <f t="shared" si="1"/>
        <v>FEXU21</v>
      </c>
      <c r="B31" s="10" t="s">
        <v>798</v>
      </c>
      <c r="C31" s="10"/>
      <c r="D31" s="10"/>
      <c r="E31" s="10" t="s">
        <v>1075</v>
      </c>
      <c r="F31" s="10" t="s">
        <v>202</v>
      </c>
      <c r="G31" s="10" t="s">
        <v>1077</v>
      </c>
      <c r="H31" s="10">
        <v>2021.0</v>
      </c>
      <c r="I31" s="10" t="s">
        <v>1078</v>
      </c>
      <c r="J31" s="10" t="s">
        <v>826</v>
      </c>
      <c r="K31" s="50">
        <v>44387.0</v>
      </c>
      <c r="L31" s="50" t="s">
        <v>345</v>
      </c>
      <c r="M31" s="10" t="s">
        <v>1080</v>
      </c>
      <c r="N31" s="10" t="s">
        <v>368</v>
      </c>
      <c r="O31" s="10" t="s">
        <v>1026</v>
      </c>
      <c r="P31" s="59" t="s">
        <v>368</v>
      </c>
      <c r="Q31" s="10" t="s">
        <v>1082</v>
      </c>
      <c r="R31" s="59" t="s">
        <v>1029</v>
      </c>
      <c r="S31" s="51">
        <v>8.0</v>
      </c>
      <c r="T31" s="10" t="s">
        <v>165</v>
      </c>
      <c r="U31" s="10" t="s">
        <v>1083</v>
      </c>
      <c r="V31" s="48"/>
      <c r="W31" s="48"/>
      <c r="X31" s="48"/>
      <c r="Y31" s="48"/>
      <c r="Z31" s="48"/>
      <c r="AA31" s="48"/>
      <c r="AB31" s="48"/>
      <c r="AC31" s="48"/>
      <c r="AD31" s="48"/>
      <c r="AE31" s="48"/>
      <c r="AF31" s="60"/>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row>
    <row r="32" hidden="1">
      <c r="A32" s="48" t="str">
        <f t="shared" si="1"/>
        <v>PEHI21</v>
      </c>
      <c r="B32" s="10" t="s">
        <v>798</v>
      </c>
      <c r="C32" s="10"/>
      <c r="D32" s="10"/>
      <c r="E32" s="10" t="s">
        <v>1087</v>
      </c>
      <c r="F32" s="10" t="s">
        <v>1088</v>
      </c>
      <c r="G32" s="10" t="s">
        <v>1089</v>
      </c>
      <c r="H32" s="10">
        <v>2021.0</v>
      </c>
      <c r="I32" s="10" t="s">
        <v>1090</v>
      </c>
      <c r="J32" s="10" t="s">
        <v>826</v>
      </c>
      <c r="K32" s="50">
        <v>44266.0</v>
      </c>
      <c r="L32" s="50" t="s">
        <v>345</v>
      </c>
      <c r="M32" s="10" t="s">
        <v>1091</v>
      </c>
      <c r="N32" s="10" t="s">
        <v>368</v>
      </c>
      <c r="O32" s="10" t="s">
        <v>1026</v>
      </c>
      <c r="P32" s="59" t="s">
        <v>368</v>
      </c>
      <c r="Q32" s="10" t="s">
        <v>1093</v>
      </c>
      <c r="R32" s="59" t="s">
        <v>1029</v>
      </c>
      <c r="S32" s="51">
        <v>8.0</v>
      </c>
      <c r="T32" s="10" t="s">
        <v>857</v>
      </c>
      <c r="U32" s="48"/>
      <c r="V32" s="48"/>
      <c r="W32" s="48"/>
      <c r="X32" s="48"/>
      <c r="Y32" s="48"/>
      <c r="Z32" s="48"/>
      <c r="AA32" s="48"/>
      <c r="AB32" s="48"/>
      <c r="AC32" s="48"/>
      <c r="AD32" s="48"/>
      <c r="AE32" s="48"/>
      <c r="AF32" s="60"/>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row>
    <row r="33" hidden="1">
      <c r="A33" s="48" t="str">
        <f t="shared" si="1"/>
        <v>JEDO19</v>
      </c>
      <c r="B33" s="10" t="s">
        <v>798</v>
      </c>
      <c r="C33" s="10"/>
      <c r="D33" s="10"/>
      <c r="E33" s="10" t="s">
        <v>1103</v>
      </c>
      <c r="F33" s="10" t="s">
        <v>1104</v>
      </c>
      <c r="G33" s="10" t="s">
        <v>1105</v>
      </c>
      <c r="H33" s="10">
        <v>2019.0</v>
      </c>
      <c r="I33" s="10" t="s">
        <v>1106</v>
      </c>
      <c r="J33" s="10" t="s">
        <v>826</v>
      </c>
      <c r="K33" s="50">
        <v>43580.0</v>
      </c>
      <c r="L33" s="50" t="s">
        <v>345</v>
      </c>
      <c r="M33" s="10" t="s">
        <v>1108</v>
      </c>
      <c r="N33" s="10" t="s">
        <v>368</v>
      </c>
      <c r="O33" s="10" t="s">
        <v>1026</v>
      </c>
      <c r="P33" s="59" t="s">
        <v>368</v>
      </c>
      <c r="Q33" s="10" t="s">
        <v>1109</v>
      </c>
      <c r="R33" s="59" t="s">
        <v>1029</v>
      </c>
      <c r="S33" s="51">
        <v>18.0</v>
      </c>
      <c r="T33" s="10" t="s">
        <v>165</v>
      </c>
      <c r="U33" s="10" t="s">
        <v>1111</v>
      </c>
      <c r="V33" s="48"/>
      <c r="W33" s="48"/>
      <c r="X33" s="48"/>
      <c r="Y33" s="48"/>
      <c r="Z33" s="48"/>
      <c r="AA33" s="48"/>
      <c r="AB33" s="48"/>
      <c r="AC33" s="48"/>
      <c r="AD33" s="48"/>
      <c r="AE33" s="48"/>
      <c r="AF33" s="60"/>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row>
    <row r="34" hidden="1">
      <c r="A34" s="48" t="str">
        <f t="shared" si="1"/>
        <v>SEFR16</v>
      </c>
      <c r="B34" s="10" t="s">
        <v>790</v>
      </c>
      <c r="C34" s="10"/>
      <c r="D34" s="10"/>
      <c r="E34" s="10" t="s">
        <v>1115</v>
      </c>
      <c r="F34" s="10" t="s">
        <v>1116</v>
      </c>
      <c r="G34" s="10" t="s">
        <v>1117</v>
      </c>
      <c r="H34" s="10">
        <v>2016.0</v>
      </c>
      <c r="I34" s="58" t="s">
        <v>1118</v>
      </c>
      <c r="J34" s="10" t="s">
        <v>1122</v>
      </c>
      <c r="K34" s="50">
        <v>42569.0</v>
      </c>
      <c r="L34" s="50" t="s">
        <v>345</v>
      </c>
      <c r="M34" s="10" t="s">
        <v>1124</v>
      </c>
      <c r="N34" s="10" t="s">
        <v>1125</v>
      </c>
      <c r="O34" s="10" t="s">
        <v>1129</v>
      </c>
      <c r="P34" s="48"/>
      <c r="Q34" s="10" t="s">
        <v>1130</v>
      </c>
      <c r="R34" s="59" t="s">
        <v>781</v>
      </c>
      <c r="S34" s="51">
        <v>10.0</v>
      </c>
      <c r="T34" s="10" t="s">
        <v>165</v>
      </c>
      <c r="U34" s="10" t="s">
        <v>1131</v>
      </c>
      <c r="V34" s="48"/>
      <c r="W34" s="10">
        <v>5.0</v>
      </c>
      <c r="X34" s="10">
        <v>5.0</v>
      </c>
      <c r="Y34" s="48"/>
      <c r="Z34" s="10" t="s">
        <v>1133</v>
      </c>
      <c r="AA34" s="10" t="s">
        <v>1134</v>
      </c>
      <c r="AB34" s="10" t="s">
        <v>984</v>
      </c>
      <c r="AC34" s="10" t="s">
        <v>985</v>
      </c>
      <c r="AD34" s="10">
        <v>10.0</v>
      </c>
      <c r="AE34" s="48"/>
      <c r="AF34" s="119" t="s">
        <v>823</v>
      </c>
      <c r="AG34" s="59" t="s">
        <v>1144</v>
      </c>
      <c r="AH34" s="10"/>
      <c r="AI34" s="10"/>
      <c r="AJ34" s="10"/>
      <c r="AK34" s="10"/>
      <c r="AL34" s="10"/>
      <c r="AM34" s="10"/>
      <c r="AN34" s="10"/>
      <c r="AO34" s="10"/>
      <c r="AP34" s="10"/>
      <c r="AQ34" s="10"/>
      <c r="AR34" s="10"/>
      <c r="AS34" s="10"/>
      <c r="AT34" s="10"/>
      <c r="AU34" s="10"/>
      <c r="AV34" s="10"/>
      <c r="AW34" s="10"/>
      <c r="AX34" s="10"/>
      <c r="AY34" s="10"/>
      <c r="AZ34" s="10"/>
      <c r="BA34" s="10"/>
      <c r="BB34" s="10" t="s">
        <v>75</v>
      </c>
      <c r="BC34" s="10" t="s">
        <v>75</v>
      </c>
      <c r="BD34" s="48"/>
      <c r="BE34" s="48"/>
      <c r="BF34" s="10"/>
      <c r="BG34" s="10" t="s">
        <v>1145</v>
      </c>
      <c r="BH34" s="10"/>
      <c r="BI34" s="48"/>
      <c r="BJ34" s="48"/>
      <c r="BK34" s="48"/>
      <c r="BL34" s="48"/>
      <c r="BM34" s="48"/>
      <c r="BN34" s="48"/>
      <c r="BO34" s="48"/>
      <c r="BP34" s="48"/>
      <c r="BQ34" s="48"/>
      <c r="BR34" s="48"/>
      <c r="BS34" s="48"/>
      <c r="BT34" s="48"/>
      <c r="BU34" s="48"/>
      <c r="BV34" s="48"/>
      <c r="BW34" s="48"/>
      <c r="BX34" s="48"/>
    </row>
    <row r="35" hidden="1">
      <c r="A35" s="48" t="str">
        <f t="shared" si="1"/>
        <v>LIMI21</v>
      </c>
      <c r="B35" s="10" t="s">
        <v>790</v>
      </c>
      <c r="C35" s="10"/>
      <c r="D35" s="10"/>
      <c r="E35" s="10" t="s">
        <v>1146</v>
      </c>
      <c r="F35" s="10" t="s">
        <v>1147</v>
      </c>
      <c r="G35" s="10" t="s">
        <v>1148</v>
      </c>
      <c r="H35" s="10">
        <v>2021.0</v>
      </c>
      <c r="I35" s="49" t="s">
        <v>1151</v>
      </c>
      <c r="J35" s="48"/>
      <c r="K35" s="64"/>
      <c r="L35" s="50" t="s">
        <v>1153</v>
      </c>
      <c r="M35" s="48"/>
      <c r="N35" s="48"/>
      <c r="O35" s="48"/>
      <c r="P35" s="48"/>
      <c r="Q35" s="48"/>
      <c r="R35" s="59" t="s">
        <v>1154</v>
      </c>
      <c r="S35" s="60"/>
      <c r="T35" s="48"/>
      <c r="U35" s="48"/>
      <c r="V35" s="48"/>
      <c r="W35" s="48"/>
      <c r="X35" s="48"/>
      <c r="Y35" s="48"/>
      <c r="Z35" s="48"/>
      <c r="AA35" s="48"/>
      <c r="AB35" s="48"/>
      <c r="AC35" s="48"/>
      <c r="AD35" s="48"/>
      <c r="AE35" s="48"/>
      <c r="AF35" s="60"/>
      <c r="AG35" s="59"/>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row>
    <row r="36" hidden="1">
      <c r="A36" s="126" t="str">
        <f t="shared" si="1"/>
        <v>HUBI24</v>
      </c>
      <c r="B36" s="127" t="s">
        <v>790</v>
      </c>
      <c r="C36" s="126"/>
      <c r="D36" s="126"/>
      <c r="E36" s="126" t="s">
        <v>1165</v>
      </c>
      <c r="F36" s="126" t="s">
        <v>1166</v>
      </c>
      <c r="G36" s="126" t="s">
        <v>1167</v>
      </c>
      <c r="H36" s="128">
        <v>2024.0</v>
      </c>
      <c r="I36" s="122" t="s">
        <v>1168</v>
      </c>
      <c r="J36" s="126" t="s">
        <v>1169</v>
      </c>
      <c r="K36" s="129">
        <v>45560.0</v>
      </c>
      <c r="L36" s="130" t="s">
        <v>345</v>
      </c>
      <c r="M36" s="131" t="s">
        <v>1170</v>
      </c>
      <c r="N36" s="131" t="s">
        <v>1125</v>
      </c>
      <c r="O36" s="131" t="s">
        <v>1171</v>
      </c>
      <c r="P36" s="132" t="s">
        <v>368</v>
      </c>
      <c r="Q36" s="131" t="s">
        <v>1172</v>
      </c>
      <c r="R36" s="132" t="s">
        <v>781</v>
      </c>
      <c r="S36" s="133">
        <v>88.0</v>
      </c>
      <c r="T36" s="126" t="s">
        <v>73</v>
      </c>
      <c r="U36" s="126" t="s">
        <v>1131</v>
      </c>
      <c r="V36" s="122"/>
      <c r="W36" s="128">
        <v>44.0</v>
      </c>
      <c r="X36" s="128">
        <v>44.0</v>
      </c>
      <c r="Y36" s="122"/>
      <c r="Z36" s="122"/>
      <c r="AA36" s="122"/>
      <c r="AB36" s="122"/>
      <c r="AC36" s="127" t="s">
        <v>1173</v>
      </c>
      <c r="AD36" s="128">
        <v>88.0</v>
      </c>
      <c r="AE36" s="122"/>
      <c r="AF36" s="134" t="s">
        <v>1174</v>
      </c>
      <c r="AG36" s="59" t="s">
        <v>1144</v>
      </c>
      <c r="AH36" s="131"/>
      <c r="AI36" s="131"/>
      <c r="AJ36" s="131"/>
      <c r="AK36" s="131"/>
      <c r="AL36" s="131"/>
      <c r="AM36" s="131"/>
      <c r="AN36" s="131"/>
      <c r="AO36" s="131"/>
      <c r="AP36" s="131"/>
      <c r="AQ36" s="131"/>
      <c r="AR36" s="131"/>
      <c r="AS36" s="131"/>
      <c r="AT36" s="131"/>
      <c r="AU36" s="131"/>
      <c r="AV36" s="131"/>
      <c r="AW36" s="131"/>
      <c r="AX36" s="131"/>
      <c r="AY36" s="131"/>
      <c r="AZ36" s="131"/>
      <c r="BA36" s="131"/>
      <c r="BB36" s="131" t="s">
        <v>75</v>
      </c>
      <c r="BC36" s="131" t="s">
        <v>75</v>
      </c>
      <c r="BD36" s="131" t="s">
        <v>75</v>
      </c>
      <c r="BE36" s="131" t="s">
        <v>428</v>
      </c>
      <c r="BF36" s="131" t="s">
        <v>75</v>
      </c>
      <c r="BG36" s="126" t="s">
        <v>1175</v>
      </c>
      <c r="BH36" s="126"/>
      <c r="BI36" s="122"/>
      <c r="BJ36" s="122"/>
      <c r="BK36" s="122"/>
      <c r="BL36" s="122"/>
      <c r="BM36" s="122"/>
      <c r="BN36" s="122"/>
      <c r="BO36" s="122"/>
      <c r="BP36" s="122"/>
      <c r="BQ36" s="122"/>
      <c r="BR36" s="122"/>
      <c r="BS36" s="122"/>
      <c r="BT36" s="122"/>
      <c r="BU36" s="122"/>
      <c r="BV36" s="122"/>
      <c r="BW36" s="122"/>
      <c r="BX36" s="122"/>
    </row>
    <row r="37" hidden="1">
      <c r="A37" s="126" t="str">
        <f t="shared" si="1"/>
        <v>MIXU24</v>
      </c>
      <c r="B37" s="127" t="s">
        <v>790</v>
      </c>
      <c r="C37" s="127"/>
      <c r="D37" s="127"/>
      <c r="E37" s="127" t="s">
        <v>1176</v>
      </c>
      <c r="F37" s="127" t="s">
        <v>1177</v>
      </c>
      <c r="G37" s="127" t="s">
        <v>1178</v>
      </c>
      <c r="H37" s="135">
        <v>2024.0</v>
      </c>
      <c r="I37" s="131" t="s">
        <v>1179</v>
      </c>
      <c r="J37" s="127" t="s">
        <v>771</v>
      </c>
      <c r="K37" s="136">
        <v>45608.0</v>
      </c>
      <c r="L37" s="130" t="s">
        <v>952</v>
      </c>
      <c r="M37" s="122"/>
      <c r="N37" s="131" t="s">
        <v>1180</v>
      </c>
      <c r="O37" s="131" t="s">
        <v>900</v>
      </c>
      <c r="P37" s="132" t="s">
        <v>368</v>
      </c>
      <c r="Q37" s="122"/>
      <c r="R37" s="137" t="s">
        <v>1181</v>
      </c>
      <c r="S37" s="133"/>
      <c r="T37" s="137" t="s">
        <v>165</v>
      </c>
      <c r="U37" s="126"/>
      <c r="V37" s="122"/>
      <c r="W37" s="128"/>
      <c r="X37" s="128"/>
      <c r="Y37" s="122"/>
      <c r="Z37" s="122"/>
      <c r="AA37" s="122"/>
      <c r="AB37" s="122"/>
      <c r="AC37" s="122"/>
      <c r="AD37" s="128"/>
      <c r="AE37" s="122"/>
      <c r="AF37" s="138"/>
      <c r="AG37" s="59"/>
      <c r="AH37" s="131"/>
      <c r="AI37" s="131"/>
      <c r="AJ37" s="131"/>
      <c r="AK37" s="131"/>
      <c r="AL37" s="131"/>
      <c r="AM37" s="131"/>
      <c r="AN37" s="131"/>
      <c r="AO37" s="131"/>
      <c r="AP37" s="131"/>
      <c r="AQ37" s="131"/>
      <c r="AR37" s="131"/>
      <c r="AS37" s="131"/>
      <c r="AT37" s="131"/>
      <c r="AU37" s="131"/>
      <c r="AV37" s="131"/>
      <c r="AW37" s="131"/>
      <c r="AX37" s="131"/>
      <c r="AY37" s="131"/>
      <c r="AZ37" s="131"/>
      <c r="BA37" s="131"/>
      <c r="BB37" s="131" t="s">
        <v>80</v>
      </c>
      <c r="BC37" s="131" t="s">
        <v>80</v>
      </c>
      <c r="BD37" s="131" t="s">
        <v>80</v>
      </c>
      <c r="BE37" s="122"/>
      <c r="BF37" s="127" t="s">
        <v>1182</v>
      </c>
      <c r="BG37" s="127" t="s">
        <v>1183</v>
      </c>
      <c r="BH37" s="127"/>
      <c r="BI37" s="122"/>
      <c r="BJ37" s="122"/>
      <c r="BK37" s="122"/>
      <c r="BL37" s="122"/>
      <c r="BM37" s="122"/>
      <c r="BN37" s="122"/>
      <c r="BO37" s="122"/>
      <c r="BP37" s="122"/>
      <c r="BQ37" s="122"/>
      <c r="BR37" s="122"/>
      <c r="BS37" s="122"/>
      <c r="BT37" s="122"/>
      <c r="BU37" s="122"/>
      <c r="BV37" s="122"/>
      <c r="BW37" s="122"/>
      <c r="BX37" s="122"/>
    </row>
    <row r="38" hidden="1">
      <c r="A38" s="48" t="str">
        <f t="shared" si="1"/>
        <v>JOIN20</v>
      </c>
      <c r="B38" s="10" t="s">
        <v>790</v>
      </c>
      <c r="C38" s="10"/>
      <c r="D38" s="10"/>
      <c r="E38" s="10" t="s">
        <v>1184</v>
      </c>
      <c r="F38" s="10" t="s">
        <v>1185</v>
      </c>
      <c r="G38" s="10" t="s">
        <v>1186</v>
      </c>
      <c r="H38" s="10">
        <v>2020.0</v>
      </c>
      <c r="I38" s="58" t="s">
        <v>1187</v>
      </c>
      <c r="J38" s="10" t="s">
        <v>118</v>
      </c>
      <c r="K38" s="50">
        <v>44105.0</v>
      </c>
      <c r="L38" s="64"/>
      <c r="M38" s="48"/>
      <c r="N38" s="48"/>
      <c r="O38" s="48"/>
      <c r="P38" s="48"/>
      <c r="Q38" s="10" t="s">
        <v>1188</v>
      </c>
      <c r="R38" s="59" t="s">
        <v>493</v>
      </c>
      <c r="S38" s="51">
        <v>90.0</v>
      </c>
      <c r="T38" s="59" t="s">
        <v>165</v>
      </c>
      <c r="U38" s="10" t="s">
        <v>1131</v>
      </c>
      <c r="V38" s="48"/>
      <c r="W38" s="10" t="s">
        <v>1189</v>
      </c>
      <c r="X38" s="10">
        <v>30.0</v>
      </c>
      <c r="Y38" s="48"/>
      <c r="Z38" s="48"/>
      <c r="AA38" s="48"/>
      <c r="AB38" s="10" t="s">
        <v>1190</v>
      </c>
      <c r="AC38" s="10"/>
      <c r="AD38" s="10">
        <v>90.0</v>
      </c>
      <c r="AE38" s="48"/>
      <c r="AF38" s="119" t="s">
        <v>1174</v>
      </c>
      <c r="AG38" s="59" t="s">
        <v>1191</v>
      </c>
      <c r="AH38" s="10"/>
      <c r="AI38" s="10"/>
      <c r="AJ38" s="10"/>
      <c r="AK38" s="10"/>
      <c r="AL38" s="10"/>
      <c r="AM38" s="10"/>
      <c r="AN38" s="10"/>
      <c r="AO38" s="10"/>
      <c r="AP38" s="10"/>
      <c r="AQ38" s="10"/>
      <c r="AR38" s="10"/>
      <c r="AS38" s="10"/>
      <c r="AT38" s="10"/>
      <c r="AU38" s="10"/>
      <c r="AV38" s="10"/>
      <c r="AW38" s="10"/>
      <c r="AX38" s="10"/>
      <c r="AY38" s="10"/>
      <c r="AZ38" s="10"/>
      <c r="BA38" s="10"/>
      <c r="BB38" s="10" t="s">
        <v>75</v>
      </c>
      <c r="BC38" s="10" t="s">
        <v>75</v>
      </c>
      <c r="BD38" s="10" t="s">
        <v>75</v>
      </c>
      <c r="BE38" s="10" t="s">
        <v>428</v>
      </c>
      <c r="BF38" s="10" t="s">
        <v>75</v>
      </c>
      <c r="BG38" s="48"/>
      <c r="BH38" s="48"/>
      <c r="BI38" s="48"/>
      <c r="BJ38" s="48"/>
      <c r="BK38" s="48"/>
      <c r="BL38" s="48"/>
      <c r="BM38" s="48"/>
      <c r="BN38" s="48"/>
      <c r="BO38" s="48"/>
      <c r="BP38" s="48"/>
      <c r="BQ38" s="48"/>
      <c r="BR38" s="48"/>
      <c r="BS38" s="48"/>
      <c r="BT38" s="48"/>
      <c r="BU38" s="48"/>
      <c r="BV38" s="48"/>
      <c r="BW38" s="48"/>
      <c r="BX38" s="48"/>
    </row>
    <row r="39" hidden="1">
      <c r="A39" s="48" t="str">
        <f t="shared" si="1"/>
        <v>HALU20</v>
      </c>
      <c r="B39" s="10" t="s">
        <v>790</v>
      </c>
      <c r="C39" s="10"/>
      <c r="D39" s="10"/>
      <c r="E39" s="10" t="s">
        <v>1192</v>
      </c>
      <c r="F39" s="10" t="s">
        <v>1193</v>
      </c>
      <c r="G39" s="10" t="s">
        <v>296</v>
      </c>
      <c r="H39" s="10">
        <v>2020.0</v>
      </c>
      <c r="I39" s="58" t="s">
        <v>1194</v>
      </c>
      <c r="J39" s="10" t="s">
        <v>1195</v>
      </c>
      <c r="K39" s="50">
        <v>43998.0</v>
      </c>
      <c r="L39" s="50" t="s">
        <v>952</v>
      </c>
      <c r="M39" s="10" t="s">
        <v>1196</v>
      </c>
      <c r="N39" s="48"/>
      <c r="O39" s="139" t="s">
        <v>1197</v>
      </c>
      <c r="P39" s="59" t="s">
        <v>368</v>
      </c>
      <c r="Q39" s="10"/>
      <c r="R39" s="59" t="s">
        <v>835</v>
      </c>
      <c r="S39" s="60"/>
      <c r="T39" s="59" t="s">
        <v>165</v>
      </c>
      <c r="U39" s="48"/>
      <c r="V39" s="48"/>
      <c r="W39" s="48"/>
      <c r="X39" s="48"/>
      <c r="Y39" s="48"/>
      <c r="Z39" s="48"/>
      <c r="AA39" s="48"/>
      <c r="AB39" s="48"/>
      <c r="AC39" s="48"/>
      <c r="AD39" s="48"/>
      <c r="AE39" s="48"/>
      <c r="AF39" s="60"/>
      <c r="AG39" s="48"/>
      <c r="AH39" s="10"/>
      <c r="AI39" s="10"/>
      <c r="AJ39" s="10"/>
      <c r="AK39" s="10"/>
      <c r="AL39" s="10"/>
      <c r="AM39" s="10"/>
      <c r="AN39" s="10"/>
      <c r="AO39" s="10"/>
      <c r="AP39" s="10"/>
      <c r="AQ39" s="10"/>
      <c r="AR39" s="10"/>
      <c r="AS39" s="10"/>
      <c r="AT39" s="10"/>
      <c r="AU39" s="10"/>
      <c r="AV39" s="10"/>
      <c r="AW39" s="10"/>
      <c r="AX39" s="10"/>
      <c r="AY39" s="10"/>
      <c r="AZ39" s="10"/>
      <c r="BA39" s="10"/>
      <c r="BB39" s="10" t="s">
        <v>80</v>
      </c>
      <c r="BC39" s="10" t="s">
        <v>80</v>
      </c>
      <c r="BD39" s="10" t="s">
        <v>80</v>
      </c>
      <c r="BE39" s="48"/>
      <c r="BF39" s="10" t="s">
        <v>1182</v>
      </c>
      <c r="BG39" s="48"/>
      <c r="BH39" s="48"/>
      <c r="BI39" s="48"/>
      <c r="BJ39" s="48"/>
      <c r="BK39" s="48"/>
      <c r="BL39" s="48"/>
      <c r="BM39" s="48"/>
      <c r="BN39" s="48"/>
      <c r="BO39" s="48"/>
      <c r="BP39" s="48"/>
      <c r="BQ39" s="48"/>
      <c r="BR39" s="48"/>
      <c r="BS39" s="48"/>
      <c r="BT39" s="48"/>
      <c r="BU39" s="48"/>
      <c r="BV39" s="48"/>
      <c r="BW39" s="48"/>
      <c r="BX39" s="48"/>
    </row>
    <row r="40" hidden="1">
      <c r="A40" s="48" t="str">
        <f t="shared" si="1"/>
        <v>SADA25</v>
      </c>
      <c r="B40" s="10" t="s">
        <v>790</v>
      </c>
      <c r="C40" s="10"/>
      <c r="D40" s="10"/>
      <c r="E40" s="10" t="s">
        <v>1198</v>
      </c>
      <c r="F40" s="10" t="s">
        <v>1199</v>
      </c>
      <c r="G40" s="10" t="s">
        <v>1200</v>
      </c>
      <c r="H40" s="10">
        <v>2025.0</v>
      </c>
      <c r="I40" s="58" t="s">
        <v>1201</v>
      </c>
      <c r="J40" s="10" t="s">
        <v>1202</v>
      </c>
      <c r="K40" s="50">
        <v>45926.0</v>
      </c>
      <c r="L40" s="50" t="s">
        <v>952</v>
      </c>
      <c r="M40" s="48"/>
      <c r="N40" s="48"/>
      <c r="O40" s="59" t="s">
        <v>1203</v>
      </c>
      <c r="P40" s="48"/>
      <c r="Q40" s="48"/>
      <c r="R40" s="59" t="s">
        <v>1204</v>
      </c>
      <c r="S40" s="60"/>
      <c r="T40" s="48"/>
      <c r="U40" s="48"/>
      <c r="V40" s="48"/>
      <c r="W40" s="48"/>
      <c r="X40" s="48"/>
      <c r="Y40" s="48"/>
      <c r="Z40" s="48"/>
      <c r="AA40" s="48"/>
      <c r="AB40" s="48"/>
      <c r="AC40" s="48"/>
      <c r="AD40" s="48"/>
      <c r="AE40" s="48"/>
      <c r="AF40" s="60"/>
      <c r="AG40" s="48"/>
      <c r="AH40" s="48"/>
      <c r="AI40" s="48"/>
      <c r="AJ40" s="48"/>
      <c r="AK40" s="48"/>
      <c r="AL40" s="48"/>
      <c r="AM40" s="48"/>
      <c r="AN40" s="48"/>
      <c r="AO40" s="48"/>
      <c r="AP40" s="48"/>
      <c r="AQ40" s="48"/>
      <c r="AR40" s="48"/>
      <c r="AS40" s="48"/>
      <c r="AT40" s="48"/>
      <c r="AU40" s="48"/>
      <c r="AV40" s="48"/>
      <c r="AW40" s="48"/>
      <c r="AX40" s="48"/>
      <c r="AY40" s="48"/>
      <c r="AZ40" s="48"/>
      <c r="BA40" s="48"/>
      <c r="BB40" s="48"/>
      <c r="BC40" s="10" t="s">
        <v>80</v>
      </c>
      <c r="BD40" s="10" t="s">
        <v>75</v>
      </c>
      <c r="BE40" s="10" t="s">
        <v>428</v>
      </c>
      <c r="BF40" s="48"/>
      <c r="BG40" s="48"/>
      <c r="BH40" s="48"/>
      <c r="BI40" s="48"/>
      <c r="BJ40" s="48"/>
      <c r="BK40" s="48"/>
      <c r="BL40" s="48"/>
      <c r="BM40" s="48"/>
      <c r="BN40" s="48"/>
      <c r="BO40" s="48"/>
      <c r="BP40" s="48"/>
      <c r="BQ40" s="48"/>
      <c r="BR40" s="48"/>
      <c r="BS40" s="48"/>
      <c r="BT40" s="48"/>
      <c r="BU40" s="48"/>
      <c r="BV40" s="48"/>
      <c r="BW40" s="48"/>
      <c r="BX40" s="48"/>
    </row>
    <row r="41" hidden="1">
      <c r="A41" s="48" t="str">
        <f t="shared" si="1"/>
        <v>ABAL24</v>
      </c>
      <c r="B41" s="10" t="s">
        <v>790</v>
      </c>
      <c r="C41" s="10"/>
      <c r="D41" s="10"/>
      <c r="E41" s="10" t="s">
        <v>1205</v>
      </c>
      <c r="F41" s="10" t="s">
        <v>1206</v>
      </c>
      <c r="G41" s="10" t="s">
        <v>793</v>
      </c>
      <c r="H41" s="10">
        <v>2024.0</v>
      </c>
      <c r="I41" s="58" t="s">
        <v>1207</v>
      </c>
      <c r="J41" s="10" t="s">
        <v>863</v>
      </c>
      <c r="K41" s="50">
        <v>45601.0</v>
      </c>
      <c r="L41" s="50" t="s">
        <v>952</v>
      </c>
      <c r="M41" s="48"/>
      <c r="N41" s="48"/>
      <c r="O41" s="59" t="s">
        <v>1209</v>
      </c>
      <c r="P41" s="59" t="s">
        <v>368</v>
      </c>
      <c r="Q41" s="10" t="s">
        <v>1210</v>
      </c>
      <c r="R41" s="59" t="s">
        <v>1204</v>
      </c>
      <c r="S41" s="60"/>
      <c r="T41" s="59" t="s">
        <v>165</v>
      </c>
      <c r="U41" s="48"/>
      <c r="V41" s="48"/>
      <c r="W41" s="48"/>
      <c r="X41" s="48"/>
      <c r="Y41" s="48"/>
      <c r="Z41" s="48"/>
      <c r="AA41" s="48"/>
      <c r="AB41" s="48"/>
      <c r="AC41" s="48"/>
      <c r="AD41" s="48"/>
      <c r="AE41" s="48"/>
      <c r="AF41" s="60"/>
      <c r="AG41" s="48"/>
      <c r="AH41" s="48"/>
      <c r="AI41" s="48"/>
      <c r="AJ41" s="48"/>
      <c r="AK41" s="48"/>
      <c r="AL41" s="48"/>
      <c r="AM41" s="48"/>
      <c r="AN41" s="48"/>
      <c r="AO41" s="48"/>
      <c r="AP41" s="48"/>
      <c r="AQ41" s="48"/>
      <c r="AR41" s="48"/>
      <c r="AS41" s="48"/>
      <c r="AT41" s="48"/>
      <c r="AU41" s="48"/>
      <c r="AV41" s="48"/>
      <c r="AW41" s="48"/>
      <c r="AX41" s="48"/>
      <c r="AY41" s="48"/>
      <c r="AZ41" s="48"/>
      <c r="BA41" s="48"/>
      <c r="BB41" s="48"/>
      <c r="BC41" s="10" t="s">
        <v>75</v>
      </c>
      <c r="BD41" s="10" t="s">
        <v>75</v>
      </c>
      <c r="BE41" s="10" t="s">
        <v>428</v>
      </c>
      <c r="BF41" s="48"/>
      <c r="BG41" s="48"/>
      <c r="BH41" s="48"/>
      <c r="BI41" s="48"/>
      <c r="BJ41" s="48"/>
      <c r="BK41" s="48"/>
      <c r="BL41" s="48"/>
      <c r="BM41" s="48"/>
      <c r="BN41" s="48"/>
      <c r="BO41" s="48"/>
      <c r="BP41" s="48"/>
      <c r="BQ41" s="48"/>
      <c r="BR41" s="48"/>
      <c r="BS41" s="48"/>
      <c r="BT41" s="48"/>
      <c r="BU41" s="48"/>
      <c r="BV41" s="48"/>
      <c r="BW41" s="48"/>
      <c r="BX41" s="48"/>
    </row>
    <row r="42" hidden="1">
      <c r="A42" s="48" t="str">
        <f t="shared" si="1"/>
        <v>SUMO17</v>
      </c>
      <c r="B42" s="10" t="s">
        <v>322</v>
      </c>
      <c r="C42" s="10"/>
      <c r="D42" s="10"/>
      <c r="E42" s="10" t="s">
        <v>1217</v>
      </c>
      <c r="F42" s="10" t="s">
        <v>1218</v>
      </c>
      <c r="G42" s="10" t="s">
        <v>1219</v>
      </c>
      <c r="H42" s="10">
        <v>2017.0</v>
      </c>
      <c r="I42" s="143" t="s">
        <v>1220</v>
      </c>
      <c r="J42" s="10" t="s">
        <v>170</v>
      </c>
      <c r="K42" s="50">
        <v>43063.0</v>
      </c>
      <c r="L42" s="50" t="s">
        <v>952</v>
      </c>
      <c r="M42" s="10" t="s">
        <v>1221</v>
      </c>
      <c r="N42" s="10" t="s">
        <v>1222</v>
      </c>
      <c r="O42" s="59" t="s">
        <v>1223</v>
      </c>
      <c r="P42" s="59" t="s">
        <v>368</v>
      </c>
      <c r="Q42" s="48"/>
      <c r="R42" s="59" t="s">
        <v>1224</v>
      </c>
      <c r="S42" s="60"/>
      <c r="T42" s="59" t="s">
        <v>165</v>
      </c>
      <c r="U42" s="48"/>
      <c r="V42" s="48"/>
      <c r="W42" s="48"/>
      <c r="X42" s="48"/>
      <c r="Y42" s="48"/>
      <c r="Z42" s="48"/>
      <c r="AA42" s="48"/>
      <c r="AB42" s="48"/>
      <c r="AC42" s="48"/>
      <c r="AD42" s="48"/>
      <c r="AE42" s="48"/>
      <c r="AF42" s="60"/>
      <c r="AG42" s="59" t="s">
        <v>1225</v>
      </c>
      <c r="AH42" s="10"/>
      <c r="AI42" s="10"/>
      <c r="AJ42" s="10"/>
      <c r="AK42" s="10"/>
      <c r="AL42" s="10"/>
      <c r="AM42" s="10"/>
      <c r="AN42" s="10"/>
      <c r="AO42" s="10"/>
      <c r="AP42" s="10"/>
      <c r="AQ42" s="10"/>
      <c r="AR42" s="10"/>
      <c r="AS42" s="10"/>
      <c r="AT42" s="10"/>
      <c r="AU42" s="10"/>
      <c r="AV42" s="10"/>
      <c r="AW42" s="10"/>
      <c r="AX42" s="10"/>
      <c r="AY42" s="10"/>
      <c r="AZ42" s="10"/>
      <c r="BA42" s="10"/>
      <c r="BB42" s="10" t="s">
        <v>75</v>
      </c>
      <c r="BC42" s="10" t="s">
        <v>80</v>
      </c>
      <c r="BD42" s="10" t="s">
        <v>75</v>
      </c>
      <c r="BE42" s="48"/>
      <c r="BF42" s="10" t="s">
        <v>80</v>
      </c>
      <c r="BG42" s="48"/>
      <c r="BH42" s="48"/>
      <c r="BI42" s="48"/>
      <c r="BJ42" s="48"/>
      <c r="BK42" s="48"/>
      <c r="BL42" s="48"/>
      <c r="BM42" s="48"/>
      <c r="BN42" s="48"/>
      <c r="BO42" s="48"/>
      <c r="BP42" s="48"/>
      <c r="BQ42" s="48"/>
      <c r="BR42" s="48"/>
      <c r="BS42" s="48"/>
      <c r="BT42" s="48"/>
      <c r="BU42" s="48"/>
      <c r="BV42" s="48"/>
      <c r="BW42" s="48"/>
      <c r="BX42" s="48"/>
    </row>
    <row r="43" hidden="1">
      <c r="A43" s="48" t="str">
        <f t="shared" si="1"/>
        <v>ABAL24</v>
      </c>
      <c r="B43" s="10" t="s">
        <v>322</v>
      </c>
      <c r="C43" s="10"/>
      <c r="D43" s="10"/>
      <c r="E43" s="10" t="s">
        <v>1226</v>
      </c>
      <c r="F43" s="10" t="s">
        <v>1227</v>
      </c>
      <c r="G43" s="10" t="s">
        <v>793</v>
      </c>
      <c r="H43" s="10">
        <v>2024.0</v>
      </c>
      <c r="I43" s="58" t="s">
        <v>1228</v>
      </c>
      <c r="J43" s="10" t="s">
        <v>1229</v>
      </c>
      <c r="K43" s="50">
        <v>45409.0</v>
      </c>
      <c r="L43" s="50" t="s">
        <v>952</v>
      </c>
      <c r="M43" s="48"/>
      <c r="N43" s="48"/>
      <c r="O43" s="59" t="s">
        <v>1230</v>
      </c>
      <c r="P43" s="59" t="s">
        <v>977</v>
      </c>
      <c r="Q43" s="10" t="s">
        <v>1210</v>
      </c>
      <c r="R43" s="59" t="s">
        <v>1204</v>
      </c>
      <c r="S43" s="60"/>
      <c r="T43" s="48"/>
      <c r="U43" s="48"/>
      <c r="V43" s="48"/>
      <c r="W43" s="48"/>
      <c r="X43" s="48"/>
      <c r="Y43" s="48"/>
      <c r="Z43" s="48"/>
      <c r="AA43" s="48"/>
      <c r="AB43" s="48"/>
      <c r="AC43" s="48"/>
      <c r="AD43" s="48"/>
      <c r="AE43" s="48"/>
      <c r="AF43" s="60"/>
      <c r="AG43" s="48"/>
      <c r="AH43" s="48"/>
      <c r="AI43" s="48"/>
      <c r="AJ43" s="48"/>
      <c r="AK43" s="48"/>
      <c r="AL43" s="48"/>
      <c r="AM43" s="48"/>
      <c r="AN43" s="48"/>
      <c r="AO43" s="48"/>
      <c r="AP43" s="48"/>
      <c r="AQ43" s="48"/>
      <c r="AR43" s="48"/>
      <c r="AS43" s="48"/>
      <c r="AT43" s="48"/>
      <c r="AU43" s="48"/>
      <c r="AV43" s="48"/>
      <c r="AW43" s="48"/>
      <c r="AX43" s="48"/>
      <c r="AY43" s="48"/>
      <c r="AZ43" s="48"/>
      <c r="BA43" s="48"/>
      <c r="BB43" s="48"/>
      <c r="BC43" s="10" t="s">
        <v>75</v>
      </c>
      <c r="BD43" s="10" t="s">
        <v>75</v>
      </c>
      <c r="BE43" s="10" t="s">
        <v>428</v>
      </c>
      <c r="BF43" s="48"/>
      <c r="BG43" s="48"/>
      <c r="BH43" s="48"/>
      <c r="BI43" s="48"/>
      <c r="BJ43" s="48"/>
      <c r="BK43" s="48"/>
      <c r="BL43" s="48"/>
      <c r="BM43" s="48"/>
      <c r="BN43" s="48"/>
      <c r="BO43" s="48"/>
      <c r="BP43" s="48"/>
      <c r="BQ43" s="48"/>
      <c r="BR43" s="48"/>
      <c r="BS43" s="48"/>
      <c r="BT43" s="48"/>
      <c r="BU43" s="48"/>
      <c r="BV43" s="48"/>
      <c r="BW43" s="48"/>
      <c r="BX43" s="48"/>
    </row>
    <row r="44" hidden="1">
      <c r="A44" s="48" t="str">
        <f t="shared" si="1"/>
        <v>ZAJU24</v>
      </c>
      <c r="B44" s="10" t="s">
        <v>322</v>
      </c>
      <c r="C44" s="10"/>
      <c r="D44" s="10"/>
      <c r="E44" s="10" t="s">
        <v>1232</v>
      </c>
      <c r="F44" s="10" t="s">
        <v>1233</v>
      </c>
      <c r="G44" s="10" t="s">
        <v>1234</v>
      </c>
      <c r="H44" s="10">
        <v>2024.0</v>
      </c>
      <c r="I44" s="10" t="s">
        <v>1235</v>
      </c>
      <c r="J44" s="10" t="s">
        <v>1236</v>
      </c>
      <c r="K44" s="50">
        <v>45469.0</v>
      </c>
      <c r="L44" s="50" t="s">
        <v>952</v>
      </c>
      <c r="M44" s="10" t="s">
        <v>1238</v>
      </c>
      <c r="N44" s="10" t="s">
        <v>1180</v>
      </c>
      <c r="O44" s="59" t="s">
        <v>1026</v>
      </c>
      <c r="P44" s="59" t="s">
        <v>368</v>
      </c>
      <c r="Q44" s="48"/>
      <c r="R44" s="59" t="s">
        <v>958</v>
      </c>
      <c r="S44" s="60"/>
      <c r="T44" s="48"/>
      <c r="U44" s="48"/>
      <c r="V44" s="48"/>
      <c r="W44" s="48"/>
      <c r="X44" s="48"/>
      <c r="Y44" s="48"/>
      <c r="Z44" s="48"/>
      <c r="AA44" s="48"/>
      <c r="AB44" s="48"/>
      <c r="AC44" s="48"/>
      <c r="AD44" s="48"/>
      <c r="AE44" s="48"/>
      <c r="AF44" s="60"/>
      <c r="AG44" s="59" t="s">
        <v>1225</v>
      </c>
      <c r="AH44" s="10"/>
      <c r="AI44" s="10"/>
      <c r="AJ44" s="10"/>
      <c r="AK44" s="10"/>
      <c r="AL44" s="10"/>
      <c r="AM44" s="10"/>
      <c r="AN44" s="10"/>
      <c r="AO44" s="10"/>
      <c r="AP44" s="10"/>
      <c r="AQ44" s="10"/>
      <c r="AR44" s="10"/>
      <c r="AS44" s="10"/>
      <c r="AT44" s="10"/>
      <c r="AU44" s="10"/>
      <c r="AV44" s="10"/>
      <c r="AW44" s="10"/>
      <c r="AX44" s="10"/>
      <c r="AY44" s="10"/>
      <c r="AZ44" s="10"/>
      <c r="BA44" s="10"/>
      <c r="BB44" s="10" t="s">
        <v>75</v>
      </c>
      <c r="BC44" s="10" t="s">
        <v>80</v>
      </c>
      <c r="BD44" s="10" t="s">
        <v>75</v>
      </c>
      <c r="BE44" s="48"/>
      <c r="BF44" s="48"/>
      <c r="BG44" s="48"/>
      <c r="BH44" s="48"/>
      <c r="BI44" s="48"/>
      <c r="BJ44" s="48"/>
      <c r="BK44" s="48"/>
      <c r="BL44" s="48"/>
      <c r="BM44" s="48"/>
      <c r="BN44" s="48"/>
      <c r="BO44" s="48"/>
      <c r="BP44" s="48"/>
      <c r="BQ44" s="48"/>
      <c r="BR44" s="48"/>
      <c r="BS44" s="48"/>
      <c r="BT44" s="48"/>
      <c r="BU44" s="48"/>
      <c r="BV44" s="48"/>
      <c r="BW44" s="48"/>
      <c r="BX44" s="48"/>
    </row>
    <row r="45" hidden="1">
      <c r="A45" s="148" t="str">
        <f t="shared" si="1"/>
        <v>WAWA24</v>
      </c>
      <c r="B45" s="150" t="s">
        <v>790</v>
      </c>
      <c r="C45" s="150" t="s">
        <v>321</v>
      </c>
      <c r="D45" s="150"/>
      <c r="E45" s="150" t="s">
        <v>850</v>
      </c>
      <c r="F45" s="150" t="s">
        <v>1240</v>
      </c>
      <c r="G45" s="150" t="s">
        <v>1241</v>
      </c>
      <c r="H45" s="150">
        <v>2024.0</v>
      </c>
      <c r="I45" s="89" t="s">
        <v>1242</v>
      </c>
      <c r="J45" s="150" t="s">
        <v>854</v>
      </c>
      <c r="K45" s="151">
        <v>45597.0</v>
      </c>
      <c r="L45" s="151" t="s">
        <v>345</v>
      </c>
      <c r="M45" s="150" t="s">
        <v>1244</v>
      </c>
      <c r="N45" s="150" t="s">
        <v>368</v>
      </c>
      <c r="O45" s="152" t="s">
        <v>1247</v>
      </c>
      <c r="P45" s="152" t="s">
        <v>368</v>
      </c>
      <c r="Q45" s="150" t="s">
        <v>1250</v>
      </c>
      <c r="R45" s="152" t="s">
        <v>370</v>
      </c>
      <c r="S45" s="150">
        <v>24.0</v>
      </c>
      <c r="T45" s="152" t="s">
        <v>857</v>
      </c>
      <c r="U45" s="150" t="s">
        <v>1251</v>
      </c>
      <c r="V45" s="150">
        <v>12.0</v>
      </c>
      <c r="W45" s="148"/>
      <c r="X45" s="150">
        <v>12.0</v>
      </c>
      <c r="Y45" s="150" t="s">
        <v>1252</v>
      </c>
      <c r="Z45" s="150">
        <v>24.0</v>
      </c>
      <c r="AA45" s="150">
        <v>0.0</v>
      </c>
      <c r="AB45" s="150" t="s">
        <v>1253</v>
      </c>
      <c r="AC45" s="150" t="s">
        <v>1254</v>
      </c>
      <c r="AD45" s="150">
        <v>24.0</v>
      </c>
      <c r="AE45" s="150" t="s">
        <v>1255</v>
      </c>
      <c r="AF45" s="152" t="s">
        <v>1256</v>
      </c>
      <c r="AG45" s="152" t="s">
        <v>864</v>
      </c>
      <c r="AH45" s="148"/>
      <c r="AI45" s="148"/>
      <c r="AJ45" s="148"/>
      <c r="AK45" s="148"/>
      <c r="AL45" s="148"/>
      <c r="AM45" s="148"/>
      <c r="AN45" s="148"/>
      <c r="AO45" s="148"/>
      <c r="AP45" s="148"/>
      <c r="AQ45" s="148"/>
      <c r="AR45" s="148"/>
      <c r="AS45" s="148"/>
      <c r="AT45" s="148"/>
      <c r="AU45" s="148"/>
      <c r="AV45" s="148"/>
      <c r="AW45" s="148"/>
      <c r="AX45" s="148"/>
      <c r="AY45" s="148"/>
      <c r="AZ45" s="148"/>
      <c r="BA45" s="148"/>
      <c r="BB45" s="150" t="s">
        <v>75</v>
      </c>
      <c r="BC45" s="150" t="s">
        <v>75</v>
      </c>
      <c r="BD45" s="150" t="s">
        <v>75</v>
      </c>
      <c r="BE45" s="150" t="s">
        <v>80</v>
      </c>
      <c r="BF45" s="150" t="s">
        <v>80</v>
      </c>
      <c r="BG45" s="150" t="s">
        <v>1257</v>
      </c>
      <c r="BH45" s="148"/>
      <c r="BI45" s="56"/>
      <c r="BJ45" s="56"/>
      <c r="BK45" s="56"/>
      <c r="BL45" s="56"/>
      <c r="BM45" s="56"/>
      <c r="BN45" s="56"/>
      <c r="BO45" s="56"/>
      <c r="BP45" s="56"/>
      <c r="BQ45" s="56"/>
      <c r="BR45" s="56"/>
      <c r="BS45" s="56"/>
      <c r="BT45" s="56"/>
      <c r="BU45" s="56"/>
      <c r="BV45" s="56"/>
      <c r="BW45" s="56"/>
      <c r="BX45" s="56"/>
    </row>
    <row r="46" hidden="1">
      <c r="A46" s="148" t="str">
        <f t="shared" si="1"/>
        <v>COAL24</v>
      </c>
      <c r="B46" s="150" t="s">
        <v>790</v>
      </c>
      <c r="C46" s="150" t="s">
        <v>321</v>
      </c>
      <c r="D46" s="150"/>
      <c r="E46" s="150" t="s">
        <v>696</v>
      </c>
      <c r="F46" s="150" t="s">
        <v>697</v>
      </c>
      <c r="G46" s="150" t="s">
        <v>698</v>
      </c>
      <c r="H46" s="150">
        <v>2024.0</v>
      </c>
      <c r="I46" s="153" t="s">
        <v>1258</v>
      </c>
      <c r="J46" s="150" t="s">
        <v>702</v>
      </c>
      <c r="K46" s="151">
        <v>45413.0</v>
      </c>
      <c r="L46" s="151" t="s">
        <v>345</v>
      </c>
      <c r="M46" s="89" t="s">
        <v>1259</v>
      </c>
      <c r="N46" s="150" t="s">
        <v>368</v>
      </c>
      <c r="O46" s="152" t="s">
        <v>1260</v>
      </c>
      <c r="P46" s="152" t="s">
        <v>368</v>
      </c>
      <c r="Q46" s="150" t="s">
        <v>1261</v>
      </c>
      <c r="R46" s="152" t="s">
        <v>1262</v>
      </c>
      <c r="S46" s="150">
        <v>67.0</v>
      </c>
      <c r="T46" s="152" t="s">
        <v>165</v>
      </c>
      <c r="U46" s="150" t="s">
        <v>711</v>
      </c>
      <c r="V46" s="150">
        <v>62.0</v>
      </c>
      <c r="W46" s="148"/>
      <c r="X46" s="150">
        <v>5.0</v>
      </c>
      <c r="Y46" s="148"/>
      <c r="Z46" s="148"/>
      <c r="AA46" s="148"/>
      <c r="AB46" s="148"/>
      <c r="AC46" s="148"/>
      <c r="AD46" s="148"/>
      <c r="AE46" s="150" t="s">
        <v>1263</v>
      </c>
      <c r="AF46" s="152" t="s">
        <v>721</v>
      </c>
      <c r="AG46" s="152" t="s">
        <v>1225</v>
      </c>
      <c r="AH46" s="148"/>
      <c r="AI46" s="148"/>
      <c r="AJ46" s="148"/>
      <c r="AK46" s="148"/>
      <c r="AL46" s="148"/>
      <c r="AM46" s="148"/>
      <c r="AN46" s="148"/>
      <c r="AO46" s="148"/>
      <c r="AP46" s="148"/>
      <c r="AQ46" s="148"/>
      <c r="AR46" s="148"/>
      <c r="AS46" s="148"/>
      <c r="AT46" s="148"/>
      <c r="AU46" s="148"/>
      <c r="AV46" s="148"/>
      <c r="AW46" s="148"/>
      <c r="AX46" s="148"/>
      <c r="AY46" s="148"/>
      <c r="AZ46" s="148"/>
      <c r="BA46" s="148"/>
      <c r="BB46" s="150" t="s">
        <v>75</v>
      </c>
      <c r="BC46" s="150" t="s">
        <v>75</v>
      </c>
      <c r="BD46" s="150" t="s">
        <v>75</v>
      </c>
      <c r="BE46" s="150" t="s">
        <v>80</v>
      </c>
      <c r="BF46" s="150" t="s">
        <v>80</v>
      </c>
      <c r="BG46" s="150" t="s">
        <v>1264</v>
      </c>
      <c r="BH46" s="148"/>
      <c r="BI46" s="56"/>
      <c r="BJ46" s="56"/>
      <c r="BK46" s="56"/>
      <c r="BL46" s="56"/>
      <c r="BM46" s="56"/>
      <c r="BN46" s="56"/>
      <c r="BO46" s="56"/>
      <c r="BP46" s="56"/>
      <c r="BQ46" s="56"/>
      <c r="BR46" s="56"/>
      <c r="BS46" s="56"/>
      <c r="BT46" s="56"/>
      <c r="BU46" s="56"/>
      <c r="BV46" s="56"/>
      <c r="BW46" s="56"/>
      <c r="BX46" s="56"/>
    </row>
    <row r="47" hidden="1">
      <c r="A47" s="148" t="str">
        <f t="shared" si="1"/>
        <v>SUCO25</v>
      </c>
      <c r="B47" s="150" t="s">
        <v>322</v>
      </c>
      <c r="C47" s="150" t="s">
        <v>321</v>
      </c>
      <c r="D47" s="150" t="s">
        <v>798</v>
      </c>
      <c r="E47" s="150" t="s">
        <v>1265</v>
      </c>
      <c r="F47" s="150" t="s">
        <v>1266</v>
      </c>
      <c r="G47" s="150" t="s">
        <v>1267</v>
      </c>
      <c r="H47" s="150">
        <v>2025.0</v>
      </c>
      <c r="I47" s="154" t="s">
        <v>1268</v>
      </c>
      <c r="J47" s="150" t="s">
        <v>702</v>
      </c>
      <c r="K47" s="151">
        <v>45690.0</v>
      </c>
      <c r="L47" s="151" t="s">
        <v>952</v>
      </c>
      <c r="M47" s="150" t="s">
        <v>1269</v>
      </c>
      <c r="N47" s="150" t="s">
        <v>368</v>
      </c>
      <c r="O47" s="152" t="s">
        <v>1026</v>
      </c>
      <c r="P47" s="152" t="s">
        <v>368</v>
      </c>
      <c r="Q47" s="150" t="s">
        <v>1270</v>
      </c>
      <c r="R47" s="152" t="s">
        <v>370</v>
      </c>
      <c r="S47" s="150">
        <v>4.0</v>
      </c>
      <c r="T47" s="152" t="s">
        <v>1271</v>
      </c>
      <c r="U47" s="150" t="s">
        <v>1272</v>
      </c>
      <c r="V47" s="150">
        <v>1.0</v>
      </c>
      <c r="W47" s="150">
        <v>1.0</v>
      </c>
      <c r="X47" s="150">
        <v>2.0</v>
      </c>
      <c r="Y47" s="150" t="s">
        <v>378</v>
      </c>
      <c r="Z47" s="150" t="s">
        <v>378</v>
      </c>
      <c r="AA47" s="150" t="s">
        <v>378</v>
      </c>
      <c r="AB47" s="150" t="s">
        <v>378</v>
      </c>
      <c r="AC47" s="150" t="s">
        <v>378</v>
      </c>
      <c r="AD47" s="150" t="s">
        <v>378</v>
      </c>
      <c r="AE47" s="150">
        <v>90000.0</v>
      </c>
      <c r="AF47" s="152" t="s">
        <v>823</v>
      </c>
      <c r="AG47" s="152" t="s">
        <v>1273</v>
      </c>
      <c r="AH47" s="148"/>
      <c r="AI47" s="148"/>
      <c r="AJ47" s="148"/>
      <c r="AK47" s="148"/>
      <c r="AL47" s="148"/>
      <c r="AM47" s="148"/>
      <c r="AN47" s="148"/>
      <c r="AO47" s="148"/>
      <c r="AP47" s="148"/>
      <c r="AQ47" s="148"/>
      <c r="AR47" s="148"/>
      <c r="AS47" s="148"/>
      <c r="AT47" s="148"/>
      <c r="AU47" s="148"/>
      <c r="AV47" s="148"/>
      <c r="AW47" s="148"/>
      <c r="AX47" s="148"/>
      <c r="AY47" s="148"/>
      <c r="AZ47" s="148"/>
      <c r="BA47" s="148"/>
      <c r="BB47" s="150" t="s">
        <v>75</v>
      </c>
      <c r="BC47" s="150" t="s">
        <v>80</v>
      </c>
      <c r="BD47" s="150" t="s">
        <v>75</v>
      </c>
      <c r="BE47" s="150" t="s">
        <v>75</v>
      </c>
      <c r="BF47" s="150" t="s">
        <v>75</v>
      </c>
      <c r="BG47" s="148"/>
      <c r="BH47" s="148"/>
      <c r="BI47" s="56"/>
      <c r="BJ47" s="56"/>
      <c r="BK47" s="56"/>
      <c r="BL47" s="56"/>
      <c r="BM47" s="56"/>
      <c r="BN47" s="56"/>
      <c r="BO47" s="56"/>
      <c r="BP47" s="56"/>
      <c r="BQ47" s="56"/>
      <c r="BR47" s="56"/>
      <c r="BS47" s="56"/>
      <c r="BT47" s="56"/>
      <c r="BU47" s="56"/>
      <c r="BV47" s="56"/>
      <c r="BW47" s="56"/>
      <c r="BX47" s="56"/>
    </row>
    <row r="48" hidden="1">
      <c r="A48" s="148" t="str">
        <f t="shared" si="1"/>
        <v>RAPR18</v>
      </c>
      <c r="B48" s="150" t="s">
        <v>798</v>
      </c>
      <c r="C48" s="150"/>
      <c r="D48" s="150"/>
      <c r="E48" s="150" t="s">
        <v>1274</v>
      </c>
      <c r="F48" s="150" t="s">
        <v>1275</v>
      </c>
      <c r="G48" s="150" t="s">
        <v>1276</v>
      </c>
      <c r="H48" s="150">
        <v>2018.0</v>
      </c>
      <c r="I48" s="153" t="s">
        <v>1277</v>
      </c>
      <c r="J48" s="150" t="s">
        <v>1278</v>
      </c>
      <c r="K48" s="151">
        <v>43282.0</v>
      </c>
      <c r="L48" s="151" t="s">
        <v>345</v>
      </c>
      <c r="M48" s="150" t="s">
        <v>1279</v>
      </c>
      <c r="N48" s="150" t="s">
        <v>368</v>
      </c>
      <c r="O48" s="152" t="s">
        <v>1026</v>
      </c>
      <c r="P48" s="152" t="s">
        <v>368</v>
      </c>
      <c r="Q48" s="150" t="s">
        <v>1280</v>
      </c>
      <c r="R48" s="152" t="s">
        <v>1281</v>
      </c>
      <c r="S48" s="148"/>
      <c r="T48" s="152" t="s">
        <v>1282</v>
      </c>
      <c r="U48" s="150" t="s">
        <v>824</v>
      </c>
      <c r="V48" s="150">
        <v>3.0</v>
      </c>
      <c r="W48" s="150">
        <v>0.0</v>
      </c>
      <c r="X48" s="150">
        <v>3.0</v>
      </c>
      <c r="Y48" s="150" t="s">
        <v>1283</v>
      </c>
      <c r="Z48" s="150">
        <v>0.0</v>
      </c>
      <c r="AA48" s="150">
        <v>3.0</v>
      </c>
      <c r="AB48" s="150" t="s">
        <v>878</v>
      </c>
      <c r="AC48" s="150" t="s">
        <v>1284</v>
      </c>
      <c r="AD48" s="150">
        <v>3.0</v>
      </c>
      <c r="AE48" s="150" t="s">
        <v>378</v>
      </c>
      <c r="AF48" s="152" t="s">
        <v>630</v>
      </c>
      <c r="AG48" s="152" t="s">
        <v>824</v>
      </c>
      <c r="AH48" s="148"/>
      <c r="AI48" s="148"/>
      <c r="AJ48" s="148"/>
      <c r="AK48" s="148"/>
      <c r="AL48" s="148"/>
      <c r="AM48" s="148"/>
      <c r="AN48" s="148"/>
      <c r="AO48" s="148"/>
      <c r="AP48" s="148"/>
      <c r="AQ48" s="148"/>
      <c r="AR48" s="148"/>
      <c r="AS48" s="148"/>
      <c r="AT48" s="148"/>
      <c r="AU48" s="148"/>
      <c r="AV48" s="148"/>
      <c r="AW48" s="148"/>
      <c r="AX48" s="148"/>
      <c r="AY48" s="148"/>
      <c r="AZ48" s="148"/>
      <c r="BA48" s="148"/>
      <c r="BB48" s="150" t="s">
        <v>80</v>
      </c>
      <c r="BC48" s="150" t="s">
        <v>80</v>
      </c>
      <c r="BD48" s="150" t="s">
        <v>75</v>
      </c>
      <c r="BE48" s="150" t="s">
        <v>80</v>
      </c>
      <c r="BF48" s="150" t="s">
        <v>80</v>
      </c>
      <c r="BG48" s="150" t="s">
        <v>1285</v>
      </c>
      <c r="BH48" s="148"/>
      <c r="BI48" s="56"/>
      <c r="BJ48" s="56"/>
      <c r="BK48" s="56"/>
      <c r="BL48" s="56"/>
      <c r="BM48" s="56"/>
      <c r="BN48" s="56"/>
      <c r="BO48" s="56"/>
      <c r="BP48" s="56"/>
      <c r="BQ48" s="56"/>
      <c r="BR48" s="56"/>
      <c r="BS48" s="56"/>
      <c r="BT48" s="56"/>
      <c r="BU48" s="56"/>
      <c r="BV48" s="56"/>
      <c r="BW48" s="56"/>
      <c r="BX48" s="56"/>
    </row>
    <row r="49" hidden="1">
      <c r="A49" s="148" t="str">
        <f t="shared" si="1"/>
        <v>YIMI24</v>
      </c>
      <c r="B49" s="150" t="s">
        <v>454</v>
      </c>
      <c r="C49" s="150" t="s">
        <v>321</v>
      </c>
      <c r="D49" s="150" t="s">
        <v>798</v>
      </c>
      <c r="E49" s="150" t="s">
        <v>591</v>
      </c>
      <c r="F49" s="150" t="s">
        <v>592</v>
      </c>
      <c r="G49" s="150" t="s">
        <v>1286</v>
      </c>
      <c r="H49" s="150">
        <v>2024.0</v>
      </c>
      <c r="I49" s="155" t="s">
        <v>1287</v>
      </c>
      <c r="J49" s="150" t="s">
        <v>118</v>
      </c>
      <c r="K49" s="151">
        <v>45506.0</v>
      </c>
      <c r="L49" s="151" t="s">
        <v>345</v>
      </c>
      <c r="M49" s="150" t="s">
        <v>588</v>
      </c>
      <c r="N49" s="150" t="s">
        <v>368</v>
      </c>
      <c r="O49" s="152" t="s">
        <v>1026</v>
      </c>
      <c r="P49" s="152" t="s">
        <v>368</v>
      </c>
      <c r="Q49" s="150" t="s">
        <v>1288</v>
      </c>
      <c r="R49" s="152" t="s">
        <v>370</v>
      </c>
      <c r="S49" s="148"/>
      <c r="T49" s="152" t="s">
        <v>73</v>
      </c>
      <c r="U49" s="148"/>
      <c r="V49" s="150">
        <v>8.0</v>
      </c>
      <c r="W49" s="150">
        <v>8.0</v>
      </c>
      <c r="X49" s="150">
        <v>8.0</v>
      </c>
      <c r="Y49" s="150" t="s">
        <v>378</v>
      </c>
      <c r="Z49" s="150" t="s">
        <v>378</v>
      </c>
      <c r="AA49" s="150" t="s">
        <v>378</v>
      </c>
      <c r="AB49" s="150" t="s">
        <v>1289</v>
      </c>
      <c r="AC49" s="150" t="s">
        <v>1290</v>
      </c>
      <c r="AD49" s="150" t="s">
        <v>378</v>
      </c>
      <c r="AE49" s="150" t="s">
        <v>1291</v>
      </c>
      <c r="AF49" s="152" t="s">
        <v>1292</v>
      </c>
      <c r="AG49" s="152" t="s">
        <v>630</v>
      </c>
      <c r="AH49" s="148"/>
      <c r="AI49" s="148"/>
      <c r="AJ49" s="148"/>
      <c r="AK49" s="148"/>
      <c r="AL49" s="148"/>
      <c r="AM49" s="148"/>
      <c r="AN49" s="148"/>
      <c r="AO49" s="148"/>
      <c r="AP49" s="148"/>
      <c r="AQ49" s="148"/>
      <c r="AR49" s="148"/>
      <c r="AS49" s="148"/>
      <c r="AT49" s="148"/>
      <c r="AU49" s="148"/>
      <c r="AV49" s="148"/>
      <c r="AW49" s="148"/>
      <c r="AX49" s="148"/>
      <c r="AY49" s="148"/>
      <c r="AZ49" s="148"/>
      <c r="BA49" s="148"/>
      <c r="BB49" s="150" t="s">
        <v>75</v>
      </c>
      <c r="BC49" s="150" t="s">
        <v>80</v>
      </c>
      <c r="BD49" s="150" t="s">
        <v>75</v>
      </c>
      <c r="BE49" s="150" t="s">
        <v>80</v>
      </c>
      <c r="BF49" s="150" t="s">
        <v>75</v>
      </c>
      <c r="BG49" s="150"/>
      <c r="BH49" s="148"/>
      <c r="BI49" s="56"/>
      <c r="BJ49" s="56"/>
      <c r="BK49" s="56"/>
      <c r="BL49" s="56"/>
      <c r="BM49" s="56"/>
      <c r="BN49" s="56"/>
      <c r="BO49" s="56"/>
      <c r="BP49" s="56"/>
      <c r="BQ49" s="56"/>
      <c r="BR49" s="56"/>
      <c r="BS49" s="56"/>
      <c r="BT49" s="56"/>
      <c r="BU49" s="56"/>
      <c r="BV49" s="56"/>
      <c r="BW49" s="56"/>
      <c r="BX49" s="56"/>
    </row>
    <row r="50" hidden="1">
      <c r="A50" s="48" t="str">
        <f t="shared" si="1"/>
        <v/>
      </c>
      <c r="B50" s="48"/>
      <c r="C50" s="48"/>
      <c r="D50" s="48"/>
      <c r="E50" s="10" t="s">
        <v>1293</v>
      </c>
      <c r="F50" s="48"/>
      <c r="G50" s="48"/>
      <c r="H50" s="48"/>
      <c r="I50" s="48"/>
      <c r="J50" s="48"/>
      <c r="K50" s="64"/>
      <c r="L50" s="64"/>
      <c r="M50" s="48"/>
      <c r="N50" s="48"/>
      <c r="O50" s="48"/>
      <c r="P50" s="48"/>
      <c r="Q50" s="48"/>
      <c r="R50" s="48"/>
      <c r="S50" s="60"/>
      <c r="T50" s="48"/>
      <c r="U50" s="48"/>
      <c r="V50" s="48"/>
      <c r="W50" s="48"/>
      <c r="X50" s="48"/>
      <c r="Y50" s="48"/>
      <c r="Z50" s="48"/>
      <c r="AA50" s="48"/>
      <c r="AB50" s="48"/>
      <c r="AC50" s="48"/>
      <c r="AD50" s="48"/>
      <c r="AE50" s="48"/>
      <c r="AF50" s="60"/>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56"/>
      <c r="BJ50" s="56"/>
      <c r="BK50" s="56"/>
      <c r="BL50" s="56"/>
      <c r="BM50" s="56"/>
      <c r="BN50" s="56"/>
      <c r="BO50" s="56"/>
      <c r="BP50" s="56"/>
      <c r="BQ50" s="56"/>
      <c r="BR50" s="56"/>
      <c r="BS50" s="56"/>
      <c r="BT50" s="56"/>
      <c r="BU50" s="56"/>
      <c r="BV50" s="56"/>
      <c r="BW50" s="56"/>
      <c r="BX50" s="56"/>
    </row>
    <row r="51" hidden="1">
      <c r="A51" s="48" t="str">
        <f t="shared" si="1"/>
        <v/>
      </c>
      <c r="B51" s="48"/>
      <c r="C51" s="48"/>
      <c r="D51" s="48"/>
      <c r="E51" s="10" t="s">
        <v>1294</v>
      </c>
      <c r="F51" s="48"/>
      <c r="G51" s="48"/>
      <c r="H51" s="48"/>
      <c r="I51" s="48"/>
      <c r="J51" s="48"/>
      <c r="K51" s="64"/>
      <c r="L51" s="64"/>
      <c r="M51" s="48"/>
      <c r="N51" s="48"/>
      <c r="O51" s="48"/>
      <c r="P51" s="48"/>
      <c r="Q51" s="48"/>
      <c r="R51" s="48"/>
      <c r="S51" s="60"/>
      <c r="T51" s="48"/>
      <c r="U51" s="48"/>
      <c r="V51" s="48"/>
      <c r="W51" s="48"/>
      <c r="X51" s="48"/>
      <c r="Y51" s="48"/>
      <c r="Z51" s="48"/>
      <c r="AA51" s="48"/>
      <c r="AB51" s="48"/>
      <c r="AC51" s="48"/>
      <c r="AD51" s="48"/>
      <c r="AE51" s="48"/>
      <c r="AF51" s="60"/>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56"/>
      <c r="BJ51" s="56"/>
      <c r="BK51" s="56"/>
      <c r="BL51" s="56"/>
      <c r="BM51" s="56"/>
      <c r="BN51" s="56"/>
      <c r="BO51" s="56"/>
      <c r="BP51" s="56"/>
      <c r="BQ51" s="56"/>
      <c r="BR51" s="56"/>
      <c r="BS51" s="56"/>
      <c r="BT51" s="56"/>
      <c r="BU51" s="56"/>
      <c r="BV51" s="56"/>
      <c r="BW51" s="56"/>
      <c r="BX51" s="56"/>
    </row>
    <row r="52" hidden="1">
      <c r="A52" s="48" t="str">
        <f t="shared" si="1"/>
        <v/>
      </c>
      <c r="B52" s="48"/>
      <c r="C52" s="48"/>
      <c r="D52" s="48"/>
      <c r="E52" s="10" t="s">
        <v>1295</v>
      </c>
      <c r="F52" s="48"/>
      <c r="G52" s="48"/>
      <c r="H52" s="48"/>
      <c r="I52" s="48"/>
      <c r="J52" s="48"/>
      <c r="K52" s="64"/>
      <c r="L52" s="64"/>
      <c r="M52" s="48"/>
      <c r="N52" s="48"/>
      <c r="O52" s="48"/>
      <c r="P52" s="48"/>
      <c r="Q52" s="48"/>
      <c r="R52" s="48"/>
      <c r="S52" s="60"/>
      <c r="T52" s="48"/>
      <c r="U52" s="48"/>
      <c r="V52" s="48"/>
      <c r="W52" s="48"/>
      <c r="X52" s="48"/>
      <c r="Y52" s="48"/>
      <c r="Z52" s="48"/>
      <c r="AA52" s="48"/>
      <c r="AB52" s="48"/>
      <c r="AC52" s="48"/>
      <c r="AD52" s="48"/>
      <c r="AE52" s="48"/>
      <c r="AF52" s="60"/>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56"/>
      <c r="BJ52" s="56"/>
      <c r="BK52" s="56"/>
      <c r="BL52" s="56"/>
      <c r="BM52" s="56"/>
      <c r="BN52" s="56"/>
      <c r="BO52" s="56"/>
      <c r="BP52" s="56"/>
      <c r="BQ52" s="56"/>
      <c r="BR52" s="56"/>
      <c r="BS52" s="56"/>
      <c r="BT52" s="56"/>
      <c r="BU52" s="56"/>
      <c r="BV52" s="56"/>
      <c r="BW52" s="56"/>
      <c r="BX52" s="56"/>
    </row>
    <row r="53" hidden="1">
      <c r="A53" s="48" t="str">
        <f t="shared" si="1"/>
        <v/>
      </c>
      <c r="B53" s="48"/>
      <c r="C53" s="48"/>
      <c r="D53" s="48"/>
      <c r="E53" s="10" t="s">
        <v>1296</v>
      </c>
      <c r="F53" s="48"/>
      <c r="G53" s="48"/>
      <c r="H53" s="48"/>
      <c r="I53" s="48"/>
      <c r="J53" s="48"/>
      <c r="K53" s="64"/>
      <c r="L53" s="64"/>
      <c r="M53" s="48"/>
      <c r="N53" s="48"/>
      <c r="O53" s="48"/>
      <c r="P53" s="48"/>
      <c r="Q53" s="48"/>
      <c r="R53" s="48"/>
      <c r="S53" s="60"/>
      <c r="T53" s="48"/>
      <c r="U53" s="48"/>
      <c r="V53" s="48"/>
      <c r="W53" s="48"/>
      <c r="X53" s="48"/>
      <c r="Y53" s="48"/>
      <c r="Z53" s="48"/>
      <c r="AA53" s="48"/>
      <c r="AB53" s="48"/>
      <c r="AC53" s="48"/>
      <c r="AD53" s="48"/>
      <c r="AE53" s="48"/>
      <c r="AF53" s="60"/>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56"/>
      <c r="BJ53" s="56"/>
      <c r="BK53" s="56"/>
      <c r="BL53" s="56"/>
      <c r="BM53" s="56"/>
      <c r="BN53" s="56"/>
      <c r="BO53" s="56"/>
      <c r="BP53" s="56"/>
      <c r="BQ53" s="56"/>
      <c r="BR53" s="56"/>
      <c r="BS53" s="56"/>
      <c r="BT53" s="56"/>
      <c r="BU53" s="56"/>
      <c r="BV53" s="56"/>
      <c r="BW53" s="56"/>
      <c r="BX53" s="56"/>
    </row>
    <row r="54" ht="27.75" hidden="1" customHeight="1">
      <c r="A54" s="126" t="str">
        <f t="shared" si="1"/>
        <v>ROLI25</v>
      </c>
      <c r="B54" s="122"/>
      <c r="C54" s="122"/>
      <c r="D54" s="126" t="s">
        <v>1297</v>
      </c>
      <c r="E54" s="126" t="s">
        <v>1298</v>
      </c>
      <c r="F54" s="126" t="s">
        <v>1299</v>
      </c>
      <c r="G54" s="126" t="s">
        <v>1300</v>
      </c>
      <c r="H54" s="128">
        <v>2025.0</v>
      </c>
      <c r="I54" s="126" t="s">
        <v>1301</v>
      </c>
      <c r="J54" s="126" t="s">
        <v>1302</v>
      </c>
      <c r="K54" s="129">
        <v>45764.0</v>
      </c>
      <c r="L54" s="156"/>
      <c r="M54" s="126" t="s">
        <v>1303</v>
      </c>
      <c r="N54" s="122"/>
      <c r="O54" s="122"/>
      <c r="P54" s="126" t="s">
        <v>368</v>
      </c>
      <c r="Q54" s="122"/>
      <c r="R54" s="122"/>
      <c r="S54" s="122"/>
      <c r="T54" s="126" t="s">
        <v>73</v>
      </c>
      <c r="U54" s="122"/>
      <c r="V54" s="122"/>
      <c r="W54" s="122"/>
      <c r="X54" s="122"/>
      <c r="Y54" s="122"/>
      <c r="Z54" s="122"/>
      <c r="AA54" s="122"/>
      <c r="AB54" s="122"/>
      <c r="AC54" s="122"/>
      <c r="AD54" s="128">
        <v>2.0</v>
      </c>
      <c r="AE54" s="122"/>
      <c r="AF54" s="126" t="s">
        <v>96</v>
      </c>
      <c r="AG54" s="122"/>
      <c r="AH54" s="122"/>
      <c r="AI54" s="122"/>
      <c r="AJ54" s="122"/>
      <c r="AK54" s="122"/>
      <c r="AL54" s="122"/>
      <c r="AM54" s="122"/>
      <c r="AN54" s="122"/>
      <c r="AO54" s="122"/>
      <c r="AP54" s="122"/>
      <c r="AQ54" s="122"/>
      <c r="AR54" s="122"/>
      <c r="AS54" s="122"/>
      <c r="AT54" s="122"/>
      <c r="AU54" s="122"/>
      <c r="AV54" s="122"/>
      <c r="AW54" s="122"/>
      <c r="AX54" s="122"/>
      <c r="AY54" s="126" t="s">
        <v>80</v>
      </c>
      <c r="AZ54" s="122"/>
      <c r="BA54" s="122"/>
      <c r="BB54" s="126" t="s">
        <v>75</v>
      </c>
      <c r="BC54" s="126" t="s">
        <v>75</v>
      </c>
      <c r="BD54" s="126" t="s">
        <v>75</v>
      </c>
      <c r="BE54" s="126" t="s">
        <v>75</v>
      </c>
      <c r="BF54" s="122"/>
      <c r="BG54" s="126" t="s">
        <v>1304</v>
      </c>
      <c r="BH54" s="122"/>
      <c r="BI54" s="157"/>
      <c r="BJ54" s="157"/>
      <c r="BK54" s="157"/>
      <c r="BL54" s="157"/>
      <c r="BM54" s="157"/>
      <c r="BN54" s="157"/>
      <c r="BO54" s="157"/>
      <c r="BP54" s="157"/>
      <c r="BQ54" s="157"/>
      <c r="BR54" s="157"/>
      <c r="BS54" s="157"/>
      <c r="BT54" s="157"/>
      <c r="BU54" s="157"/>
      <c r="BV54" s="157"/>
      <c r="BW54" s="157"/>
      <c r="BX54" s="157"/>
    </row>
    <row r="55" ht="27.75" hidden="1" customHeight="1">
      <c r="A55" s="10" t="str">
        <f t="shared" si="1"/>
        <v>ZIMA22</v>
      </c>
      <c r="B55" s="10"/>
      <c r="C55" s="10"/>
      <c r="D55" s="10" t="s">
        <v>1305</v>
      </c>
      <c r="E55" s="10" t="s">
        <v>1306</v>
      </c>
      <c r="F55" s="10" t="s">
        <v>1307</v>
      </c>
      <c r="G55" s="10" t="s">
        <v>1308</v>
      </c>
      <c r="H55" s="10">
        <v>2022.0</v>
      </c>
      <c r="I55" s="10" t="s">
        <v>1309</v>
      </c>
      <c r="J55" s="10" t="s">
        <v>1310</v>
      </c>
      <c r="K55" s="50">
        <v>44908.0</v>
      </c>
      <c r="L55" s="10"/>
      <c r="M55" s="10" t="s">
        <v>1311</v>
      </c>
      <c r="N55" s="10"/>
      <c r="O55" s="10"/>
      <c r="P55" s="10" t="s">
        <v>368</v>
      </c>
      <c r="Q55" s="10"/>
      <c r="R55" s="10"/>
      <c r="S55" s="10"/>
      <c r="T55" s="10" t="s">
        <v>73</v>
      </c>
      <c r="U55" s="10" t="s">
        <v>1312</v>
      </c>
      <c r="V55" s="10">
        <v>7.0</v>
      </c>
      <c r="W55" s="10"/>
      <c r="X55" s="10">
        <v>1.0</v>
      </c>
      <c r="Y55" s="10"/>
      <c r="Z55" s="10"/>
      <c r="AA55" s="10"/>
      <c r="AB55" s="10"/>
      <c r="AC55" s="10"/>
      <c r="AD55" s="10"/>
      <c r="AE55" s="10"/>
      <c r="AF55" s="10" t="s">
        <v>1313</v>
      </c>
      <c r="AG55" s="10"/>
      <c r="AH55" s="10"/>
      <c r="AI55" s="10"/>
      <c r="AJ55" s="10"/>
      <c r="AK55" s="10"/>
      <c r="AL55" s="10"/>
      <c r="AM55" s="10"/>
      <c r="AN55" s="10"/>
      <c r="AO55" s="10"/>
      <c r="AP55" s="10"/>
      <c r="AQ55" s="10"/>
      <c r="AR55" s="10"/>
      <c r="AS55" s="10"/>
      <c r="AT55" s="10"/>
      <c r="AU55" s="10"/>
      <c r="AV55" s="10"/>
      <c r="AW55" s="10"/>
      <c r="AX55" s="10"/>
      <c r="AY55" s="10"/>
      <c r="AZ55" s="10"/>
      <c r="BA55" s="10"/>
      <c r="BB55" s="10" t="s">
        <v>75</v>
      </c>
      <c r="BC55" s="10" t="s">
        <v>75</v>
      </c>
      <c r="BD55" s="10" t="s">
        <v>75</v>
      </c>
      <c r="BE55" s="10" t="s">
        <v>75</v>
      </c>
      <c r="BF55" s="10"/>
      <c r="BG55" s="10" t="s">
        <v>1314</v>
      </c>
      <c r="BH55" s="10"/>
      <c r="BI55" s="158"/>
      <c r="BJ55" s="158"/>
      <c r="BK55" s="158"/>
      <c r="BL55" s="158"/>
      <c r="BM55" s="158"/>
      <c r="BN55" s="158"/>
      <c r="BO55" s="158"/>
      <c r="BP55" s="158"/>
      <c r="BQ55" s="158"/>
      <c r="BR55" s="158"/>
      <c r="BS55" s="158"/>
      <c r="BT55" s="158"/>
      <c r="BU55" s="158"/>
      <c r="BV55" s="158"/>
      <c r="BW55" s="158"/>
      <c r="BX55" s="158"/>
    </row>
    <row r="56" ht="27.75" customHeight="1">
      <c r="A56" s="48" t="str">
        <f t="shared" si="1"/>
        <v/>
      </c>
      <c r="B56" s="48"/>
      <c r="C56" s="48"/>
      <c r="D56" s="48"/>
      <c r="E56" s="48"/>
      <c r="F56" s="48"/>
      <c r="G56" s="48"/>
      <c r="H56" s="48"/>
      <c r="I56" s="48"/>
      <c r="J56" s="48"/>
      <c r="K56" s="64"/>
      <c r="L56" s="64"/>
      <c r="M56" s="48"/>
      <c r="N56" s="48"/>
      <c r="O56" s="48"/>
      <c r="P56" s="48"/>
      <c r="Q56" s="48"/>
      <c r="R56" s="48"/>
      <c r="S56" s="60"/>
      <c r="T56" s="48"/>
      <c r="U56" s="48"/>
      <c r="V56" s="48"/>
      <c r="W56" s="48"/>
      <c r="X56" s="48"/>
      <c r="Y56" s="48"/>
      <c r="Z56" s="48"/>
      <c r="AA56" s="48"/>
      <c r="AB56" s="48"/>
      <c r="AC56" s="48"/>
      <c r="AD56" s="48"/>
      <c r="AE56" s="48"/>
      <c r="AF56" s="60"/>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56"/>
      <c r="BJ56" s="56"/>
      <c r="BK56" s="56"/>
      <c r="BL56" s="56"/>
      <c r="BM56" s="56"/>
      <c r="BN56" s="56"/>
      <c r="BO56" s="56"/>
      <c r="BP56" s="56"/>
      <c r="BQ56" s="56"/>
      <c r="BR56" s="56"/>
      <c r="BS56" s="56"/>
      <c r="BT56" s="56"/>
      <c r="BU56" s="56"/>
      <c r="BV56" s="56"/>
      <c r="BW56" s="56"/>
      <c r="BX56" s="56"/>
    </row>
    <row r="57" ht="27.75" customHeight="1">
      <c r="A57" s="10" t="str">
        <f t="shared" si="1"/>
        <v>JIHE20</v>
      </c>
      <c r="B57" s="10"/>
      <c r="C57" s="10"/>
      <c r="D57" s="10" t="s">
        <v>1315</v>
      </c>
      <c r="E57" s="10" t="s">
        <v>1316</v>
      </c>
      <c r="F57" s="10" t="s">
        <v>1317</v>
      </c>
      <c r="G57" s="10" t="s">
        <v>1318</v>
      </c>
      <c r="H57" s="10">
        <v>2020.0</v>
      </c>
      <c r="I57" s="10" t="s">
        <v>1319</v>
      </c>
      <c r="J57" s="10" t="s">
        <v>1320</v>
      </c>
      <c r="K57" s="50">
        <v>43902.0</v>
      </c>
      <c r="L57" s="10"/>
      <c r="M57" s="10" t="s">
        <v>1321</v>
      </c>
      <c r="N57" s="10"/>
      <c r="O57" s="10"/>
      <c r="P57" s="10" t="s">
        <v>368</v>
      </c>
      <c r="Q57" s="159" t="s">
        <v>1322</v>
      </c>
      <c r="R57" s="10"/>
      <c r="S57" s="10"/>
      <c r="T57" s="10" t="s">
        <v>73</v>
      </c>
      <c r="U57" s="10" t="s">
        <v>750</v>
      </c>
      <c r="V57" s="10">
        <v>0.0</v>
      </c>
      <c r="W57" s="10">
        <v>0.0</v>
      </c>
      <c r="X57" s="10">
        <v>2.0</v>
      </c>
      <c r="Y57" s="10" t="s">
        <v>1323</v>
      </c>
      <c r="Z57" s="10">
        <v>2.0</v>
      </c>
      <c r="AA57" s="10">
        <v>0.0</v>
      </c>
      <c r="AB57" s="10"/>
      <c r="AC57" s="10" t="s">
        <v>1324</v>
      </c>
      <c r="AD57" s="10">
        <v>2.0</v>
      </c>
      <c r="AE57" s="10">
        <v>12769.0</v>
      </c>
      <c r="AF57" s="10" t="s">
        <v>96</v>
      </c>
      <c r="AG57" s="10"/>
      <c r="AH57" s="10" t="s">
        <v>80</v>
      </c>
      <c r="AI57" s="10" t="s">
        <v>80</v>
      </c>
      <c r="AJ57" s="10" t="s">
        <v>75</v>
      </c>
      <c r="AK57" s="10" t="s">
        <v>75</v>
      </c>
      <c r="AL57" s="10" t="s">
        <v>75</v>
      </c>
      <c r="AM57" s="10" t="s">
        <v>80</v>
      </c>
      <c r="AN57" s="10" t="s">
        <v>75</v>
      </c>
      <c r="AO57" s="10"/>
      <c r="AP57" s="10"/>
      <c r="AQ57" s="10" t="s">
        <v>80</v>
      </c>
      <c r="AR57" s="10" t="s">
        <v>1325</v>
      </c>
      <c r="AS57" s="10" t="s">
        <v>1326</v>
      </c>
      <c r="AT57" s="10" t="s">
        <v>80</v>
      </c>
      <c r="AU57" s="10"/>
      <c r="AV57" s="10" t="s">
        <v>80</v>
      </c>
      <c r="AW57" s="10" t="s">
        <v>80</v>
      </c>
      <c r="AX57" s="10" t="s">
        <v>75</v>
      </c>
      <c r="AY57" s="10"/>
      <c r="AZ57" s="10"/>
      <c r="BA57" s="10" t="s">
        <v>80</v>
      </c>
      <c r="BB57" s="10" t="s">
        <v>80</v>
      </c>
      <c r="BC57" s="10" t="s">
        <v>75</v>
      </c>
      <c r="BD57" s="10" t="s">
        <v>75</v>
      </c>
      <c r="BE57" s="10" t="s">
        <v>75</v>
      </c>
      <c r="BF57" s="10"/>
      <c r="BG57" s="10" t="s">
        <v>1327</v>
      </c>
      <c r="BH57" s="10"/>
      <c r="BI57" s="158"/>
      <c r="BJ57" s="158"/>
      <c r="BK57" s="158"/>
      <c r="BL57" s="158"/>
      <c r="BM57" s="158"/>
      <c r="BN57" s="158"/>
      <c r="BO57" s="158"/>
      <c r="BP57" s="158"/>
      <c r="BQ57" s="158"/>
      <c r="BR57" s="158"/>
      <c r="BS57" s="158"/>
      <c r="BT57" s="158"/>
      <c r="BU57" s="158"/>
      <c r="BV57" s="158"/>
      <c r="BW57" s="158"/>
      <c r="BX57" s="158"/>
    </row>
    <row r="58" ht="27.75" customHeight="1">
      <c r="A58" s="10" t="str">
        <f t="shared" si="1"/>
        <v>J.S.21</v>
      </c>
      <c r="B58" s="10"/>
      <c r="C58" s="10"/>
      <c r="D58" s="10" t="s">
        <v>1328</v>
      </c>
      <c r="E58" s="10" t="s">
        <v>1329</v>
      </c>
      <c r="F58" s="10" t="s">
        <v>1330</v>
      </c>
      <c r="G58" s="10" t="s">
        <v>1331</v>
      </c>
      <c r="H58" s="10">
        <v>2021.0</v>
      </c>
      <c r="I58" s="10" t="s">
        <v>113</v>
      </c>
      <c r="J58" s="10" t="s">
        <v>118</v>
      </c>
      <c r="K58" s="50">
        <v>46012.0</v>
      </c>
      <c r="L58" s="10"/>
      <c r="M58" s="10" t="s">
        <v>110</v>
      </c>
      <c r="N58" s="10"/>
      <c r="O58" s="10"/>
      <c r="P58" s="10" t="s">
        <v>368</v>
      </c>
      <c r="Q58" s="10"/>
      <c r="R58" s="10"/>
      <c r="S58" s="10"/>
      <c r="T58" s="10" t="s">
        <v>73</v>
      </c>
      <c r="U58" s="10" t="s">
        <v>1332</v>
      </c>
      <c r="V58" s="10"/>
      <c r="W58" s="10"/>
      <c r="X58" s="10">
        <v>2.0</v>
      </c>
      <c r="Y58" s="10"/>
      <c r="Z58" s="10"/>
      <c r="AA58" s="10"/>
      <c r="AB58" s="10"/>
      <c r="AC58" s="10"/>
      <c r="AD58" s="10">
        <v>2.0</v>
      </c>
      <c r="AE58" s="10">
        <v>10024.0</v>
      </c>
      <c r="AF58" s="10" t="s">
        <v>1333</v>
      </c>
      <c r="AG58" s="10"/>
      <c r="AH58" s="10" t="s">
        <v>80</v>
      </c>
      <c r="AI58" s="10" t="s">
        <v>80</v>
      </c>
      <c r="AJ58" s="10" t="s">
        <v>75</v>
      </c>
      <c r="AK58" s="10" t="s">
        <v>80</v>
      </c>
      <c r="AL58" s="10" t="s">
        <v>80</v>
      </c>
      <c r="AM58" s="10" t="s">
        <v>75</v>
      </c>
      <c r="AN58" s="10" t="s">
        <v>80</v>
      </c>
      <c r="AO58" s="10"/>
      <c r="AP58" s="10" t="s">
        <v>98</v>
      </c>
      <c r="AQ58" s="10" t="s">
        <v>75</v>
      </c>
      <c r="AR58" s="10"/>
      <c r="AS58" s="10" t="s">
        <v>1326</v>
      </c>
      <c r="AT58" s="10" t="s">
        <v>75</v>
      </c>
      <c r="AU58" s="10"/>
      <c r="AV58" s="10" t="s">
        <v>75</v>
      </c>
      <c r="AW58" s="10" t="s">
        <v>80</v>
      </c>
      <c r="AX58" s="10" t="s">
        <v>80</v>
      </c>
      <c r="AY58" s="10"/>
      <c r="AZ58" s="10"/>
      <c r="BA58" s="10"/>
      <c r="BB58" s="10" t="s">
        <v>75</v>
      </c>
      <c r="BC58" s="10" t="s">
        <v>75</v>
      </c>
      <c r="BD58" s="10" t="s">
        <v>75</v>
      </c>
      <c r="BE58" s="10" t="s">
        <v>75</v>
      </c>
      <c r="BF58" s="10"/>
      <c r="BG58" s="10" t="s">
        <v>1334</v>
      </c>
      <c r="BH58" s="10"/>
      <c r="BI58" s="158"/>
      <c r="BJ58" s="158"/>
      <c r="BK58" s="158"/>
      <c r="BL58" s="158"/>
      <c r="BM58" s="158"/>
      <c r="BN58" s="158"/>
      <c r="BO58" s="158"/>
      <c r="BP58" s="158"/>
      <c r="BQ58" s="158"/>
      <c r="BR58" s="158"/>
      <c r="BS58" s="158"/>
      <c r="BT58" s="158"/>
      <c r="BU58" s="158"/>
      <c r="BV58" s="158"/>
      <c r="BW58" s="158"/>
      <c r="BX58" s="158"/>
    </row>
    <row r="59" ht="27.75" customHeight="1">
      <c r="A59" s="10" t="str">
        <f t="shared" si="1"/>
        <v>XISH22</v>
      </c>
      <c r="B59" s="10"/>
      <c r="C59" s="10"/>
      <c r="D59" s="10" t="s">
        <v>454</v>
      </c>
      <c r="E59" s="10" t="s">
        <v>1335</v>
      </c>
      <c r="F59" s="10" t="s">
        <v>1336</v>
      </c>
      <c r="G59" s="10" t="s">
        <v>1337</v>
      </c>
      <c r="H59" s="10">
        <v>2022.0</v>
      </c>
      <c r="I59" s="10" t="s">
        <v>1338</v>
      </c>
      <c r="J59" s="10" t="s">
        <v>1339</v>
      </c>
      <c r="K59" s="10">
        <v>44919.0</v>
      </c>
      <c r="L59" s="10"/>
      <c r="M59" s="10"/>
      <c r="N59" s="10"/>
      <c r="O59" s="10"/>
      <c r="P59" s="10" t="s">
        <v>1246</v>
      </c>
      <c r="Q59" s="10"/>
      <c r="R59" s="10"/>
      <c r="S59" s="10"/>
      <c r="T59" s="10" t="s">
        <v>165</v>
      </c>
      <c r="U59" s="10" t="s">
        <v>1332</v>
      </c>
      <c r="V59" s="10"/>
      <c r="W59" s="10"/>
      <c r="X59" s="10"/>
      <c r="Y59" s="10"/>
      <c r="Z59" s="10"/>
      <c r="AA59" s="10"/>
      <c r="AB59" s="10"/>
      <c r="AC59" s="10"/>
      <c r="AD59" s="10"/>
      <c r="AE59" s="10"/>
      <c r="AF59" s="10" t="s">
        <v>1340</v>
      </c>
      <c r="AG59" s="10"/>
      <c r="AH59" s="10"/>
      <c r="AI59" s="10"/>
      <c r="AJ59" s="10"/>
      <c r="AK59" s="10"/>
      <c r="AL59" s="10"/>
      <c r="AM59" s="10"/>
      <c r="AN59" s="10"/>
      <c r="AO59" s="10"/>
      <c r="AP59" s="10"/>
      <c r="AQ59" s="10"/>
      <c r="AR59" s="10"/>
      <c r="AS59" s="10"/>
      <c r="AT59" s="10"/>
      <c r="AU59" s="10"/>
      <c r="AV59" s="10"/>
      <c r="AW59" s="10"/>
      <c r="AX59" s="10"/>
      <c r="AY59" s="10"/>
      <c r="AZ59" s="10"/>
      <c r="BA59" s="10"/>
      <c r="BB59" s="10" t="s">
        <v>75</v>
      </c>
      <c r="BC59" s="10" t="s">
        <v>75</v>
      </c>
      <c r="BD59" s="10" t="s">
        <v>75</v>
      </c>
      <c r="BE59" s="10" t="s">
        <v>75</v>
      </c>
      <c r="BF59" s="10"/>
      <c r="BG59" s="10" t="s">
        <v>1341</v>
      </c>
      <c r="BH59" s="10"/>
      <c r="BI59" s="158"/>
      <c r="BJ59" s="158"/>
      <c r="BK59" s="158"/>
      <c r="BL59" s="158"/>
      <c r="BM59" s="158"/>
      <c r="BN59" s="158"/>
      <c r="BO59" s="158"/>
      <c r="BP59" s="158"/>
      <c r="BQ59" s="158"/>
      <c r="BR59" s="158"/>
      <c r="BS59" s="158"/>
      <c r="BT59" s="158"/>
      <c r="BU59" s="158"/>
      <c r="BV59" s="158"/>
      <c r="BW59" s="158"/>
      <c r="BX59" s="158"/>
    </row>
    <row r="60" ht="27.75" customHeight="1">
      <c r="A60" s="10" t="str">
        <f t="shared" si="1"/>
        <v>ZIME23</v>
      </c>
      <c r="B60" s="10"/>
      <c r="C60" s="10"/>
      <c r="D60" s="10" t="s">
        <v>1342</v>
      </c>
      <c r="E60" s="10" t="s">
        <v>1343</v>
      </c>
      <c r="F60" s="10" t="s">
        <v>155</v>
      </c>
      <c r="G60" s="10" t="s">
        <v>156</v>
      </c>
      <c r="H60" s="10">
        <v>2023.0</v>
      </c>
      <c r="I60" s="10" t="s">
        <v>149</v>
      </c>
      <c r="J60" s="10" t="s">
        <v>153</v>
      </c>
      <c r="K60" s="50">
        <v>45192.0</v>
      </c>
      <c r="L60" s="10"/>
      <c r="M60" s="10" t="s">
        <v>132</v>
      </c>
      <c r="N60" s="10"/>
      <c r="O60" s="10"/>
      <c r="P60" s="10" t="s">
        <v>368</v>
      </c>
      <c r="Q60" s="10"/>
      <c r="R60" s="10"/>
      <c r="S60" s="10"/>
      <c r="T60" s="10" t="s">
        <v>73</v>
      </c>
      <c r="U60" s="10" t="s">
        <v>1332</v>
      </c>
      <c r="V60" s="10">
        <v>2.0</v>
      </c>
      <c r="W60" s="10"/>
      <c r="X60" s="10"/>
      <c r="Y60" s="10" t="s">
        <v>1344</v>
      </c>
      <c r="Z60" s="10"/>
      <c r="AA60" s="10"/>
      <c r="AB60" s="10"/>
      <c r="AC60" s="10"/>
      <c r="AD60" s="10"/>
      <c r="AE60" s="10">
        <v>11386.0</v>
      </c>
      <c r="AF60" s="10" t="s">
        <v>1345</v>
      </c>
      <c r="AG60" s="10"/>
      <c r="AH60" s="10" t="s">
        <v>80</v>
      </c>
      <c r="AI60" s="10" t="s">
        <v>75</v>
      </c>
      <c r="AJ60" s="10" t="s">
        <v>75</v>
      </c>
      <c r="AK60" s="10" t="s">
        <v>75</v>
      </c>
      <c r="AL60" s="10" t="s">
        <v>75</v>
      </c>
      <c r="AM60" s="10" t="s">
        <v>75</v>
      </c>
      <c r="AN60" s="10" t="s">
        <v>75</v>
      </c>
      <c r="AO60" s="10"/>
      <c r="AP60" s="10"/>
      <c r="AQ60" s="10"/>
      <c r="AR60" s="10"/>
      <c r="AS60" s="10" t="s">
        <v>98</v>
      </c>
      <c r="AT60" s="10" t="s">
        <v>98</v>
      </c>
      <c r="AU60" s="10"/>
      <c r="AV60" s="10" t="s">
        <v>75</v>
      </c>
      <c r="AW60" s="10" t="s">
        <v>75</v>
      </c>
      <c r="AX60" s="10" t="s">
        <v>75</v>
      </c>
      <c r="AY60" s="10"/>
      <c r="AZ60" s="10"/>
      <c r="BA60" s="10"/>
      <c r="BB60" s="10" t="s">
        <v>75</v>
      </c>
      <c r="BC60" s="10" t="s">
        <v>75</v>
      </c>
      <c r="BD60" s="10" t="s">
        <v>75</v>
      </c>
      <c r="BE60" s="10" t="s">
        <v>75</v>
      </c>
      <c r="BF60" s="10"/>
      <c r="BG60" s="10" t="s">
        <v>1346</v>
      </c>
      <c r="BH60" s="10"/>
      <c r="BI60" s="158"/>
      <c r="BJ60" s="158"/>
      <c r="BK60" s="158"/>
      <c r="BL60" s="158"/>
      <c r="BM60" s="158"/>
      <c r="BN60" s="158"/>
      <c r="BO60" s="158"/>
      <c r="BP60" s="158"/>
      <c r="BQ60" s="158"/>
      <c r="BR60" s="158"/>
      <c r="BS60" s="158"/>
      <c r="BT60" s="158"/>
      <c r="BU60" s="158"/>
      <c r="BV60" s="158"/>
      <c r="BW60" s="158"/>
      <c r="BX60" s="158"/>
    </row>
    <row r="61" ht="27.75" customHeight="1">
      <c r="A61" s="10" t="str">
        <f t="shared" si="1"/>
        <v>YUJI24</v>
      </c>
      <c r="B61" s="10"/>
      <c r="C61" s="10"/>
      <c r="D61" s="10" t="s">
        <v>454</v>
      </c>
      <c r="E61" s="10" t="s">
        <v>1347</v>
      </c>
      <c r="F61" s="10" t="s">
        <v>1348</v>
      </c>
      <c r="G61" s="10" t="s">
        <v>1349</v>
      </c>
      <c r="H61" s="10">
        <v>2024.0</v>
      </c>
      <c r="I61" s="10" t="s">
        <v>1350</v>
      </c>
      <c r="J61" s="10" t="s">
        <v>118</v>
      </c>
      <c r="K61" s="10"/>
      <c r="L61" s="10"/>
      <c r="M61" s="10"/>
      <c r="N61" s="10"/>
      <c r="O61" s="10"/>
      <c r="P61" s="10" t="s">
        <v>1246</v>
      </c>
      <c r="Q61" s="10"/>
      <c r="R61" s="10"/>
      <c r="S61" s="10"/>
      <c r="T61" s="10" t="s">
        <v>73</v>
      </c>
      <c r="U61" s="10"/>
      <c r="V61" s="10"/>
      <c r="W61" s="10"/>
      <c r="X61" s="10"/>
      <c r="Y61" s="10"/>
      <c r="Z61" s="10"/>
      <c r="AA61" s="10"/>
      <c r="AB61" s="10"/>
      <c r="AC61" s="10"/>
      <c r="AD61" s="10"/>
      <c r="AE61" s="10">
        <v>31228.0</v>
      </c>
      <c r="AF61" s="10" t="s">
        <v>96</v>
      </c>
      <c r="AG61" s="10"/>
      <c r="AH61" s="10"/>
      <c r="AI61" s="10"/>
      <c r="AJ61" s="10"/>
      <c r="AK61" s="10"/>
      <c r="AL61" s="10"/>
      <c r="AM61" s="10"/>
      <c r="AN61" s="10"/>
      <c r="AO61" s="10"/>
      <c r="AP61" s="10"/>
      <c r="AQ61" s="10"/>
      <c r="AR61" s="10"/>
      <c r="AS61" s="10"/>
      <c r="AT61" s="10"/>
      <c r="AU61" s="10"/>
      <c r="AV61" s="10"/>
      <c r="AW61" s="10"/>
      <c r="AX61" s="10"/>
      <c r="AY61" s="10"/>
      <c r="AZ61" s="10"/>
      <c r="BA61" s="10"/>
      <c r="BB61" s="10" t="s">
        <v>75</v>
      </c>
      <c r="BC61" s="10" t="s">
        <v>75</v>
      </c>
      <c r="BD61" s="10" t="s">
        <v>75</v>
      </c>
      <c r="BE61" s="10" t="s">
        <v>75</v>
      </c>
      <c r="BF61" s="10"/>
      <c r="BG61" s="10" t="s">
        <v>1351</v>
      </c>
      <c r="BH61" s="10"/>
      <c r="BI61" s="158"/>
      <c r="BJ61" s="158"/>
      <c r="BK61" s="158"/>
      <c r="BL61" s="158"/>
      <c r="BM61" s="158"/>
      <c r="BN61" s="158"/>
      <c r="BO61" s="158"/>
      <c r="BP61" s="158"/>
      <c r="BQ61" s="158"/>
      <c r="BR61" s="158"/>
      <c r="BS61" s="158"/>
      <c r="BT61" s="158"/>
      <c r="BU61" s="158"/>
      <c r="BV61" s="158"/>
      <c r="BW61" s="158"/>
      <c r="BX61" s="158"/>
    </row>
    <row r="62" ht="27.75" customHeight="1">
      <c r="A62" s="10" t="str">
        <f t="shared" si="1"/>
        <v>ZHGU25</v>
      </c>
      <c r="B62" s="10"/>
      <c r="C62" s="10"/>
      <c r="D62" s="10" t="s">
        <v>454</v>
      </c>
      <c r="E62" s="10" t="s">
        <v>1352</v>
      </c>
      <c r="F62" s="10" t="s">
        <v>1353</v>
      </c>
      <c r="G62" s="10" t="s">
        <v>1354</v>
      </c>
      <c r="H62" s="10">
        <v>2025.0</v>
      </c>
      <c r="I62" s="10" t="s">
        <v>1355</v>
      </c>
      <c r="J62" s="10" t="s">
        <v>1356</v>
      </c>
      <c r="K62" s="10">
        <v>45736.0</v>
      </c>
      <c r="L62" s="10"/>
      <c r="M62" s="10"/>
      <c r="N62" s="10"/>
      <c r="O62" s="10"/>
      <c r="P62" s="10" t="s">
        <v>1246</v>
      </c>
      <c r="Q62" s="10"/>
      <c r="R62" s="10"/>
      <c r="S62" s="10"/>
      <c r="T62" s="10" t="s">
        <v>165</v>
      </c>
      <c r="U62" s="10" t="s">
        <v>1131</v>
      </c>
      <c r="V62" s="10">
        <v>12.0</v>
      </c>
      <c r="W62" s="10"/>
      <c r="X62" s="10">
        <v>6.0</v>
      </c>
      <c r="Y62" s="10"/>
      <c r="Z62" s="10"/>
      <c r="AA62" s="10"/>
      <c r="AB62" s="10" t="s">
        <v>1357</v>
      </c>
      <c r="AC62" s="10"/>
      <c r="AD62" s="10"/>
      <c r="AE62" s="10"/>
      <c r="AF62" s="10" t="s">
        <v>1358</v>
      </c>
      <c r="AG62" s="10" t="s">
        <v>1359</v>
      </c>
      <c r="AH62" s="10"/>
      <c r="AI62" s="10"/>
      <c r="AJ62" s="10"/>
      <c r="AK62" s="10"/>
      <c r="AL62" s="10"/>
      <c r="AM62" s="10"/>
      <c r="AN62" s="10"/>
      <c r="AO62" s="10"/>
      <c r="AP62" s="10"/>
      <c r="AQ62" s="10"/>
      <c r="AR62" s="10"/>
      <c r="AS62" s="10"/>
      <c r="AT62" s="10"/>
      <c r="AU62" s="10"/>
      <c r="AV62" s="10"/>
      <c r="AW62" s="10"/>
      <c r="AX62" s="10"/>
      <c r="AY62" s="10"/>
      <c r="AZ62" s="10"/>
      <c r="BA62" s="10"/>
      <c r="BB62" s="10" t="s">
        <v>75</v>
      </c>
      <c r="BC62" s="10" t="s">
        <v>75</v>
      </c>
      <c r="BD62" s="10" t="s">
        <v>75</v>
      </c>
      <c r="BE62" s="10" t="s">
        <v>75</v>
      </c>
      <c r="BF62" s="10"/>
      <c r="BG62" s="10" t="s">
        <v>1360</v>
      </c>
      <c r="BH62" s="10"/>
      <c r="BI62" s="158"/>
      <c r="BJ62" s="158"/>
      <c r="BK62" s="158"/>
      <c r="BL62" s="158"/>
      <c r="BM62" s="158"/>
      <c r="BN62" s="158"/>
      <c r="BO62" s="158"/>
      <c r="BP62" s="158"/>
      <c r="BQ62" s="158"/>
      <c r="BR62" s="158"/>
      <c r="BS62" s="158"/>
      <c r="BT62" s="158"/>
      <c r="BU62" s="158"/>
      <c r="BV62" s="158"/>
      <c r="BW62" s="158"/>
      <c r="BX62" s="158"/>
    </row>
    <row r="63" ht="27.75" customHeight="1">
      <c r="A63" s="10" t="str">
        <f t="shared" si="1"/>
        <v>YIWE25</v>
      </c>
      <c r="B63" s="10"/>
      <c r="C63" s="10"/>
      <c r="D63" s="10" t="s">
        <v>454</v>
      </c>
      <c r="E63" s="10" t="s">
        <v>1361</v>
      </c>
      <c r="F63" s="10" t="s">
        <v>1362</v>
      </c>
      <c r="G63" s="10" t="s">
        <v>1363</v>
      </c>
      <c r="H63" s="10">
        <v>2025.0</v>
      </c>
      <c r="I63" s="10" t="s">
        <v>1364</v>
      </c>
      <c r="J63" s="10" t="s">
        <v>335</v>
      </c>
      <c r="K63" s="50">
        <v>45854.0</v>
      </c>
      <c r="L63" s="10"/>
      <c r="M63" s="10" t="s">
        <v>1365</v>
      </c>
      <c r="N63" s="10"/>
      <c r="O63" s="10"/>
      <c r="P63" s="10" t="s">
        <v>368</v>
      </c>
      <c r="Q63" s="10"/>
      <c r="R63" s="10"/>
      <c r="S63" s="10"/>
      <c r="T63" s="10" t="s">
        <v>73</v>
      </c>
      <c r="U63" s="10" t="s">
        <v>1312</v>
      </c>
      <c r="V63" s="10">
        <v>3.0</v>
      </c>
      <c r="W63" s="10">
        <v>3.0</v>
      </c>
      <c r="X63" s="10">
        <v>3.0</v>
      </c>
      <c r="Y63" s="10"/>
      <c r="Z63" s="10"/>
      <c r="AA63" s="10"/>
      <c r="AB63" s="10"/>
      <c r="AC63" s="10"/>
      <c r="AD63" s="10">
        <v>9.0</v>
      </c>
      <c r="AE63" s="10"/>
      <c r="AF63" s="10" t="s">
        <v>96</v>
      </c>
      <c r="AG63" s="10" t="s">
        <v>1366</v>
      </c>
      <c r="AH63" s="10" t="s">
        <v>80</v>
      </c>
      <c r="AI63" s="10" t="s">
        <v>75</v>
      </c>
      <c r="AJ63" s="10" t="s">
        <v>75</v>
      </c>
      <c r="AK63" s="10" t="s">
        <v>80</v>
      </c>
      <c r="AL63" s="10" t="s">
        <v>75</v>
      </c>
      <c r="AM63" s="10" t="s">
        <v>75</v>
      </c>
      <c r="AN63" s="10" t="s">
        <v>80</v>
      </c>
      <c r="AO63" s="10"/>
      <c r="AP63" s="10" t="s">
        <v>98</v>
      </c>
      <c r="AQ63" s="10" t="s">
        <v>75</v>
      </c>
      <c r="AR63" s="10"/>
      <c r="AS63" s="10"/>
      <c r="AT63" s="10"/>
      <c r="AU63" s="10"/>
      <c r="AV63" s="10" t="s">
        <v>75</v>
      </c>
      <c r="AW63" s="10" t="s">
        <v>75</v>
      </c>
      <c r="AX63" s="10" t="s">
        <v>75</v>
      </c>
      <c r="AY63" s="10"/>
      <c r="AZ63" s="10"/>
      <c r="BA63" s="10"/>
      <c r="BB63" s="10" t="s">
        <v>80</v>
      </c>
      <c r="BC63" s="10" t="s">
        <v>75</v>
      </c>
      <c r="BD63" s="10" t="s">
        <v>75</v>
      </c>
      <c r="BE63" s="10" t="s">
        <v>75</v>
      </c>
      <c r="BF63" s="10"/>
      <c r="BG63" s="10" t="s">
        <v>1367</v>
      </c>
      <c r="BH63" s="10"/>
      <c r="BI63" s="158"/>
      <c r="BJ63" s="158"/>
      <c r="BK63" s="158"/>
      <c r="BL63" s="158"/>
      <c r="BM63" s="158"/>
      <c r="BN63" s="158"/>
      <c r="BO63" s="158"/>
      <c r="BP63" s="158"/>
      <c r="BQ63" s="158"/>
      <c r="BR63" s="158"/>
      <c r="BS63" s="158"/>
      <c r="BT63" s="158"/>
      <c r="BU63" s="158"/>
      <c r="BV63" s="158"/>
      <c r="BW63" s="158"/>
      <c r="BX63" s="158"/>
    </row>
    <row r="64" ht="27.75" customHeight="1">
      <c r="A64" s="10" t="str">
        <f t="shared" si="1"/>
        <v>GACA20</v>
      </c>
      <c r="B64" s="10"/>
      <c r="C64" s="10"/>
      <c r="D64" s="10" t="s">
        <v>454</v>
      </c>
      <c r="E64" s="10" t="s">
        <v>1368</v>
      </c>
      <c r="F64" s="10" t="s">
        <v>1369</v>
      </c>
      <c r="G64" s="10" t="s">
        <v>1370</v>
      </c>
      <c r="H64" s="10">
        <v>2020.0</v>
      </c>
      <c r="I64" s="10" t="s">
        <v>1371</v>
      </c>
      <c r="J64" s="10" t="s">
        <v>342</v>
      </c>
      <c r="K64" s="50">
        <v>43991.0</v>
      </c>
      <c r="L64" s="10"/>
      <c r="M64" s="10" t="s">
        <v>1372</v>
      </c>
      <c r="N64" s="10"/>
      <c r="O64" s="10"/>
      <c r="P64" s="10" t="s">
        <v>368</v>
      </c>
      <c r="Q64" s="10"/>
      <c r="R64" s="10"/>
      <c r="S64" s="10"/>
      <c r="T64" s="10" t="s">
        <v>165</v>
      </c>
      <c r="U64" s="10" t="s">
        <v>1312</v>
      </c>
      <c r="V64" s="10"/>
      <c r="W64" s="10"/>
      <c r="X64" s="10"/>
      <c r="Y64" s="10"/>
      <c r="Z64" s="10"/>
      <c r="AA64" s="10"/>
      <c r="AB64" s="10" t="s">
        <v>1373</v>
      </c>
      <c r="AC64" s="10"/>
      <c r="AD64" s="10">
        <v>4.0</v>
      </c>
      <c r="AE64" s="10">
        <v>8757.0</v>
      </c>
      <c r="AF64" s="10" t="s">
        <v>1374</v>
      </c>
      <c r="AG64" s="10"/>
      <c r="AH64" s="10"/>
      <c r="AI64" s="10"/>
      <c r="AJ64" s="10"/>
      <c r="AK64" s="10"/>
      <c r="AL64" s="10"/>
      <c r="AM64" s="10"/>
      <c r="AN64" s="10"/>
      <c r="AO64" s="10"/>
      <c r="AP64" s="10"/>
      <c r="AQ64" s="10"/>
      <c r="AR64" s="10"/>
      <c r="AS64" s="10"/>
      <c r="AT64" s="10"/>
      <c r="AU64" s="10"/>
      <c r="AV64" s="10"/>
      <c r="AW64" s="10"/>
      <c r="AX64" s="10"/>
      <c r="AY64" s="10"/>
      <c r="AZ64" s="10"/>
      <c r="BA64" s="10"/>
      <c r="BB64" s="10" t="s">
        <v>75</v>
      </c>
      <c r="BC64" s="10" t="s">
        <v>75</v>
      </c>
      <c r="BD64" s="10" t="s">
        <v>75</v>
      </c>
      <c r="BE64" s="10" t="s">
        <v>75</v>
      </c>
      <c r="BF64" s="10"/>
      <c r="BG64" s="10" t="s">
        <v>1375</v>
      </c>
      <c r="BH64" s="10"/>
      <c r="BI64" s="158"/>
      <c r="BJ64" s="158"/>
      <c r="BK64" s="158"/>
      <c r="BL64" s="158"/>
      <c r="BM64" s="158"/>
      <c r="BN64" s="158"/>
      <c r="BO64" s="158"/>
      <c r="BP64" s="158"/>
      <c r="BQ64" s="158"/>
      <c r="BR64" s="158"/>
      <c r="BS64" s="158"/>
      <c r="BT64" s="158"/>
      <c r="BU64" s="158"/>
      <c r="BV64" s="158"/>
      <c r="BW64" s="158"/>
      <c r="BX64" s="158"/>
    </row>
    <row r="65" ht="27.75" customHeight="1">
      <c r="A65" s="10" t="str">
        <f t="shared" si="1"/>
        <v>HAYU21</v>
      </c>
      <c r="B65" s="10"/>
      <c r="C65" s="10"/>
      <c r="D65" s="10" t="s">
        <v>454</v>
      </c>
      <c r="E65" s="10" t="s">
        <v>1376</v>
      </c>
      <c r="F65" s="10" t="s">
        <v>1377</v>
      </c>
      <c r="G65" s="10" t="s">
        <v>1378</v>
      </c>
      <c r="H65" s="10">
        <v>2021.0</v>
      </c>
      <c r="I65" s="10" t="s">
        <v>1379</v>
      </c>
      <c r="J65" s="10" t="s">
        <v>1380</v>
      </c>
      <c r="K65" s="10">
        <v>44443.0</v>
      </c>
      <c r="L65" s="10"/>
      <c r="M65" s="10" t="s">
        <v>1381</v>
      </c>
      <c r="N65" s="10"/>
      <c r="O65" s="10"/>
      <c r="P65" s="10" t="s">
        <v>1246</v>
      </c>
      <c r="Q65" s="10"/>
      <c r="R65" s="10"/>
      <c r="S65" s="10"/>
      <c r="T65" s="10" t="s">
        <v>165</v>
      </c>
      <c r="U65" s="10"/>
      <c r="V65" s="10"/>
      <c r="W65" s="10"/>
      <c r="X65" s="10"/>
      <c r="Y65" s="10"/>
      <c r="Z65" s="10"/>
      <c r="AA65" s="10"/>
      <c r="AB65" s="10"/>
      <c r="AC65" s="10"/>
      <c r="AD65" s="10"/>
      <c r="AE65" s="10"/>
      <c r="AF65" s="10" t="s">
        <v>96</v>
      </c>
      <c r="AG65" s="10" t="s">
        <v>1382</v>
      </c>
      <c r="AH65" s="10"/>
      <c r="AI65" s="10"/>
      <c r="AJ65" s="10"/>
      <c r="AK65" s="10"/>
      <c r="AL65" s="10"/>
      <c r="AM65" s="10"/>
      <c r="AN65" s="10"/>
      <c r="AO65" s="10"/>
      <c r="AP65" s="10"/>
      <c r="AQ65" s="10"/>
      <c r="AR65" s="10"/>
      <c r="AS65" s="10"/>
      <c r="AT65" s="10"/>
      <c r="AU65" s="10"/>
      <c r="AV65" s="10"/>
      <c r="AW65" s="10"/>
      <c r="AX65" s="10"/>
      <c r="AY65" s="10"/>
      <c r="AZ65" s="10"/>
      <c r="BA65" s="10"/>
      <c r="BB65" s="10" t="s">
        <v>75</v>
      </c>
      <c r="BC65" s="10" t="s">
        <v>80</v>
      </c>
      <c r="BD65" s="10" t="s">
        <v>75</v>
      </c>
      <c r="BE65" s="10" t="s">
        <v>75</v>
      </c>
      <c r="BF65" s="10"/>
      <c r="BG65" s="10" t="s">
        <v>1383</v>
      </c>
      <c r="BH65" s="10"/>
      <c r="BI65" s="158"/>
      <c r="BJ65" s="158"/>
      <c r="BK65" s="158"/>
      <c r="BL65" s="158"/>
      <c r="BM65" s="158"/>
      <c r="BN65" s="158"/>
      <c r="BO65" s="158"/>
      <c r="BP65" s="158"/>
      <c r="BQ65" s="158"/>
      <c r="BR65" s="158"/>
      <c r="BS65" s="158"/>
      <c r="BT65" s="158"/>
      <c r="BU65" s="158"/>
      <c r="BV65" s="158"/>
      <c r="BW65" s="158"/>
      <c r="BX65" s="158"/>
    </row>
    <row r="66" ht="27.75" customHeight="1">
      <c r="A66" s="10" t="str">
        <f t="shared" si="1"/>
        <v>BESU21</v>
      </c>
      <c r="B66" s="10"/>
      <c r="C66" s="10"/>
      <c r="D66" s="10" t="s">
        <v>1328</v>
      </c>
      <c r="E66" s="10" t="s">
        <v>1384</v>
      </c>
      <c r="F66" s="10" t="s">
        <v>1385</v>
      </c>
      <c r="G66" s="10" t="s">
        <v>1386</v>
      </c>
      <c r="H66" s="10">
        <v>2021.0</v>
      </c>
      <c r="I66" s="49" t="s">
        <v>1387</v>
      </c>
      <c r="J66" s="10" t="s">
        <v>170</v>
      </c>
      <c r="K66" s="50">
        <v>44487.0</v>
      </c>
      <c r="L66" s="10"/>
      <c r="M66" s="10" t="s">
        <v>133</v>
      </c>
      <c r="N66" s="10"/>
      <c r="O66" s="10"/>
      <c r="P66" s="10" t="s">
        <v>368</v>
      </c>
      <c r="Q66" s="10"/>
      <c r="R66" s="10"/>
      <c r="S66" s="10"/>
      <c r="T66" s="10" t="s">
        <v>73</v>
      </c>
      <c r="U66" s="10" t="s">
        <v>1332</v>
      </c>
      <c r="V66" s="10">
        <v>1.0</v>
      </c>
      <c r="W66" s="10"/>
      <c r="X66" s="10">
        <v>2.0</v>
      </c>
      <c r="Y66" s="10"/>
      <c r="Z66" s="10"/>
      <c r="AA66" s="10"/>
      <c r="AB66" s="10"/>
      <c r="AC66" s="10"/>
      <c r="AD66" s="10"/>
      <c r="AE66" s="10">
        <v>26008.0</v>
      </c>
      <c r="AF66" s="10" t="s">
        <v>1388</v>
      </c>
      <c r="AG66" s="10"/>
      <c r="AH66" s="10" t="s">
        <v>80</v>
      </c>
      <c r="AI66" s="10" t="s">
        <v>80</v>
      </c>
      <c r="AJ66" s="10" t="s">
        <v>75</v>
      </c>
      <c r="AK66" s="10" t="s">
        <v>80</v>
      </c>
      <c r="AL66" s="10" t="s">
        <v>75</v>
      </c>
      <c r="AM66" s="10" t="s">
        <v>80</v>
      </c>
      <c r="AN66" s="10" t="s">
        <v>80</v>
      </c>
      <c r="AO66" s="10"/>
      <c r="AP66" s="10" t="s">
        <v>98</v>
      </c>
      <c r="AQ66" s="10" t="s">
        <v>75</v>
      </c>
      <c r="AR66" s="10"/>
      <c r="AS66" s="10" t="s">
        <v>1326</v>
      </c>
      <c r="AT66" s="10" t="s">
        <v>75</v>
      </c>
      <c r="AU66" s="10"/>
      <c r="AV66" s="10"/>
      <c r="AW66" s="10"/>
      <c r="AX66" s="10"/>
      <c r="AY66" s="10"/>
      <c r="AZ66" s="10"/>
      <c r="BA66" s="10"/>
      <c r="BB66" s="10" t="s">
        <v>80</v>
      </c>
      <c r="BC66" s="10" t="s">
        <v>75</v>
      </c>
      <c r="BD66" s="10" t="s">
        <v>75</v>
      </c>
      <c r="BE66" s="10" t="s">
        <v>75</v>
      </c>
      <c r="BF66" s="10"/>
      <c r="BG66" s="10" t="s">
        <v>1389</v>
      </c>
      <c r="BH66" s="10"/>
      <c r="BI66" s="158"/>
      <c r="BJ66" s="158"/>
      <c r="BK66" s="158"/>
      <c r="BL66" s="158"/>
      <c r="BM66" s="158"/>
      <c r="BN66" s="158"/>
      <c r="BO66" s="158"/>
      <c r="BP66" s="158"/>
      <c r="BQ66" s="158"/>
      <c r="BR66" s="158"/>
      <c r="BS66" s="158"/>
      <c r="BT66" s="158"/>
      <c r="BU66" s="158"/>
      <c r="BV66" s="158"/>
      <c r="BW66" s="158"/>
      <c r="BX66" s="158"/>
    </row>
    <row r="67" ht="27.75" customHeight="1">
      <c r="A67" s="10" t="str">
        <f t="shared" si="1"/>
        <v>HAJO21</v>
      </c>
      <c r="B67" s="10"/>
      <c r="C67" s="10"/>
      <c r="D67" s="10" t="s">
        <v>454</v>
      </c>
      <c r="E67" s="10" t="s">
        <v>1390</v>
      </c>
      <c r="F67" s="10" t="s">
        <v>1391</v>
      </c>
      <c r="G67" s="10" t="s">
        <v>1392</v>
      </c>
      <c r="H67" s="10">
        <v>2021.0</v>
      </c>
      <c r="I67" s="10" t="s">
        <v>1393</v>
      </c>
      <c r="J67" s="10" t="s">
        <v>1394</v>
      </c>
      <c r="K67" s="10">
        <v>44548.0</v>
      </c>
      <c r="L67" s="10"/>
      <c r="M67" s="10"/>
      <c r="N67" s="10"/>
      <c r="O67" s="10"/>
      <c r="P67" s="10" t="s">
        <v>1246</v>
      </c>
      <c r="Q67" s="10"/>
      <c r="R67" s="10"/>
      <c r="S67" s="10"/>
      <c r="T67" s="10" t="s">
        <v>165</v>
      </c>
      <c r="U67" s="10"/>
      <c r="V67" s="10"/>
      <c r="W67" s="10"/>
      <c r="X67" s="10"/>
      <c r="Y67" s="10"/>
      <c r="Z67" s="10"/>
      <c r="AA67" s="10"/>
      <c r="AB67" s="10"/>
      <c r="AC67" s="10"/>
      <c r="AD67" s="10">
        <v>1.0</v>
      </c>
      <c r="AE67" s="10">
        <v>4556.0</v>
      </c>
      <c r="AF67" s="10" t="s">
        <v>1395</v>
      </c>
      <c r="AG67" s="10"/>
      <c r="AH67" s="10"/>
      <c r="AI67" s="10"/>
      <c r="AJ67" s="10"/>
      <c r="AK67" s="10"/>
      <c r="AL67" s="10"/>
      <c r="AM67" s="10"/>
      <c r="AN67" s="10"/>
      <c r="AO67" s="10"/>
      <c r="AP67" s="10"/>
      <c r="AQ67" s="10"/>
      <c r="AR67" s="10"/>
      <c r="AS67" s="10"/>
      <c r="AT67" s="10"/>
      <c r="AU67" s="10"/>
      <c r="AV67" s="10"/>
      <c r="AW67" s="10"/>
      <c r="AX67" s="10"/>
      <c r="AY67" s="10"/>
      <c r="AZ67" s="10"/>
      <c r="BA67" s="10"/>
      <c r="BB67" s="10" t="s">
        <v>75</v>
      </c>
      <c r="BC67" s="10" t="s">
        <v>75</v>
      </c>
      <c r="BD67" s="10" t="s">
        <v>75</v>
      </c>
      <c r="BE67" s="10" t="s">
        <v>75</v>
      </c>
      <c r="BF67" s="10"/>
      <c r="BG67" s="10"/>
      <c r="BH67" s="10"/>
      <c r="BI67" s="158"/>
      <c r="BJ67" s="158"/>
      <c r="BK67" s="158"/>
      <c r="BL67" s="158"/>
      <c r="BM67" s="158"/>
      <c r="BN67" s="158"/>
      <c r="BO67" s="158"/>
      <c r="BP67" s="158"/>
      <c r="BQ67" s="158"/>
      <c r="BR67" s="158"/>
      <c r="BS67" s="158"/>
      <c r="BT67" s="158"/>
      <c r="BU67" s="158"/>
      <c r="BV67" s="158"/>
      <c r="BW67" s="158"/>
      <c r="BX67" s="158"/>
    </row>
    <row r="68" ht="27.75" customHeight="1">
      <c r="A68" s="10" t="str">
        <f t="shared" si="1"/>
        <v>BIFE22</v>
      </c>
      <c r="B68" s="10"/>
      <c r="C68" s="10"/>
      <c r="D68" s="10" t="s">
        <v>1328</v>
      </c>
      <c r="E68" s="10" t="s">
        <v>1396</v>
      </c>
      <c r="F68" s="10" t="s">
        <v>201</v>
      </c>
      <c r="G68" s="10" t="s">
        <v>202</v>
      </c>
      <c r="H68" s="10">
        <v>2022.0</v>
      </c>
      <c r="I68" s="49" t="s">
        <v>1397</v>
      </c>
      <c r="J68" s="10" t="s">
        <v>200</v>
      </c>
      <c r="K68" s="50">
        <v>44830.0</v>
      </c>
      <c r="L68" s="10"/>
      <c r="M68" s="10" t="s">
        <v>162</v>
      </c>
      <c r="N68" s="10"/>
      <c r="O68" s="10"/>
      <c r="P68" s="10" t="s">
        <v>368</v>
      </c>
      <c r="Q68" s="10"/>
      <c r="R68" s="10"/>
      <c r="S68" s="10"/>
      <c r="T68" s="10" t="s">
        <v>165</v>
      </c>
      <c r="U68" s="10"/>
      <c r="V68" s="10"/>
      <c r="W68" s="10"/>
      <c r="X68" s="10"/>
      <c r="Y68" s="10"/>
      <c r="Z68" s="10"/>
      <c r="AA68" s="10"/>
      <c r="AB68" s="10" t="s">
        <v>1357</v>
      </c>
      <c r="AC68" s="10"/>
      <c r="AD68" s="10">
        <v>3.0</v>
      </c>
      <c r="AE68" s="10">
        <v>14563.0</v>
      </c>
      <c r="AF68" s="10" t="s">
        <v>1398</v>
      </c>
      <c r="AG68" s="10" t="s">
        <v>1399</v>
      </c>
      <c r="AH68" s="10" t="s">
        <v>80</v>
      </c>
      <c r="AI68" s="10" t="s">
        <v>80</v>
      </c>
      <c r="AJ68" s="10" t="s">
        <v>75</v>
      </c>
      <c r="AK68" s="10" t="s">
        <v>80</v>
      </c>
      <c r="AL68" s="10" t="s">
        <v>75</v>
      </c>
      <c r="AM68" s="10" t="s">
        <v>75</v>
      </c>
      <c r="AN68" s="10" t="s">
        <v>80</v>
      </c>
      <c r="AO68" s="10"/>
      <c r="AP68" s="10" t="s">
        <v>75</v>
      </c>
      <c r="AQ68" s="10" t="s">
        <v>75</v>
      </c>
      <c r="AR68" s="10"/>
      <c r="AS68" s="10" t="s">
        <v>1326</v>
      </c>
      <c r="AT68" s="10" t="s">
        <v>80</v>
      </c>
      <c r="AU68" s="10"/>
      <c r="AV68" s="10"/>
      <c r="AW68" s="10" t="s">
        <v>75</v>
      </c>
      <c r="AX68" s="10" t="s">
        <v>75</v>
      </c>
      <c r="AY68" s="10"/>
      <c r="AZ68" s="10"/>
      <c r="BA68" s="10"/>
      <c r="BB68" s="10" t="s">
        <v>75</v>
      </c>
      <c r="BC68" s="10" t="s">
        <v>75</v>
      </c>
      <c r="BD68" s="10" t="s">
        <v>75</v>
      </c>
      <c r="BE68" s="10" t="s">
        <v>75</v>
      </c>
      <c r="BF68" s="10"/>
      <c r="BG68" s="10" t="s">
        <v>1400</v>
      </c>
      <c r="BH68" s="10"/>
      <c r="BI68" s="158"/>
      <c r="BJ68" s="158"/>
      <c r="BK68" s="158"/>
      <c r="BL68" s="158"/>
      <c r="BM68" s="158"/>
      <c r="BN68" s="158"/>
      <c r="BO68" s="158"/>
      <c r="BP68" s="158"/>
      <c r="BQ68" s="158"/>
      <c r="BR68" s="158"/>
      <c r="BS68" s="158"/>
      <c r="BT68" s="158"/>
      <c r="BU68" s="158"/>
      <c r="BV68" s="158"/>
      <c r="BW68" s="158"/>
      <c r="BX68" s="158"/>
    </row>
    <row r="69" ht="27.75" customHeight="1">
      <c r="A69" s="10" t="str">
        <f t="shared" si="1"/>
        <v>KRJA20</v>
      </c>
      <c r="B69" s="10"/>
      <c r="C69" s="10"/>
      <c r="D69" s="10" t="s">
        <v>798</v>
      </c>
      <c r="E69" s="10" t="s">
        <v>1401</v>
      </c>
      <c r="F69" s="10" t="s">
        <v>1402</v>
      </c>
      <c r="G69" s="10" t="s">
        <v>1403</v>
      </c>
      <c r="H69" s="10">
        <v>2020.0</v>
      </c>
      <c r="I69" s="10" t="s">
        <v>1404</v>
      </c>
      <c r="J69" s="10" t="s">
        <v>1405</v>
      </c>
      <c r="K69" s="10">
        <v>43978.0</v>
      </c>
      <c r="L69" s="10"/>
      <c r="M69" s="10"/>
      <c r="N69" s="10"/>
      <c r="O69" s="10"/>
      <c r="P69" s="10" t="s">
        <v>1246</v>
      </c>
      <c r="Q69" s="10"/>
      <c r="R69" s="10"/>
      <c r="S69" s="10"/>
      <c r="T69" s="10" t="s">
        <v>532</v>
      </c>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t="s">
        <v>75</v>
      </c>
      <c r="BC69" s="10" t="s">
        <v>75</v>
      </c>
      <c r="BD69" s="10" t="s">
        <v>75</v>
      </c>
      <c r="BE69" s="10" t="s">
        <v>75</v>
      </c>
      <c r="BF69" s="10"/>
      <c r="BG69" s="10" t="s">
        <v>1406</v>
      </c>
      <c r="BH69" s="10"/>
      <c r="BI69" s="158"/>
      <c r="BJ69" s="158"/>
      <c r="BK69" s="158"/>
      <c r="BL69" s="158"/>
      <c r="BM69" s="158"/>
      <c r="BN69" s="158"/>
      <c r="BO69" s="158"/>
      <c r="BP69" s="158"/>
      <c r="BQ69" s="158"/>
      <c r="BR69" s="158"/>
      <c r="BS69" s="158"/>
      <c r="BT69" s="158"/>
      <c r="BU69" s="158"/>
      <c r="BV69" s="158"/>
      <c r="BW69" s="158"/>
      <c r="BX69" s="158"/>
    </row>
    <row r="70" ht="27.75" customHeight="1">
      <c r="A70" s="10" t="str">
        <f t="shared" si="1"/>
        <v>XUYE23</v>
      </c>
      <c r="B70" s="10"/>
      <c r="C70" s="10"/>
      <c r="D70" s="10" t="s">
        <v>1407</v>
      </c>
      <c r="E70" s="10" t="s">
        <v>1408</v>
      </c>
      <c r="F70" s="10" t="s">
        <v>509</v>
      </c>
      <c r="G70" s="10" t="s">
        <v>510</v>
      </c>
      <c r="H70" s="10">
        <v>2023.0</v>
      </c>
      <c r="I70" s="49" t="s">
        <v>1409</v>
      </c>
      <c r="J70" s="10" t="s">
        <v>508</v>
      </c>
      <c r="K70" s="50">
        <v>45247.0</v>
      </c>
      <c r="L70" s="10"/>
      <c r="M70" s="10" t="s">
        <v>502</v>
      </c>
      <c r="N70" s="10"/>
      <c r="O70" s="10"/>
      <c r="P70" s="10" t="s">
        <v>368</v>
      </c>
      <c r="Q70" s="10"/>
      <c r="R70" s="10"/>
      <c r="S70" s="10"/>
      <c r="T70" s="10" t="s">
        <v>511</v>
      </c>
      <c r="U70" s="10" t="s">
        <v>1131</v>
      </c>
      <c r="V70" s="10"/>
      <c r="W70" s="10">
        <v>3.0</v>
      </c>
      <c r="X70" s="10">
        <v>3.0</v>
      </c>
      <c r="Y70" s="10"/>
      <c r="Z70" s="10"/>
      <c r="AA70" s="10"/>
      <c r="AB70" s="10"/>
      <c r="AC70" s="10"/>
      <c r="AD70" s="10">
        <v>6.0</v>
      </c>
      <c r="AE70" s="10">
        <v>17652.0</v>
      </c>
      <c r="AF70" s="10" t="s">
        <v>1410</v>
      </c>
      <c r="AG70" s="10" t="s">
        <v>806</v>
      </c>
      <c r="AH70" s="10" t="s">
        <v>80</v>
      </c>
      <c r="AI70" s="10" t="s">
        <v>80</v>
      </c>
      <c r="AJ70" s="10" t="s">
        <v>75</v>
      </c>
      <c r="AK70" s="10" t="s">
        <v>80</v>
      </c>
      <c r="AL70" s="10" t="s">
        <v>75</v>
      </c>
      <c r="AM70" s="10" t="s">
        <v>75</v>
      </c>
      <c r="AN70" s="10" t="s">
        <v>80</v>
      </c>
      <c r="AO70" s="10"/>
      <c r="AP70" s="10" t="s">
        <v>75</v>
      </c>
      <c r="AQ70" s="10" t="s">
        <v>75</v>
      </c>
      <c r="AR70" s="10"/>
      <c r="AS70" s="10"/>
      <c r="AT70" s="10"/>
      <c r="AU70" s="10"/>
      <c r="AV70" s="10" t="s">
        <v>75</v>
      </c>
      <c r="AW70" s="10" t="s">
        <v>75</v>
      </c>
      <c r="AX70" s="10" t="s">
        <v>75</v>
      </c>
      <c r="AY70" s="10"/>
      <c r="AZ70" s="10"/>
      <c r="BA70" s="10"/>
      <c r="BB70" s="10" t="s">
        <v>75</v>
      </c>
      <c r="BC70" s="10" t="s">
        <v>75</v>
      </c>
      <c r="BD70" s="10" t="s">
        <v>75</v>
      </c>
      <c r="BE70" s="10" t="s">
        <v>75</v>
      </c>
      <c r="BF70" s="10"/>
      <c r="BG70" s="10"/>
      <c r="BH70" s="10"/>
      <c r="BI70" s="158"/>
      <c r="BJ70" s="158"/>
      <c r="BK70" s="158"/>
      <c r="BL70" s="158"/>
      <c r="BM70" s="158"/>
      <c r="BN70" s="158"/>
      <c r="BO70" s="158"/>
      <c r="BP70" s="158"/>
      <c r="BQ70" s="158"/>
      <c r="BR70" s="158"/>
      <c r="BS70" s="158"/>
      <c r="BT70" s="158"/>
      <c r="BU70" s="158"/>
      <c r="BV70" s="158"/>
      <c r="BW70" s="158"/>
      <c r="BX70" s="158"/>
    </row>
    <row r="71" ht="27.75" customHeight="1">
      <c r="A71" s="10" t="str">
        <f t="shared" si="1"/>
        <v>LIDO23</v>
      </c>
      <c r="B71" s="10"/>
      <c r="C71" s="10"/>
      <c r="D71" s="10" t="s">
        <v>1407</v>
      </c>
      <c r="E71" s="10" t="s">
        <v>1411</v>
      </c>
      <c r="F71" s="10" t="s">
        <v>217</v>
      </c>
      <c r="G71" s="10" t="s">
        <v>218</v>
      </c>
      <c r="H71" s="10">
        <v>2023.0</v>
      </c>
      <c r="I71" s="10" t="s">
        <v>1412</v>
      </c>
      <c r="J71" s="10" t="s">
        <v>216</v>
      </c>
      <c r="K71" s="50">
        <v>45167.0</v>
      </c>
      <c r="L71" s="10"/>
      <c r="M71" s="10" t="s">
        <v>207</v>
      </c>
      <c r="N71" s="10"/>
      <c r="O71" s="10"/>
      <c r="P71" s="10" t="s">
        <v>368</v>
      </c>
      <c r="Q71" s="10"/>
      <c r="R71" s="10"/>
      <c r="S71" s="10"/>
      <c r="T71" s="10" t="s">
        <v>1413</v>
      </c>
      <c r="U71" s="10" t="s">
        <v>1332</v>
      </c>
      <c r="V71" s="10">
        <v>1.0</v>
      </c>
      <c r="W71" s="10"/>
      <c r="X71" s="10">
        <v>1.0</v>
      </c>
      <c r="Y71" s="10"/>
      <c r="Z71" s="10"/>
      <c r="AA71" s="10"/>
      <c r="AB71" s="10"/>
      <c r="AC71" s="10"/>
      <c r="AD71" s="10">
        <v>2.0</v>
      </c>
      <c r="AE71" s="10">
        <v>4520.0</v>
      </c>
      <c r="AF71" s="10" t="s">
        <v>1414</v>
      </c>
      <c r="AG71" s="10"/>
      <c r="AH71" s="10" t="s">
        <v>80</v>
      </c>
      <c r="AI71" s="10" t="s">
        <v>80</v>
      </c>
      <c r="AJ71" s="10" t="s">
        <v>75</v>
      </c>
      <c r="AK71" s="10" t="s">
        <v>80</v>
      </c>
      <c r="AL71" s="10" t="s">
        <v>75</v>
      </c>
      <c r="AM71" s="10" t="s">
        <v>75</v>
      </c>
      <c r="AN71" s="10" t="s">
        <v>80</v>
      </c>
      <c r="AO71" s="10"/>
      <c r="AP71" s="10" t="s">
        <v>75</v>
      </c>
      <c r="AQ71" s="10" t="s">
        <v>75</v>
      </c>
      <c r="AR71" s="10"/>
      <c r="AS71" s="10" t="s">
        <v>1326</v>
      </c>
      <c r="AT71" s="10" t="s">
        <v>75</v>
      </c>
      <c r="AU71" s="10"/>
      <c r="AV71" s="10" t="s">
        <v>80</v>
      </c>
      <c r="AW71" s="10" t="s">
        <v>80</v>
      </c>
      <c r="AX71" s="10" t="s">
        <v>75</v>
      </c>
      <c r="AY71" s="10"/>
      <c r="AZ71" s="10"/>
      <c r="BA71" s="10"/>
      <c r="BB71" s="10" t="s">
        <v>75</v>
      </c>
      <c r="BC71" s="10" t="s">
        <v>80</v>
      </c>
      <c r="BD71" s="10" t="s">
        <v>75</v>
      </c>
      <c r="BE71" s="10" t="s">
        <v>75</v>
      </c>
      <c r="BF71" s="10"/>
      <c r="BG71" s="10" t="s">
        <v>1415</v>
      </c>
      <c r="BH71" s="10"/>
      <c r="BI71" s="158"/>
      <c r="BJ71" s="158"/>
      <c r="BK71" s="158"/>
      <c r="BL71" s="158"/>
      <c r="BM71" s="158"/>
      <c r="BN71" s="158"/>
      <c r="BO71" s="158"/>
      <c r="BP71" s="158"/>
      <c r="BQ71" s="158"/>
      <c r="BR71" s="158"/>
      <c r="BS71" s="158"/>
      <c r="BT71" s="158"/>
      <c r="BU71" s="158"/>
      <c r="BV71" s="158"/>
      <c r="BW71" s="158"/>
      <c r="BX71" s="158"/>
    </row>
    <row r="72" ht="27.75" customHeight="1">
      <c r="A72" s="10" t="str">
        <f t="shared" si="1"/>
        <v>WELU23</v>
      </c>
      <c r="B72" s="10"/>
      <c r="C72" s="10"/>
      <c r="D72" s="10" t="s">
        <v>1407</v>
      </c>
      <c r="E72" s="10" t="s">
        <v>1416</v>
      </c>
      <c r="F72" s="10" t="s">
        <v>248</v>
      </c>
      <c r="G72" s="10" t="s">
        <v>249</v>
      </c>
      <c r="H72" s="10">
        <v>2023.0</v>
      </c>
      <c r="I72" s="10" t="s">
        <v>244</v>
      </c>
      <c r="J72" s="10" t="s">
        <v>247</v>
      </c>
      <c r="K72" s="50">
        <v>45173.0</v>
      </c>
      <c r="L72" s="10"/>
      <c r="M72" s="10" t="s">
        <v>243</v>
      </c>
      <c r="N72" s="10"/>
      <c r="O72" s="10"/>
      <c r="P72" s="10" t="s">
        <v>368</v>
      </c>
      <c r="Q72" s="10"/>
      <c r="R72" s="10"/>
      <c r="S72" s="10"/>
      <c r="T72" s="10" t="s">
        <v>165</v>
      </c>
      <c r="U72" s="10"/>
      <c r="V72" s="10"/>
      <c r="W72" s="10"/>
      <c r="X72" s="10"/>
      <c r="Y72" s="10"/>
      <c r="Z72" s="10"/>
      <c r="AA72" s="10"/>
      <c r="AB72" s="10"/>
      <c r="AC72" s="10"/>
      <c r="AD72" s="10">
        <v>1.0</v>
      </c>
      <c r="AE72" s="10">
        <v>11158.0</v>
      </c>
      <c r="AF72" s="10" t="s">
        <v>1395</v>
      </c>
      <c r="AG72" s="10"/>
      <c r="AH72" s="10" t="s">
        <v>80</v>
      </c>
      <c r="AI72" s="10" t="s">
        <v>80</v>
      </c>
      <c r="AJ72" s="10" t="s">
        <v>75</v>
      </c>
      <c r="AK72" s="10" t="s">
        <v>75</v>
      </c>
      <c r="AL72" s="10" t="s">
        <v>75</v>
      </c>
      <c r="AM72" s="10" t="s">
        <v>75</v>
      </c>
      <c r="AN72" s="10" t="s">
        <v>80</v>
      </c>
      <c r="AO72" s="10"/>
      <c r="AP72" s="10" t="s">
        <v>75</v>
      </c>
      <c r="AQ72" s="10" t="s">
        <v>75</v>
      </c>
      <c r="AR72" s="10"/>
      <c r="AS72" s="10" t="s">
        <v>1326</v>
      </c>
      <c r="AT72" s="10" t="s">
        <v>75</v>
      </c>
      <c r="AU72" s="10"/>
      <c r="AV72" s="10" t="s">
        <v>80</v>
      </c>
      <c r="AW72" s="10" t="s">
        <v>75</v>
      </c>
      <c r="AX72" s="10" t="s">
        <v>75</v>
      </c>
      <c r="AY72" s="10"/>
      <c r="AZ72" s="10"/>
      <c r="BA72" s="10"/>
      <c r="BB72" s="10" t="s">
        <v>75</v>
      </c>
      <c r="BC72" s="10" t="s">
        <v>75</v>
      </c>
      <c r="BD72" s="10" t="s">
        <v>75</v>
      </c>
      <c r="BE72" s="10" t="s">
        <v>75</v>
      </c>
      <c r="BF72" s="10"/>
      <c r="BG72" s="10" t="s">
        <v>1417</v>
      </c>
      <c r="BH72" s="10"/>
      <c r="BI72" s="158"/>
      <c r="BJ72" s="158"/>
      <c r="BK72" s="158"/>
      <c r="BL72" s="158"/>
      <c r="BM72" s="158"/>
      <c r="BN72" s="158"/>
      <c r="BO72" s="158"/>
      <c r="BP72" s="158"/>
      <c r="BQ72" s="158"/>
      <c r="BR72" s="158"/>
      <c r="BS72" s="158"/>
      <c r="BT72" s="158"/>
      <c r="BU72" s="158"/>
      <c r="BV72" s="158"/>
      <c r="BW72" s="158"/>
      <c r="BX72" s="158"/>
    </row>
    <row r="73" ht="27.75" customHeight="1">
      <c r="A73" s="10" t="str">
        <f t="shared" si="1"/>
        <v>JINI24</v>
      </c>
      <c r="B73" s="10"/>
      <c r="C73" s="10"/>
      <c r="D73" s="10" t="s">
        <v>798</v>
      </c>
      <c r="E73" s="10" t="s">
        <v>1418</v>
      </c>
      <c r="F73" s="10" t="s">
        <v>1419</v>
      </c>
      <c r="G73" s="10" t="s">
        <v>1420</v>
      </c>
      <c r="H73" s="10">
        <v>2024.0</v>
      </c>
      <c r="I73" s="10" t="s">
        <v>1421</v>
      </c>
      <c r="J73" s="10" t="s">
        <v>1422</v>
      </c>
      <c r="K73" s="10">
        <v>45493.0</v>
      </c>
      <c r="L73" s="10"/>
      <c r="M73" s="10"/>
      <c r="N73" s="10"/>
      <c r="O73" s="10"/>
      <c r="P73" s="10" t="s">
        <v>1246</v>
      </c>
      <c r="Q73" s="10"/>
      <c r="R73" s="10"/>
      <c r="S73" s="10"/>
      <c r="T73" s="10" t="s">
        <v>165</v>
      </c>
      <c r="U73" s="10"/>
      <c r="V73" s="10"/>
      <c r="W73" s="10"/>
      <c r="X73" s="10"/>
      <c r="Y73" s="10"/>
      <c r="Z73" s="10"/>
      <c r="AA73" s="10"/>
      <c r="AB73" s="10" t="s">
        <v>1357</v>
      </c>
      <c r="AC73" s="10"/>
      <c r="AD73" s="10"/>
      <c r="AE73" s="10"/>
      <c r="AF73" s="10" t="s">
        <v>1423</v>
      </c>
      <c r="AG73" s="10"/>
      <c r="AH73" s="10"/>
      <c r="AI73" s="10"/>
      <c r="AJ73" s="10"/>
      <c r="AK73" s="10"/>
      <c r="AL73" s="10"/>
      <c r="AM73" s="10"/>
      <c r="AN73" s="10"/>
      <c r="AO73" s="10"/>
      <c r="AP73" s="10"/>
      <c r="AQ73" s="10"/>
      <c r="AR73" s="10"/>
      <c r="AS73" s="10"/>
      <c r="AT73" s="10"/>
      <c r="AU73" s="10"/>
      <c r="AV73" s="10"/>
      <c r="AW73" s="10"/>
      <c r="AX73" s="10"/>
      <c r="AY73" s="10"/>
      <c r="AZ73" s="10"/>
      <c r="BA73" s="10"/>
      <c r="BB73" s="10" t="s">
        <v>75</v>
      </c>
      <c r="BC73" s="10" t="s">
        <v>75</v>
      </c>
      <c r="BD73" s="10" t="s">
        <v>75</v>
      </c>
      <c r="BE73" s="10" t="s">
        <v>75</v>
      </c>
      <c r="BF73" s="10"/>
      <c r="BG73" s="10" t="s">
        <v>1424</v>
      </c>
      <c r="BH73" s="10"/>
      <c r="BI73" s="158"/>
      <c r="BJ73" s="158"/>
      <c r="BK73" s="158"/>
      <c r="BL73" s="158"/>
      <c r="BM73" s="158"/>
      <c r="BN73" s="158"/>
      <c r="BO73" s="158"/>
      <c r="BP73" s="158"/>
      <c r="BQ73" s="158"/>
      <c r="BR73" s="158"/>
      <c r="BS73" s="158"/>
      <c r="BT73" s="158"/>
      <c r="BU73" s="158"/>
      <c r="BV73" s="158"/>
      <c r="BW73" s="158"/>
      <c r="BX73" s="158"/>
    </row>
    <row r="74" ht="27.75" customHeight="1">
      <c r="A74" s="10" t="str">
        <f t="shared" si="1"/>
        <v>MIJI24</v>
      </c>
      <c r="B74" s="10"/>
      <c r="C74" s="10"/>
      <c r="D74" s="10" t="s">
        <v>1407</v>
      </c>
      <c r="E74" s="10" t="s">
        <v>1425</v>
      </c>
      <c r="F74" s="10" t="s">
        <v>259</v>
      </c>
      <c r="G74" s="10" t="s">
        <v>260</v>
      </c>
      <c r="H74" s="10">
        <v>2024.0</v>
      </c>
      <c r="I74" s="10" t="s">
        <v>256</v>
      </c>
      <c r="J74" s="10" t="s">
        <v>170</v>
      </c>
      <c r="K74" s="50">
        <v>45503.0</v>
      </c>
      <c r="L74" s="10"/>
      <c r="M74" s="10" t="s">
        <v>255</v>
      </c>
      <c r="N74" s="10"/>
      <c r="O74" s="10"/>
      <c r="P74" s="10" t="s">
        <v>368</v>
      </c>
      <c r="Q74" s="10"/>
      <c r="R74" s="10"/>
      <c r="S74" s="10"/>
      <c r="T74" s="10" t="s">
        <v>73</v>
      </c>
      <c r="U74" s="10" t="s">
        <v>1332</v>
      </c>
      <c r="V74" s="10"/>
      <c r="W74" s="10"/>
      <c r="X74" s="10"/>
      <c r="Y74" s="10"/>
      <c r="Z74" s="10"/>
      <c r="AA74" s="10"/>
      <c r="AB74" s="10"/>
      <c r="AC74" s="10"/>
      <c r="AD74" s="10">
        <v>3.0</v>
      </c>
      <c r="AE74" s="10"/>
      <c r="AF74" s="10" t="s">
        <v>1426</v>
      </c>
      <c r="AG74" s="10" t="s">
        <v>1427</v>
      </c>
      <c r="AH74" s="10" t="s">
        <v>80</v>
      </c>
      <c r="AI74" s="10" t="s">
        <v>80</v>
      </c>
      <c r="AJ74" s="10" t="s">
        <v>75</v>
      </c>
      <c r="AK74" s="10" t="s">
        <v>80</v>
      </c>
      <c r="AL74" s="10" t="s">
        <v>75</v>
      </c>
      <c r="AM74" s="10"/>
      <c r="AN74" s="10"/>
      <c r="AO74" s="10" t="s">
        <v>1428</v>
      </c>
      <c r="AP74" s="10" t="s">
        <v>75</v>
      </c>
      <c r="AQ74" s="10" t="s">
        <v>80</v>
      </c>
      <c r="AR74" s="10" t="s">
        <v>1325</v>
      </c>
      <c r="AS74" s="10" t="s">
        <v>1326</v>
      </c>
      <c r="AT74" s="10" t="s">
        <v>75</v>
      </c>
      <c r="AU74" s="10"/>
      <c r="AV74" s="10" t="s">
        <v>80</v>
      </c>
      <c r="AW74" s="10" t="s">
        <v>80</v>
      </c>
      <c r="AX74" s="10" t="s">
        <v>75</v>
      </c>
      <c r="AY74" s="10"/>
      <c r="AZ74" s="10"/>
      <c r="BA74" s="10"/>
      <c r="BB74" s="10" t="s">
        <v>75</v>
      </c>
      <c r="BC74" s="10" t="s">
        <v>75</v>
      </c>
      <c r="BD74" s="10" t="s">
        <v>75</v>
      </c>
      <c r="BE74" s="10" t="s">
        <v>75</v>
      </c>
      <c r="BF74" s="10"/>
      <c r="BG74" s="10" t="s">
        <v>1429</v>
      </c>
      <c r="BH74" s="10"/>
      <c r="BI74" s="158"/>
      <c r="BJ74" s="158"/>
      <c r="BK74" s="158"/>
      <c r="BL74" s="158"/>
      <c r="BM74" s="158"/>
      <c r="BN74" s="158"/>
      <c r="BO74" s="158"/>
      <c r="BP74" s="158"/>
      <c r="BQ74" s="158"/>
      <c r="BR74" s="158"/>
      <c r="BS74" s="158"/>
      <c r="BT74" s="158"/>
      <c r="BU74" s="158"/>
      <c r="BV74" s="158"/>
      <c r="BW74" s="158"/>
      <c r="BX74" s="158"/>
    </row>
    <row r="75" ht="27.75" customHeight="1">
      <c r="A75" s="10" t="str">
        <f t="shared" si="1"/>
        <v>SOLU24</v>
      </c>
      <c r="B75" s="10"/>
      <c r="C75" s="10"/>
      <c r="D75" s="10" t="s">
        <v>1407</v>
      </c>
      <c r="E75" s="10" t="s">
        <v>1430</v>
      </c>
      <c r="F75" s="10" t="s">
        <v>528</v>
      </c>
      <c r="G75" s="10" t="s">
        <v>529</v>
      </c>
      <c r="H75" s="10">
        <v>2024.0</v>
      </c>
      <c r="I75" s="49" t="s">
        <v>1431</v>
      </c>
      <c r="J75" s="10" t="s">
        <v>365</v>
      </c>
      <c r="K75" s="50">
        <v>45583.0</v>
      </c>
      <c r="L75" s="10"/>
      <c r="M75" s="10" t="s">
        <v>523</v>
      </c>
      <c r="N75" s="10"/>
      <c r="O75" s="10"/>
      <c r="P75" s="10" t="s">
        <v>368</v>
      </c>
      <c r="Q75" s="10"/>
      <c r="R75" s="10"/>
      <c r="S75" s="10"/>
      <c r="T75" s="10" t="s">
        <v>532</v>
      </c>
      <c r="U75" s="10" t="s">
        <v>1332</v>
      </c>
      <c r="V75" s="10">
        <v>2.0</v>
      </c>
      <c r="W75" s="10"/>
      <c r="X75" s="10">
        <v>2.0</v>
      </c>
      <c r="Y75" s="10"/>
      <c r="Z75" s="10"/>
      <c r="AA75" s="10"/>
      <c r="AB75" s="10"/>
      <c r="AC75" s="10"/>
      <c r="AD75" s="160">
        <v>9.0</v>
      </c>
      <c r="AE75" s="10"/>
      <c r="AF75" s="10" t="s">
        <v>1432</v>
      </c>
      <c r="AG75" s="10"/>
      <c r="AH75" s="10" t="s">
        <v>80</v>
      </c>
      <c r="AI75" s="10" t="s">
        <v>80</v>
      </c>
      <c r="AJ75" s="10" t="s">
        <v>75</v>
      </c>
      <c r="AK75" s="10" t="s">
        <v>80</v>
      </c>
      <c r="AL75" s="10" t="s">
        <v>75</v>
      </c>
      <c r="AM75" s="10" t="s">
        <v>80</v>
      </c>
      <c r="AN75" s="10" t="s">
        <v>80</v>
      </c>
      <c r="AO75" s="10" t="s">
        <v>1433</v>
      </c>
      <c r="AP75" s="10"/>
      <c r="AQ75" s="10" t="s">
        <v>75</v>
      </c>
      <c r="AR75" s="10"/>
      <c r="AS75" s="10"/>
      <c r="AT75" s="10"/>
      <c r="AU75" s="10"/>
      <c r="AV75" s="10"/>
      <c r="AW75" s="10" t="s">
        <v>75</v>
      </c>
      <c r="AX75" s="10" t="s">
        <v>75</v>
      </c>
      <c r="AY75" s="10"/>
      <c r="AZ75" s="10"/>
      <c r="BA75" s="10"/>
      <c r="BB75" s="10" t="s">
        <v>75</v>
      </c>
      <c r="BC75" s="10" t="s">
        <v>80</v>
      </c>
      <c r="BD75" s="10" t="s">
        <v>75</v>
      </c>
      <c r="BE75" s="10" t="s">
        <v>75</v>
      </c>
      <c r="BF75" s="10"/>
      <c r="BG75" s="10" t="s">
        <v>1434</v>
      </c>
      <c r="BH75" s="10"/>
      <c r="BI75" s="158"/>
      <c r="BJ75" s="158"/>
      <c r="BK75" s="158"/>
      <c r="BL75" s="158"/>
      <c r="BM75" s="158"/>
      <c r="BN75" s="158"/>
      <c r="BO75" s="158"/>
      <c r="BP75" s="158"/>
      <c r="BQ75" s="158"/>
      <c r="BR75" s="158"/>
      <c r="BS75" s="158"/>
      <c r="BT75" s="158"/>
      <c r="BU75" s="158"/>
      <c r="BV75" s="158"/>
      <c r="BW75" s="158"/>
      <c r="BX75" s="158"/>
    </row>
    <row r="76" ht="17.25" customHeight="1">
      <c r="A76" s="10" t="str">
        <f t="shared" si="1"/>
        <v>RESI24</v>
      </c>
      <c r="B76" s="10"/>
      <c r="C76" s="10"/>
      <c r="D76" s="10" t="s">
        <v>1407</v>
      </c>
      <c r="E76" s="10" t="s">
        <v>1435</v>
      </c>
      <c r="F76" s="10" t="s">
        <v>272</v>
      </c>
      <c r="G76" s="10" t="s">
        <v>1436</v>
      </c>
      <c r="H76" s="10">
        <v>2024.0</v>
      </c>
      <c r="I76" s="58" t="s">
        <v>1437</v>
      </c>
      <c r="J76" s="10" t="s">
        <v>247</v>
      </c>
      <c r="K76" s="50">
        <v>45583.0</v>
      </c>
      <c r="L76" s="10"/>
      <c r="M76" s="10" t="s">
        <v>1438</v>
      </c>
      <c r="N76" s="10"/>
      <c r="O76" s="10"/>
      <c r="P76" s="10" t="s">
        <v>368</v>
      </c>
      <c r="Q76" s="10"/>
      <c r="R76" s="10"/>
      <c r="S76" s="10"/>
      <c r="T76" s="10" t="s">
        <v>73</v>
      </c>
      <c r="U76" s="10" t="s">
        <v>1332</v>
      </c>
      <c r="V76" s="10">
        <v>3.0</v>
      </c>
      <c r="W76" s="10">
        <v>3.0</v>
      </c>
      <c r="X76" s="10">
        <v>3.0</v>
      </c>
      <c r="Y76" s="10"/>
      <c r="Z76" s="10"/>
      <c r="AA76" s="10"/>
      <c r="AB76" s="10"/>
      <c r="AC76" s="10"/>
      <c r="AD76" s="10" t="s">
        <v>1439</v>
      </c>
      <c r="AE76" s="10"/>
      <c r="AF76" s="10" t="s">
        <v>1410</v>
      </c>
      <c r="AG76" s="10"/>
      <c r="AH76" s="160" t="s">
        <v>80</v>
      </c>
      <c r="AI76" s="10" t="s">
        <v>80</v>
      </c>
      <c r="AJ76" s="10" t="s">
        <v>75</v>
      </c>
      <c r="AK76" s="10"/>
      <c r="AL76" s="10"/>
      <c r="AM76" s="10"/>
      <c r="AN76" s="10"/>
      <c r="AO76" s="10"/>
      <c r="AP76" s="10"/>
      <c r="AQ76" s="160" t="s">
        <v>80</v>
      </c>
      <c r="AR76" s="160" t="s">
        <v>1440</v>
      </c>
      <c r="AS76" s="10"/>
      <c r="AT76" s="10"/>
      <c r="AU76" s="10"/>
      <c r="AV76" s="10"/>
      <c r="AW76" s="10"/>
      <c r="AX76" s="10"/>
      <c r="AY76" s="10" t="s">
        <v>80</v>
      </c>
      <c r="AZ76" s="10"/>
      <c r="BA76" s="10"/>
      <c r="BB76" s="10" t="s">
        <v>75</v>
      </c>
      <c r="BC76" s="10" t="s">
        <v>80</v>
      </c>
      <c r="BD76" s="10" t="s">
        <v>75</v>
      </c>
      <c r="BE76" s="10" t="s">
        <v>75</v>
      </c>
      <c r="BF76" s="10"/>
      <c r="BG76" s="10" t="s">
        <v>1441</v>
      </c>
      <c r="BH76" s="10"/>
      <c r="BI76" s="158"/>
      <c r="BJ76" s="158"/>
      <c r="BK76" s="158"/>
      <c r="BL76" s="158"/>
      <c r="BM76" s="158"/>
      <c r="BN76" s="158"/>
      <c r="BO76" s="158"/>
      <c r="BP76" s="158"/>
      <c r="BQ76" s="158"/>
      <c r="BR76" s="158"/>
      <c r="BS76" s="158"/>
      <c r="BT76" s="158"/>
      <c r="BU76" s="158"/>
      <c r="BV76" s="158"/>
      <c r="BW76" s="158"/>
      <c r="BX76" s="158"/>
    </row>
    <row r="77" ht="27.75" customHeight="1">
      <c r="A77" s="10" t="str">
        <f t="shared" si="1"/>
        <v>ALVI25</v>
      </c>
      <c r="B77" s="10"/>
      <c r="C77" s="10"/>
      <c r="D77" s="10" t="s">
        <v>1407</v>
      </c>
      <c r="E77" s="10" t="s">
        <v>1442</v>
      </c>
      <c r="F77" s="10" t="s">
        <v>285</v>
      </c>
      <c r="G77" s="10" t="s">
        <v>286</v>
      </c>
      <c r="H77" s="10">
        <v>2025.0</v>
      </c>
      <c r="I77" s="10" t="s">
        <v>282</v>
      </c>
      <c r="J77" s="10" t="s">
        <v>1443</v>
      </c>
      <c r="K77" s="50">
        <v>45702.0</v>
      </c>
      <c r="L77" s="10"/>
      <c r="M77" s="10" t="s">
        <v>281</v>
      </c>
      <c r="N77" s="10"/>
      <c r="O77" s="10"/>
      <c r="P77" s="10" t="s">
        <v>368</v>
      </c>
      <c r="Q77" s="10"/>
      <c r="R77" s="10"/>
      <c r="S77" s="10"/>
      <c r="T77" s="10" t="s">
        <v>165</v>
      </c>
      <c r="U77" s="10" t="s">
        <v>1131</v>
      </c>
      <c r="V77" s="10"/>
      <c r="W77" s="10">
        <v>14.0</v>
      </c>
      <c r="X77" s="10">
        <v>3.0</v>
      </c>
      <c r="Y77" s="10"/>
      <c r="Z77" s="10"/>
      <c r="AA77" s="10"/>
      <c r="AB77" s="10" t="s">
        <v>1373</v>
      </c>
      <c r="AC77" s="10"/>
      <c r="AD77" s="10">
        <v>17.0</v>
      </c>
      <c r="AE77" s="10">
        <v>88543.0</v>
      </c>
      <c r="AF77" s="10" t="s">
        <v>1444</v>
      </c>
      <c r="AG77" s="160" t="s">
        <v>288</v>
      </c>
      <c r="AH77" s="160" t="s">
        <v>80</v>
      </c>
      <c r="AI77" s="160" t="s">
        <v>80</v>
      </c>
      <c r="AJ77" s="160" t="s">
        <v>75</v>
      </c>
      <c r="AK77" s="160" t="s">
        <v>80</v>
      </c>
      <c r="AL77" s="10"/>
      <c r="AM77" s="10"/>
      <c r="AN77" s="10"/>
      <c r="AO77" s="10"/>
      <c r="AP77" s="10"/>
      <c r="AQ77" s="10"/>
      <c r="AR77" s="10"/>
      <c r="AS77" s="10" t="s">
        <v>1326</v>
      </c>
      <c r="AT77" s="10" t="s">
        <v>75</v>
      </c>
      <c r="AU77" s="10"/>
      <c r="AV77" s="10"/>
      <c r="AW77" s="10"/>
      <c r="AX77" s="10"/>
      <c r="AY77" s="10" t="s">
        <v>80</v>
      </c>
      <c r="AZ77" s="10"/>
      <c r="BA77" s="10"/>
      <c r="BB77" s="10" t="s">
        <v>75</v>
      </c>
      <c r="BC77" s="10" t="s">
        <v>75</v>
      </c>
      <c r="BD77" s="10" t="s">
        <v>75</v>
      </c>
      <c r="BE77" s="10" t="s">
        <v>75</v>
      </c>
      <c r="BF77" s="10"/>
      <c r="BG77" s="10" t="s">
        <v>1445</v>
      </c>
      <c r="BH77" s="10"/>
      <c r="BI77" s="158"/>
      <c r="BJ77" s="158"/>
      <c r="BK77" s="158"/>
      <c r="BL77" s="158"/>
      <c r="BM77" s="158"/>
      <c r="BN77" s="158"/>
      <c r="BO77" s="158"/>
      <c r="BP77" s="158"/>
      <c r="BQ77" s="158"/>
      <c r="BR77" s="158"/>
      <c r="BS77" s="158"/>
      <c r="BT77" s="158"/>
      <c r="BU77" s="158"/>
      <c r="BV77" s="158"/>
      <c r="BW77" s="158"/>
      <c r="BX77" s="158"/>
    </row>
    <row r="78" ht="27.75" customHeight="1">
      <c r="A78" s="10" t="str">
        <f t="shared" si="1"/>
        <v>HULU25</v>
      </c>
      <c r="B78" s="10"/>
      <c r="C78" s="10"/>
      <c r="D78" s="10" t="s">
        <v>1407</v>
      </c>
      <c r="E78" s="10" t="s">
        <v>1446</v>
      </c>
      <c r="F78" s="10" t="s">
        <v>295</v>
      </c>
      <c r="G78" s="10" t="s">
        <v>296</v>
      </c>
      <c r="H78" s="10">
        <v>2025.0</v>
      </c>
      <c r="I78" s="58" t="s">
        <v>1447</v>
      </c>
      <c r="J78" s="10" t="s">
        <v>294</v>
      </c>
      <c r="K78" s="50">
        <v>45940.0</v>
      </c>
      <c r="L78" s="10"/>
      <c r="M78" s="49" t="s">
        <v>1448</v>
      </c>
      <c r="N78" s="10"/>
      <c r="O78" s="10"/>
      <c r="P78" s="10" t="s">
        <v>368</v>
      </c>
      <c r="Q78" s="10"/>
      <c r="R78" s="10"/>
      <c r="S78" s="10"/>
      <c r="T78" s="10" t="s">
        <v>165</v>
      </c>
      <c r="U78" s="10" t="s">
        <v>1131</v>
      </c>
      <c r="V78" s="10"/>
      <c r="W78" s="10">
        <v>98.0</v>
      </c>
      <c r="X78" s="10">
        <v>107.0</v>
      </c>
      <c r="Y78" s="10"/>
      <c r="Z78" s="10"/>
      <c r="AA78" s="10"/>
      <c r="AB78" s="10" t="s">
        <v>1449</v>
      </c>
      <c r="AC78" s="10"/>
      <c r="AD78" s="10">
        <v>218.0</v>
      </c>
      <c r="AE78" s="10">
        <v>1416923.0</v>
      </c>
      <c r="AF78" s="10" t="s">
        <v>1450</v>
      </c>
      <c r="AG78" s="10" t="s">
        <v>1451</v>
      </c>
      <c r="AH78" s="160" t="s">
        <v>80</v>
      </c>
      <c r="AI78" s="10" t="s">
        <v>80</v>
      </c>
      <c r="AJ78" s="10" t="s">
        <v>75</v>
      </c>
      <c r="AK78" s="10"/>
      <c r="AL78" s="10"/>
      <c r="AM78" s="10"/>
      <c r="AN78" s="10"/>
      <c r="AO78" s="10"/>
      <c r="AP78" s="10"/>
      <c r="AQ78" s="10"/>
      <c r="AR78" s="10"/>
      <c r="AS78" s="10" t="s">
        <v>1326</v>
      </c>
      <c r="AT78" s="10" t="s">
        <v>75</v>
      </c>
      <c r="AU78" s="10"/>
      <c r="AV78" s="10"/>
      <c r="AW78" s="10"/>
      <c r="AX78" s="10"/>
      <c r="AY78" s="10"/>
      <c r="AZ78" s="10"/>
      <c r="BA78" s="10"/>
      <c r="BB78" s="10" t="s">
        <v>75</v>
      </c>
      <c r="BC78" s="10" t="s">
        <v>80</v>
      </c>
      <c r="BD78" s="10" t="s">
        <v>75</v>
      </c>
      <c r="BE78" s="10" t="s">
        <v>75</v>
      </c>
      <c r="BF78" s="10"/>
      <c r="BG78" s="10" t="s">
        <v>1452</v>
      </c>
      <c r="BH78" s="10"/>
      <c r="BI78" s="158"/>
      <c r="BJ78" s="158"/>
      <c r="BK78" s="158"/>
      <c r="BL78" s="158"/>
      <c r="BM78" s="158"/>
      <c r="BN78" s="158"/>
      <c r="BO78" s="158"/>
      <c r="BP78" s="158"/>
      <c r="BQ78" s="158"/>
      <c r="BR78" s="158"/>
      <c r="BS78" s="158"/>
      <c r="BT78" s="158"/>
      <c r="BU78" s="158"/>
      <c r="BV78" s="158"/>
      <c r="BW78" s="158"/>
      <c r="BX78" s="158"/>
    </row>
    <row r="79" ht="27.75" customHeight="1">
      <c r="A79" s="10" t="str">
        <f t="shared" si="1"/>
        <v>RESI25</v>
      </c>
      <c r="B79" s="10"/>
      <c r="C79" s="10"/>
      <c r="D79" s="10" t="s">
        <v>790</v>
      </c>
      <c r="E79" s="10" t="s">
        <v>1453</v>
      </c>
      <c r="F79" s="10" t="s">
        <v>272</v>
      </c>
      <c r="G79" s="10" t="s">
        <v>1454</v>
      </c>
      <c r="H79" s="10">
        <v>2025.0</v>
      </c>
      <c r="I79" s="58" t="s">
        <v>1455</v>
      </c>
      <c r="J79" s="10" t="s">
        <v>924</v>
      </c>
      <c r="K79" s="50">
        <v>45890.0</v>
      </c>
      <c r="L79" s="10"/>
      <c r="M79" s="10" t="s">
        <v>303</v>
      </c>
      <c r="N79" s="10"/>
      <c r="O79" s="10"/>
      <c r="P79" s="10" t="s">
        <v>368</v>
      </c>
      <c r="Q79" s="10"/>
      <c r="R79" s="10"/>
      <c r="S79" s="10"/>
      <c r="T79" s="10" t="s">
        <v>73</v>
      </c>
      <c r="U79" s="10"/>
      <c r="V79" s="10"/>
      <c r="W79" s="10"/>
      <c r="X79" s="10"/>
      <c r="Y79" s="10"/>
      <c r="Z79" s="10"/>
      <c r="AA79" s="10"/>
      <c r="AB79" s="10"/>
      <c r="AC79" s="10"/>
      <c r="AD79" s="10" t="s">
        <v>1456</v>
      </c>
      <c r="AE79" s="10"/>
      <c r="AF79" s="10" t="s">
        <v>1457</v>
      </c>
      <c r="AG79" s="10"/>
      <c r="AH79" s="10"/>
      <c r="AI79" s="10"/>
      <c r="AJ79" s="10"/>
      <c r="AK79" s="10"/>
      <c r="AL79" s="10"/>
      <c r="AM79" s="10"/>
      <c r="AN79" s="10"/>
      <c r="AO79" s="10"/>
      <c r="AP79" s="10"/>
      <c r="AQ79" s="10"/>
      <c r="AR79" s="10"/>
      <c r="AS79" s="10" t="s">
        <v>1326</v>
      </c>
      <c r="AT79" s="10" t="s">
        <v>75</v>
      </c>
      <c r="AU79" s="10"/>
      <c r="AV79" s="10"/>
      <c r="AW79" s="10"/>
      <c r="AX79" s="10"/>
      <c r="AY79" s="10"/>
      <c r="AZ79" s="10"/>
      <c r="BA79" s="10"/>
      <c r="BB79" s="10" t="s">
        <v>75</v>
      </c>
      <c r="BC79" s="10" t="s">
        <v>75</v>
      </c>
      <c r="BD79" s="10" t="s">
        <v>75</v>
      </c>
      <c r="BE79" s="10" t="s">
        <v>75</v>
      </c>
      <c r="BF79" s="10"/>
      <c r="BG79" s="10"/>
      <c r="BH79" s="10"/>
      <c r="BI79" s="158"/>
      <c r="BJ79" s="158"/>
      <c r="BK79" s="158"/>
      <c r="BL79" s="158"/>
      <c r="BM79" s="158"/>
      <c r="BN79" s="158"/>
      <c r="BO79" s="158"/>
      <c r="BP79" s="158"/>
      <c r="BQ79" s="158"/>
      <c r="BR79" s="158"/>
      <c r="BS79" s="158"/>
      <c r="BT79" s="158"/>
      <c r="BU79" s="158"/>
      <c r="BV79" s="158"/>
      <c r="BW79" s="158"/>
      <c r="BX79" s="158"/>
    </row>
    <row r="80" ht="27.75" customHeight="1">
      <c r="A80" s="10" t="str">
        <f t="shared" si="1"/>
        <v>SEST25</v>
      </c>
      <c r="B80" s="10"/>
      <c r="C80" s="10"/>
      <c r="D80" s="10" t="s">
        <v>790</v>
      </c>
      <c r="E80" s="10" t="s">
        <v>1458</v>
      </c>
      <c r="F80" s="10" t="s">
        <v>1459</v>
      </c>
      <c r="G80" s="10" t="s">
        <v>1460</v>
      </c>
      <c r="H80" s="10">
        <v>2025.0</v>
      </c>
      <c r="I80" s="10" t="s">
        <v>1461</v>
      </c>
      <c r="J80" s="10" t="s">
        <v>924</v>
      </c>
      <c r="K80" s="50">
        <v>45919.0</v>
      </c>
      <c r="L80" s="10"/>
      <c r="M80" s="10" t="s">
        <v>1462</v>
      </c>
      <c r="N80" s="10"/>
      <c r="O80" s="10"/>
      <c r="P80" s="10" t="s">
        <v>833</v>
      </c>
      <c r="Q80" s="10"/>
      <c r="R80" s="10"/>
      <c r="S80" s="10"/>
      <c r="T80" s="10" t="s">
        <v>1463</v>
      </c>
      <c r="U80" s="10"/>
      <c r="V80" s="10"/>
      <c r="W80" s="10"/>
      <c r="X80" s="10"/>
      <c r="Y80" s="10"/>
      <c r="Z80" s="10"/>
      <c r="AA80" s="10"/>
      <c r="AB80" s="10"/>
      <c r="AC80" s="10"/>
      <c r="AD80" s="10">
        <v>18.0</v>
      </c>
      <c r="AE80" s="10">
        <v>86653.0</v>
      </c>
      <c r="AF80" s="10" t="s">
        <v>1410</v>
      </c>
      <c r="AG80" s="10"/>
      <c r="AH80" s="10"/>
      <c r="AI80" s="10"/>
      <c r="AJ80" s="10"/>
      <c r="AK80" s="10"/>
      <c r="AL80" s="10"/>
      <c r="AM80" s="10"/>
      <c r="AN80" s="10"/>
      <c r="AO80" s="10"/>
      <c r="AP80" s="10"/>
      <c r="AQ80" s="10"/>
      <c r="AR80" s="10"/>
      <c r="AS80" s="10"/>
      <c r="AT80" s="10"/>
      <c r="AU80" s="10"/>
      <c r="AV80" s="10"/>
      <c r="AW80" s="10"/>
      <c r="AX80" s="10"/>
      <c r="AY80" s="10"/>
      <c r="AZ80" s="10"/>
      <c r="BA80" s="10"/>
      <c r="BB80" s="10" t="s">
        <v>75</v>
      </c>
      <c r="BC80" s="10" t="s">
        <v>75</v>
      </c>
      <c r="BD80" s="10" t="s">
        <v>75</v>
      </c>
      <c r="BE80" s="10" t="s">
        <v>75</v>
      </c>
      <c r="BF80" s="10"/>
      <c r="BG80" s="10"/>
      <c r="BH80" s="10"/>
      <c r="BI80" s="158"/>
      <c r="BJ80" s="158"/>
      <c r="BK80" s="158"/>
      <c r="BL80" s="158"/>
      <c r="BM80" s="158"/>
      <c r="BN80" s="158"/>
      <c r="BO80" s="158"/>
      <c r="BP80" s="158"/>
      <c r="BQ80" s="158"/>
      <c r="BR80" s="158"/>
      <c r="BS80" s="158"/>
      <c r="BT80" s="158"/>
      <c r="BU80" s="158"/>
      <c r="BV80" s="158"/>
      <c r="BW80" s="158"/>
      <c r="BX80" s="158"/>
    </row>
    <row r="81" ht="27.75" customHeight="1">
      <c r="A81" s="10" t="str">
        <f t="shared" si="1"/>
        <v>KUGR25</v>
      </c>
      <c r="B81" s="10"/>
      <c r="C81" s="10"/>
      <c r="D81" s="10" t="s">
        <v>1464</v>
      </c>
      <c r="E81" s="10" t="s">
        <v>1465</v>
      </c>
      <c r="F81" s="10" t="s">
        <v>318</v>
      </c>
      <c r="G81" s="10" t="s">
        <v>319</v>
      </c>
      <c r="H81" s="10">
        <v>2025.0</v>
      </c>
      <c r="I81" s="10" t="s">
        <v>1466</v>
      </c>
      <c r="J81" s="10" t="s">
        <v>924</v>
      </c>
      <c r="K81" s="50">
        <v>45915.0</v>
      </c>
      <c r="L81" s="10"/>
      <c r="M81" s="10" t="s">
        <v>1467</v>
      </c>
      <c r="N81" s="10"/>
      <c r="O81" s="10"/>
      <c r="P81" s="10" t="s">
        <v>368</v>
      </c>
      <c r="Q81" s="10"/>
      <c r="R81" s="10"/>
      <c r="S81" s="10"/>
      <c r="T81" s="10" t="s">
        <v>73</v>
      </c>
      <c r="U81" s="10" t="s">
        <v>1312</v>
      </c>
      <c r="V81" s="10">
        <v>1.0</v>
      </c>
      <c r="W81" s="10"/>
      <c r="X81" s="10">
        <v>1.0</v>
      </c>
      <c r="Y81" s="10"/>
      <c r="Z81" s="10"/>
      <c r="AA81" s="10"/>
      <c r="AB81" s="10"/>
      <c r="AC81" s="10"/>
      <c r="AD81" s="10"/>
      <c r="AE81" s="10"/>
      <c r="AF81" s="10" t="s">
        <v>1468</v>
      </c>
      <c r="AG81" s="10" t="s">
        <v>1469</v>
      </c>
      <c r="AH81" s="10" t="s">
        <v>80</v>
      </c>
      <c r="AI81" s="10" t="s">
        <v>80</v>
      </c>
      <c r="AJ81" s="10" t="s">
        <v>75</v>
      </c>
      <c r="AK81" s="10" t="s">
        <v>80</v>
      </c>
      <c r="AL81" s="10" t="s">
        <v>75</v>
      </c>
      <c r="AM81" s="10" t="s">
        <v>80</v>
      </c>
      <c r="AN81" s="10" t="s">
        <v>80</v>
      </c>
      <c r="AO81" s="10"/>
      <c r="AP81" s="10" t="s">
        <v>75</v>
      </c>
      <c r="AQ81" s="10" t="s">
        <v>75</v>
      </c>
      <c r="AR81" s="10"/>
      <c r="AS81" s="10" t="s">
        <v>1326</v>
      </c>
      <c r="AT81" s="10" t="s">
        <v>75</v>
      </c>
      <c r="AU81" s="10"/>
      <c r="AV81" s="10" t="s">
        <v>80</v>
      </c>
      <c r="AW81" s="10"/>
      <c r="AX81" s="10"/>
      <c r="AY81" s="10" t="s">
        <v>80</v>
      </c>
      <c r="AZ81" s="10"/>
      <c r="BA81" s="10"/>
      <c r="BB81" s="10" t="s">
        <v>75</v>
      </c>
      <c r="BC81" s="10" t="s">
        <v>75</v>
      </c>
      <c r="BD81" s="10" t="s">
        <v>75</v>
      </c>
      <c r="BE81" s="10" t="s">
        <v>75</v>
      </c>
      <c r="BF81" s="10"/>
      <c r="BG81" s="10" t="s">
        <v>1470</v>
      </c>
      <c r="BH81" s="10"/>
      <c r="BI81" s="158"/>
      <c r="BJ81" s="158"/>
      <c r="BK81" s="158"/>
      <c r="BL81" s="158"/>
      <c r="BM81" s="158"/>
      <c r="BN81" s="158"/>
      <c r="BO81" s="158"/>
      <c r="BP81" s="158"/>
      <c r="BQ81" s="158"/>
      <c r="BR81" s="158"/>
      <c r="BS81" s="158"/>
      <c r="BT81" s="158"/>
      <c r="BU81" s="158"/>
      <c r="BV81" s="158"/>
      <c r="BW81" s="158"/>
      <c r="BX81" s="158"/>
    </row>
    <row r="82" ht="27.75" customHeight="1">
      <c r="A82" s="10" t="str">
        <f t="shared" si="1"/>
        <v>POIQ20</v>
      </c>
      <c r="B82" s="10"/>
      <c r="C82" s="10"/>
      <c r="D82" s="10" t="s">
        <v>790</v>
      </c>
      <c r="E82" s="10" t="s">
        <v>1471</v>
      </c>
      <c r="F82" s="10" t="s">
        <v>1472</v>
      </c>
      <c r="G82" s="10" t="s">
        <v>1473</v>
      </c>
      <c r="H82" s="10">
        <v>2020.0</v>
      </c>
      <c r="I82" s="10" t="s">
        <v>1474</v>
      </c>
      <c r="J82" s="10" t="s">
        <v>1475</v>
      </c>
      <c r="K82" s="10">
        <v>44105.0</v>
      </c>
      <c r="L82" s="10"/>
      <c r="M82" s="10"/>
      <c r="N82" s="10"/>
      <c r="O82" s="10"/>
      <c r="P82" s="10" t="s">
        <v>1246</v>
      </c>
      <c r="Q82" s="10"/>
      <c r="R82" s="10"/>
      <c r="S82" s="10"/>
      <c r="T82" s="10" t="s">
        <v>165</v>
      </c>
      <c r="U82" s="10"/>
      <c r="V82" s="10"/>
      <c r="W82" s="10"/>
      <c r="X82" s="10"/>
      <c r="Y82" s="10"/>
      <c r="Z82" s="10"/>
      <c r="AA82" s="10"/>
      <c r="AB82" s="10"/>
      <c r="AC82" s="10"/>
      <c r="AD82" s="10"/>
      <c r="AE82" s="10">
        <v>6652.0</v>
      </c>
      <c r="AF82" s="10" t="s">
        <v>1476</v>
      </c>
      <c r="AG82" s="10"/>
      <c r="AH82" s="10"/>
      <c r="AI82" s="10"/>
      <c r="AJ82" s="10"/>
      <c r="AK82" s="10"/>
      <c r="AL82" s="10"/>
      <c r="AM82" s="10"/>
      <c r="AN82" s="10"/>
      <c r="AO82" s="10"/>
      <c r="AP82" s="10"/>
      <c r="AQ82" s="10"/>
      <c r="AR82" s="10"/>
      <c r="AS82" s="10"/>
      <c r="AT82" s="10"/>
      <c r="AU82" s="10"/>
      <c r="AV82" s="10"/>
      <c r="AW82" s="10"/>
      <c r="AX82" s="10"/>
      <c r="AY82" s="10"/>
      <c r="AZ82" s="10"/>
      <c r="BA82" s="10"/>
      <c r="BB82" s="10" t="s">
        <v>75</v>
      </c>
      <c r="BC82" s="10" t="s">
        <v>80</v>
      </c>
      <c r="BD82" s="10" t="s">
        <v>75</v>
      </c>
      <c r="BE82" s="10" t="s">
        <v>75</v>
      </c>
      <c r="BF82" s="10"/>
      <c r="BG82" s="10" t="s">
        <v>1477</v>
      </c>
      <c r="BH82" s="10"/>
      <c r="BI82" s="158"/>
      <c r="BJ82" s="158"/>
      <c r="BK82" s="158"/>
      <c r="BL82" s="158"/>
      <c r="BM82" s="158"/>
      <c r="BN82" s="158"/>
      <c r="BO82" s="158"/>
      <c r="BP82" s="158"/>
      <c r="BQ82" s="158"/>
      <c r="BR82" s="158"/>
      <c r="BS82" s="158"/>
      <c r="BT82" s="158"/>
      <c r="BU82" s="158"/>
      <c r="BV82" s="158"/>
      <c r="BW82" s="158"/>
      <c r="BX82" s="158"/>
    </row>
    <row r="83" ht="27.75" customHeight="1">
      <c r="A83" s="10" t="str">
        <f t="shared" si="1"/>
        <v>JUSA21</v>
      </c>
      <c r="B83" s="10"/>
      <c r="C83" s="10"/>
      <c r="D83" s="10" t="s">
        <v>790</v>
      </c>
      <c r="E83" s="10" t="s">
        <v>1478</v>
      </c>
      <c r="F83" s="10" t="s">
        <v>1479</v>
      </c>
      <c r="G83" s="10" t="s">
        <v>1480</v>
      </c>
      <c r="H83" s="10">
        <v>2021.0</v>
      </c>
      <c r="I83" s="10" t="s">
        <v>1481</v>
      </c>
      <c r="J83" s="10" t="s">
        <v>335</v>
      </c>
      <c r="K83" s="50">
        <v>44267.0</v>
      </c>
      <c r="L83" s="10"/>
      <c r="M83" s="10"/>
      <c r="N83" s="10"/>
      <c r="O83" s="10"/>
      <c r="P83" s="10" t="s">
        <v>1482</v>
      </c>
      <c r="Q83" s="10"/>
      <c r="R83" s="10"/>
      <c r="S83" s="10"/>
      <c r="T83" s="10" t="s">
        <v>73</v>
      </c>
      <c r="U83" s="10" t="s">
        <v>1332</v>
      </c>
      <c r="V83" s="10" t="s">
        <v>1483</v>
      </c>
      <c r="W83" s="10"/>
      <c r="X83" s="10" t="s">
        <v>1484</v>
      </c>
      <c r="Y83" s="10"/>
      <c r="Z83" s="10"/>
      <c r="AA83" s="10"/>
      <c r="AB83" s="10"/>
      <c r="AC83" s="10"/>
      <c r="AD83" s="10"/>
      <c r="AE83" s="10"/>
      <c r="AF83" s="10" t="s">
        <v>96</v>
      </c>
      <c r="AG83" s="10"/>
      <c r="AH83" s="10"/>
      <c r="AI83" s="10"/>
      <c r="AJ83" s="10"/>
      <c r="AK83" s="10"/>
      <c r="AL83" s="10"/>
      <c r="AM83" s="10"/>
      <c r="AN83" s="10"/>
      <c r="AO83" s="10"/>
      <c r="AP83" s="10"/>
      <c r="AQ83" s="10"/>
      <c r="AR83" s="10"/>
      <c r="AS83" s="10" t="s">
        <v>1326</v>
      </c>
      <c r="AT83" s="10" t="s">
        <v>75</v>
      </c>
      <c r="AU83" s="10"/>
      <c r="AV83" s="10"/>
      <c r="AW83" s="10"/>
      <c r="AX83" s="10"/>
      <c r="AY83" s="10"/>
      <c r="AZ83" s="10"/>
      <c r="BA83" s="10"/>
      <c r="BB83" s="10" t="s">
        <v>75</v>
      </c>
      <c r="BC83" s="10" t="s">
        <v>80</v>
      </c>
      <c r="BD83" s="10" t="s">
        <v>75</v>
      </c>
      <c r="BE83" s="10" t="s">
        <v>75</v>
      </c>
      <c r="BF83" s="10"/>
      <c r="BG83" s="10" t="s">
        <v>1485</v>
      </c>
      <c r="BH83" s="10"/>
      <c r="BI83" s="158"/>
      <c r="BJ83" s="158"/>
      <c r="BK83" s="158"/>
      <c r="BL83" s="158"/>
      <c r="BM83" s="158"/>
      <c r="BN83" s="158"/>
      <c r="BO83" s="158"/>
      <c r="BP83" s="158"/>
      <c r="BQ83" s="158"/>
      <c r="BR83" s="158"/>
      <c r="BS83" s="158"/>
      <c r="BT83" s="158"/>
      <c r="BU83" s="158"/>
      <c r="BV83" s="158"/>
      <c r="BW83" s="158"/>
      <c r="BX83" s="158"/>
    </row>
    <row r="84" ht="27.75" customHeight="1">
      <c r="A84" s="10" t="str">
        <f t="shared" si="1"/>
        <v>YOSC22</v>
      </c>
      <c r="B84" s="10"/>
      <c r="C84" s="10"/>
      <c r="D84" s="10" t="s">
        <v>1464</v>
      </c>
      <c r="E84" s="10" t="s">
        <v>1486</v>
      </c>
      <c r="F84" s="10" t="s">
        <v>336</v>
      </c>
      <c r="G84" s="10" t="s">
        <v>337</v>
      </c>
      <c r="H84" s="10">
        <v>2022.0</v>
      </c>
      <c r="I84" s="10" t="s">
        <v>1487</v>
      </c>
      <c r="J84" s="10" t="s">
        <v>1488</v>
      </c>
      <c r="K84" s="50">
        <v>44869.0</v>
      </c>
      <c r="L84" s="10"/>
      <c r="M84" s="10" t="s">
        <v>1489</v>
      </c>
      <c r="N84" s="10"/>
      <c r="O84" s="10"/>
      <c r="P84" s="10" t="s">
        <v>368</v>
      </c>
      <c r="Q84" s="10"/>
      <c r="R84" s="10"/>
      <c r="S84" s="10"/>
      <c r="T84" s="10" t="s">
        <v>73</v>
      </c>
      <c r="U84" s="10" t="s">
        <v>1332</v>
      </c>
      <c r="V84" s="10">
        <v>6.0</v>
      </c>
      <c r="W84" s="10"/>
      <c r="X84" s="10">
        <v>6.0</v>
      </c>
      <c r="Y84" s="10"/>
      <c r="Z84" s="10"/>
      <c r="AA84" s="10"/>
      <c r="AB84" s="10"/>
      <c r="AC84" s="10"/>
      <c r="AD84" s="10"/>
      <c r="AE84" s="10">
        <v>62479.0</v>
      </c>
      <c r="AF84" s="10" t="s">
        <v>96</v>
      </c>
      <c r="AG84" s="10"/>
      <c r="AH84" s="10" t="s">
        <v>80</v>
      </c>
      <c r="AI84" s="10" t="s">
        <v>80</v>
      </c>
      <c r="AJ84" s="10" t="s">
        <v>75</v>
      </c>
      <c r="AK84" s="10" t="s">
        <v>75</v>
      </c>
      <c r="AL84" s="10" t="s">
        <v>75</v>
      </c>
      <c r="AM84" s="10" t="s">
        <v>80</v>
      </c>
      <c r="AN84" s="10" t="s">
        <v>80</v>
      </c>
      <c r="AO84" s="10"/>
      <c r="AP84" s="10" t="s">
        <v>75</v>
      </c>
      <c r="AQ84" s="10" t="s">
        <v>75</v>
      </c>
      <c r="AR84" s="10"/>
      <c r="AS84" s="10" t="s">
        <v>1326</v>
      </c>
      <c r="AT84" s="10" t="s">
        <v>75</v>
      </c>
      <c r="AU84" s="10"/>
      <c r="AV84" s="10" t="s">
        <v>80</v>
      </c>
      <c r="AW84" s="10" t="s">
        <v>80</v>
      </c>
      <c r="AX84" s="10" t="s">
        <v>75</v>
      </c>
      <c r="AY84" s="10" t="s">
        <v>80</v>
      </c>
      <c r="AZ84" s="10"/>
      <c r="BA84" s="10"/>
      <c r="BB84" s="10" t="s">
        <v>75</v>
      </c>
      <c r="BC84" s="10" t="s">
        <v>75</v>
      </c>
      <c r="BD84" s="10" t="s">
        <v>75</v>
      </c>
      <c r="BE84" s="10" t="s">
        <v>75</v>
      </c>
      <c r="BF84" s="10"/>
      <c r="BG84" s="10" t="s">
        <v>1490</v>
      </c>
      <c r="BH84" s="10"/>
      <c r="BI84" s="158"/>
      <c r="BJ84" s="158"/>
      <c r="BK84" s="158"/>
      <c r="BL84" s="158"/>
      <c r="BM84" s="158"/>
      <c r="BN84" s="158"/>
      <c r="BO84" s="158"/>
      <c r="BP84" s="158"/>
      <c r="BQ84" s="158"/>
      <c r="BR84" s="158"/>
      <c r="BS84" s="158"/>
      <c r="BT84" s="158"/>
      <c r="BU84" s="158"/>
      <c r="BV84" s="158"/>
      <c r="BW84" s="158"/>
      <c r="BX84" s="158"/>
    </row>
    <row r="85" ht="43.5" customHeight="1">
      <c r="A85" s="10" t="str">
        <f t="shared" si="1"/>
        <v>LETH22</v>
      </c>
      <c r="B85" s="10"/>
      <c r="C85" s="10"/>
      <c r="D85" s="10" t="s">
        <v>1464</v>
      </c>
      <c r="E85" s="10" t="s">
        <v>341</v>
      </c>
      <c r="F85" s="10" t="s">
        <v>343</v>
      </c>
      <c r="G85" s="10" t="s">
        <v>1491</v>
      </c>
      <c r="H85" s="10">
        <v>2022.0</v>
      </c>
      <c r="I85" s="10" t="s">
        <v>340</v>
      </c>
      <c r="J85" s="10" t="s">
        <v>335</v>
      </c>
      <c r="K85" s="50">
        <v>44868.0</v>
      </c>
      <c r="L85" s="10"/>
      <c r="M85" s="10" t="s">
        <v>339</v>
      </c>
      <c r="N85" s="10"/>
      <c r="O85" s="10"/>
      <c r="P85" s="10" t="s">
        <v>368</v>
      </c>
      <c r="Q85" s="10"/>
      <c r="R85" s="10"/>
      <c r="S85" s="10"/>
      <c r="T85" s="10" t="s">
        <v>73</v>
      </c>
      <c r="U85" s="10" t="s">
        <v>1332</v>
      </c>
      <c r="V85" s="10"/>
      <c r="W85" s="10"/>
      <c r="X85" s="10"/>
      <c r="Y85" s="10"/>
      <c r="Z85" s="10"/>
      <c r="AA85" s="10"/>
      <c r="AB85" s="10"/>
      <c r="AC85" s="10"/>
      <c r="AD85" s="10">
        <v>5.0</v>
      </c>
      <c r="AE85" s="10"/>
      <c r="AF85" s="10" t="s">
        <v>630</v>
      </c>
      <c r="AG85" s="10"/>
      <c r="AH85" s="10" t="s">
        <v>80</v>
      </c>
      <c r="AI85" s="10" t="s">
        <v>80</v>
      </c>
      <c r="AJ85" s="10" t="s">
        <v>75</v>
      </c>
      <c r="AK85" s="10" t="s">
        <v>80</v>
      </c>
      <c r="AL85" s="10" t="s">
        <v>75</v>
      </c>
      <c r="AM85" s="10" t="s">
        <v>80</v>
      </c>
      <c r="AN85" s="10" t="s">
        <v>80</v>
      </c>
      <c r="AO85" s="10"/>
      <c r="AP85" s="10" t="s">
        <v>75</v>
      </c>
      <c r="AQ85" s="10" t="s">
        <v>75</v>
      </c>
      <c r="AR85" s="10"/>
      <c r="AS85" s="10" t="s">
        <v>1326</v>
      </c>
      <c r="AT85" s="10" t="s">
        <v>75</v>
      </c>
      <c r="AU85" s="10"/>
      <c r="AV85" s="10" t="s">
        <v>80</v>
      </c>
      <c r="AW85" s="10" t="s">
        <v>80</v>
      </c>
      <c r="AX85" s="10" t="s">
        <v>75</v>
      </c>
      <c r="AY85" s="10" t="s">
        <v>80</v>
      </c>
      <c r="AZ85" s="10"/>
      <c r="BA85" s="10"/>
      <c r="BB85" s="10" t="s">
        <v>75</v>
      </c>
      <c r="BC85" s="10" t="s">
        <v>75</v>
      </c>
      <c r="BD85" s="10" t="s">
        <v>75</v>
      </c>
      <c r="BE85" s="10" t="s">
        <v>75</v>
      </c>
      <c r="BF85" s="10"/>
      <c r="BG85" s="10" t="s">
        <v>1492</v>
      </c>
      <c r="BH85" s="10"/>
      <c r="BI85" s="158"/>
      <c r="BJ85" s="158"/>
      <c r="BK85" s="158"/>
      <c r="BL85" s="158"/>
      <c r="BM85" s="158"/>
      <c r="BN85" s="158"/>
      <c r="BO85" s="158"/>
      <c r="BP85" s="158"/>
      <c r="BQ85" s="158"/>
      <c r="BR85" s="158"/>
      <c r="BS85" s="158"/>
      <c r="BT85" s="158"/>
      <c r="BU85" s="158"/>
      <c r="BV85" s="158"/>
      <c r="BW85" s="158"/>
      <c r="BX85" s="158"/>
    </row>
    <row r="86" ht="27.75" customHeight="1">
      <c r="A86" s="10" t="str">
        <f t="shared" si="1"/>
        <v>LIYA22</v>
      </c>
      <c r="B86" s="10"/>
      <c r="C86" s="10"/>
      <c r="D86" s="10" t="s">
        <v>790</v>
      </c>
      <c r="E86" s="10" t="s">
        <v>1493</v>
      </c>
      <c r="F86" s="10" t="s">
        <v>1494</v>
      </c>
      <c r="G86" s="10" t="s">
        <v>1495</v>
      </c>
      <c r="H86" s="10">
        <v>2022.0</v>
      </c>
      <c r="I86" s="10" t="s">
        <v>1496</v>
      </c>
      <c r="J86" s="10" t="s">
        <v>308</v>
      </c>
      <c r="K86" s="10">
        <v>44790.0</v>
      </c>
      <c r="L86" s="10"/>
      <c r="M86" s="10"/>
      <c r="N86" s="10"/>
      <c r="O86" s="10"/>
      <c r="P86" s="10" t="s">
        <v>1246</v>
      </c>
      <c r="Q86" s="10"/>
      <c r="R86" s="10"/>
      <c r="S86" s="10"/>
      <c r="T86" s="10" t="s">
        <v>73</v>
      </c>
      <c r="U86" s="10"/>
      <c r="V86" s="10"/>
      <c r="W86" s="10"/>
      <c r="X86" s="10"/>
      <c r="Y86" s="10"/>
      <c r="Z86" s="10"/>
      <c r="AA86" s="10"/>
      <c r="AB86" s="10"/>
      <c r="AC86" s="10"/>
      <c r="AD86" s="10"/>
      <c r="AE86" s="10"/>
      <c r="AF86" s="10" t="s">
        <v>96</v>
      </c>
      <c r="AG86" s="10"/>
      <c r="AH86" s="10"/>
      <c r="AI86" s="10"/>
      <c r="AJ86" s="10"/>
      <c r="AK86" s="10"/>
      <c r="AL86" s="10"/>
      <c r="AM86" s="10"/>
      <c r="AN86" s="10"/>
      <c r="AO86" s="10"/>
      <c r="AP86" s="10"/>
      <c r="AQ86" s="10"/>
      <c r="AR86" s="10"/>
      <c r="AS86" s="10"/>
      <c r="AT86" s="10"/>
      <c r="AU86" s="10"/>
      <c r="AV86" s="10"/>
      <c r="AW86" s="10"/>
      <c r="AX86" s="10"/>
      <c r="AY86" s="10"/>
      <c r="AZ86" s="10"/>
      <c r="BA86" s="10"/>
      <c r="BB86" s="10" t="s">
        <v>75</v>
      </c>
      <c r="BC86" s="10" t="s">
        <v>75</v>
      </c>
      <c r="BD86" s="10" t="s">
        <v>75</v>
      </c>
      <c r="BE86" s="10" t="s">
        <v>75</v>
      </c>
      <c r="BF86" s="10"/>
      <c r="BG86" s="10" t="s">
        <v>1497</v>
      </c>
      <c r="BH86" s="10"/>
      <c r="BI86" s="158"/>
      <c r="BJ86" s="158"/>
      <c r="BK86" s="158"/>
      <c r="BL86" s="158"/>
      <c r="BM86" s="158"/>
      <c r="BN86" s="158"/>
      <c r="BO86" s="158"/>
      <c r="BP86" s="158"/>
      <c r="BQ86" s="158"/>
      <c r="BR86" s="158"/>
      <c r="BS86" s="158"/>
      <c r="BT86" s="158"/>
      <c r="BU86" s="158"/>
      <c r="BV86" s="158"/>
      <c r="BW86" s="158"/>
      <c r="BX86" s="158"/>
    </row>
    <row r="87" ht="27.75" customHeight="1">
      <c r="A87" s="10" t="str">
        <f t="shared" si="1"/>
        <v>CHJI24</v>
      </c>
      <c r="B87" s="10"/>
      <c r="C87" s="10"/>
      <c r="D87" s="10" t="s">
        <v>1464</v>
      </c>
      <c r="E87" s="10" t="s">
        <v>1498</v>
      </c>
      <c r="F87" s="10" t="s">
        <v>351</v>
      </c>
      <c r="G87" s="10" t="s">
        <v>352</v>
      </c>
      <c r="H87" s="10">
        <v>2024.0</v>
      </c>
      <c r="I87" s="49" t="s">
        <v>1499</v>
      </c>
      <c r="J87" s="10" t="s">
        <v>170</v>
      </c>
      <c r="K87" s="50">
        <v>45362.0</v>
      </c>
      <c r="L87" s="10"/>
      <c r="M87" s="10" t="s">
        <v>1500</v>
      </c>
      <c r="N87" s="10"/>
      <c r="O87" s="10"/>
      <c r="P87" s="10" t="s">
        <v>368</v>
      </c>
      <c r="Q87" s="10"/>
      <c r="R87" s="10"/>
      <c r="S87" s="10"/>
      <c r="T87" s="10" t="s">
        <v>73</v>
      </c>
      <c r="U87" s="10" t="s">
        <v>1332</v>
      </c>
      <c r="V87" s="10"/>
      <c r="W87" s="10"/>
      <c r="X87" s="10"/>
      <c r="Y87" s="10"/>
      <c r="Z87" s="10"/>
      <c r="AA87" s="10"/>
      <c r="AB87" s="10"/>
      <c r="AC87" s="10"/>
      <c r="AD87" s="10"/>
      <c r="AE87" s="10">
        <v>56531.0</v>
      </c>
      <c r="AF87" s="10" t="s">
        <v>96</v>
      </c>
      <c r="AG87" s="10" t="s">
        <v>1501</v>
      </c>
      <c r="AH87" s="10" t="s">
        <v>80</v>
      </c>
      <c r="AI87" s="10" t="s">
        <v>80</v>
      </c>
      <c r="AJ87" s="10" t="s">
        <v>75</v>
      </c>
      <c r="AK87" s="10" t="s">
        <v>75</v>
      </c>
      <c r="AL87" s="10" t="s">
        <v>75</v>
      </c>
      <c r="AM87" s="10" t="s">
        <v>80</v>
      </c>
      <c r="AN87" s="10" t="s">
        <v>80</v>
      </c>
      <c r="AO87" s="10"/>
      <c r="AP87" s="10"/>
      <c r="AQ87" s="10" t="s">
        <v>75</v>
      </c>
      <c r="AR87" s="10"/>
      <c r="AS87" s="10" t="s">
        <v>1326</v>
      </c>
      <c r="AT87" s="10" t="s">
        <v>75</v>
      </c>
      <c r="AU87" s="10"/>
      <c r="AV87" s="10" t="s">
        <v>80</v>
      </c>
      <c r="AW87" s="10" t="s">
        <v>80</v>
      </c>
      <c r="AX87" s="10"/>
      <c r="AY87" s="10" t="s">
        <v>80</v>
      </c>
      <c r="AZ87" s="10"/>
      <c r="BA87" s="10"/>
      <c r="BB87" s="10" t="s">
        <v>75</v>
      </c>
      <c r="BC87" s="10" t="s">
        <v>75</v>
      </c>
      <c r="BD87" s="10" t="s">
        <v>75</v>
      </c>
      <c r="BE87" s="10" t="s">
        <v>75</v>
      </c>
      <c r="BF87" s="10"/>
      <c r="BG87" s="10" t="s">
        <v>1502</v>
      </c>
      <c r="BH87" s="10"/>
      <c r="BI87" s="158"/>
      <c r="BJ87" s="158"/>
      <c r="BK87" s="158"/>
      <c r="BL87" s="158"/>
      <c r="BM87" s="158"/>
      <c r="BN87" s="158"/>
      <c r="BO87" s="158"/>
      <c r="BP87" s="158"/>
      <c r="BQ87" s="158"/>
      <c r="BR87" s="158"/>
      <c r="BS87" s="158"/>
      <c r="BT87" s="158"/>
      <c r="BU87" s="158"/>
      <c r="BV87" s="158"/>
      <c r="BW87" s="158"/>
      <c r="BX87" s="158"/>
    </row>
    <row r="88" ht="27.75" customHeight="1">
      <c r="A88" s="10" t="str">
        <f t="shared" si="1"/>
        <v>WEZH24</v>
      </c>
      <c r="B88" s="10"/>
      <c r="C88" s="10"/>
      <c r="D88" s="10" t="s">
        <v>1464</v>
      </c>
      <c r="E88" s="10" t="s">
        <v>1503</v>
      </c>
      <c r="F88" s="10" t="s">
        <v>359</v>
      </c>
      <c r="G88" s="10" t="s">
        <v>360</v>
      </c>
      <c r="H88" s="10">
        <v>2024.0</v>
      </c>
      <c r="I88" s="10" t="s">
        <v>1504</v>
      </c>
      <c r="J88" s="10" t="s">
        <v>358</v>
      </c>
      <c r="K88" s="50">
        <v>45924.0</v>
      </c>
      <c r="L88" s="10"/>
      <c r="M88" s="10" t="s">
        <v>355</v>
      </c>
      <c r="N88" s="10"/>
      <c r="O88" s="10"/>
      <c r="P88" s="10" t="s">
        <v>368</v>
      </c>
      <c r="Q88" s="10"/>
      <c r="R88" s="10"/>
      <c r="S88" s="10"/>
      <c r="T88" s="10" t="s">
        <v>73</v>
      </c>
      <c r="U88" s="10" t="s">
        <v>1312</v>
      </c>
      <c r="V88" s="10">
        <v>2.0</v>
      </c>
      <c r="W88" s="10">
        <v>2.0</v>
      </c>
      <c r="X88" s="10">
        <v>2.0</v>
      </c>
      <c r="Y88" s="10"/>
      <c r="Z88" s="10"/>
      <c r="AA88" s="10"/>
      <c r="AB88" s="10"/>
      <c r="AC88" s="10"/>
      <c r="AD88" s="10">
        <v>6.0</v>
      </c>
      <c r="AE88" s="10">
        <v>115536.0</v>
      </c>
      <c r="AF88" s="10" t="s">
        <v>96</v>
      </c>
      <c r="AG88" s="10"/>
      <c r="AH88" s="10" t="s">
        <v>80</v>
      </c>
      <c r="AI88" s="10" t="s">
        <v>80</v>
      </c>
      <c r="AJ88" s="10" t="s">
        <v>75</v>
      </c>
      <c r="AK88" s="10" t="s">
        <v>80</v>
      </c>
      <c r="AL88" s="10" t="s">
        <v>75</v>
      </c>
      <c r="AM88" s="10" t="s">
        <v>80</v>
      </c>
      <c r="AN88" s="10" t="s">
        <v>80</v>
      </c>
      <c r="AO88" s="10"/>
      <c r="AP88" s="10" t="s">
        <v>75</v>
      </c>
      <c r="AQ88" s="10" t="s">
        <v>75</v>
      </c>
      <c r="AR88" s="10"/>
      <c r="AS88" s="10" t="s">
        <v>1326</v>
      </c>
      <c r="AT88" s="10" t="s">
        <v>75</v>
      </c>
      <c r="AU88" s="10"/>
      <c r="AV88" s="10" t="s">
        <v>80</v>
      </c>
      <c r="AW88" s="10" t="s">
        <v>80</v>
      </c>
      <c r="AX88" s="10"/>
      <c r="AY88" s="10" t="s">
        <v>80</v>
      </c>
      <c r="AZ88" s="10"/>
      <c r="BA88" s="10"/>
      <c r="BB88" s="10" t="s">
        <v>80</v>
      </c>
      <c r="BC88" s="10" t="s">
        <v>75</v>
      </c>
      <c r="BD88" s="10" t="s">
        <v>75</v>
      </c>
      <c r="BE88" s="10" t="s">
        <v>75</v>
      </c>
      <c r="BF88" s="10"/>
      <c r="BG88" s="10" t="s">
        <v>1505</v>
      </c>
      <c r="BH88" s="10"/>
      <c r="BI88" s="158"/>
      <c r="BJ88" s="158"/>
      <c r="BK88" s="158"/>
      <c r="BL88" s="158"/>
      <c r="BM88" s="158"/>
      <c r="BN88" s="158"/>
      <c r="BO88" s="158"/>
      <c r="BP88" s="158"/>
      <c r="BQ88" s="158"/>
      <c r="BR88" s="158"/>
      <c r="BS88" s="158"/>
      <c r="BT88" s="158"/>
      <c r="BU88" s="158"/>
      <c r="BV88" s="158"/>
      <c r="BW88" s="158"/>
      <c r="BX88" s="158"/>
    </row>
    <row r="89" ht="27.75" customHeight="1">
      <c r="A89" s="10" t="str">
        <f t="shared" si="1"/>
        <v>SHKA24</v>
      </c>
      <c r="B89" s="10"/>
      <c r="C89" s="10"/>
      <c r="D89" s="10" t="s">
        <v>1506</v>
      </c>
      <c r="E89" s="10" t="s">
        <v>1507</v>
      </c>
      <c r="F89" s="10" t="s">
        <v>1508</v>
      </c>
      <c r="G89" s="10" t="s">
        <v>1509</v>
      </c>
      <c r="H89" s="10">
        <v>2024.0</v>
      </c>
      <c r="I89" s="49" t="s">
        <v>1510</v>
      </c>
      <c r="J89" s="10" t="s">
        <v>316</v>
      </c>
      <c r="K89" s="50">
        <v>45616.0</v>
      </c>
      <c r="L89" s="10"/>
      <c r="M89" s="10" t="s">
        <v>313</v>
      </c>
      <c r="N89" s="10"/>
      <c r="O89" s="10"/>
      <c r="P89" s="10" t="s">
        <v>368</v>
      </c>
      <c r="Q89" s="10"/>
      <c r="R89" s="10"/>
      <c r="S89" s="10"/>
      <c r="T89" s="10" t="s">
        <v>73</v>
      </c>
      <c r="U89" s="10" t="s">
        <v>1332</v>
      </c>
      <c r="V89" s="10"/>
      <c r="W89" s="10"/>
      <c r="X89" s="10"/>
      <c r="Y89" s="10"/>
      <c r="Z89" s="10"/>
      <c r="AA89" s="10"/>
      <c r="AB89" s="10"/>
      <c r="AC89" s="10"/>
      <c r="AD89" s="10"/>
      <c r="AE89" s="10"/>
      <c r="AF89" s="10" t="s">
        <v>1511</v>
      </c>
      <c r="AG89" s="10" t="s">
        <v>75</v>
      </c>
      <c r="AH89" s="10" t="s">
        <v>80</v>
      </c>
      <c r="AI89" s="10" t="s">
        <v>75</v>
      </c>
      <c r="AJ89" s="10" t="s">
        <v>75</v>
      </c>
      <c r="AK89" s="10" t="s">
        <v>75</v>
      </c>
      <c r="AL89" s="10" t="s">
        <v>75</v>
      </c>
      <c r="AM89" s="10" t="s">
        <v>75</v>
      </c>
      <c r="AN89" s="10" t="s">
        <v>75</v>
      </c>
      <c r="AO89" s="10"/>
      <c r="AP89" s="10" t="s">
        <v>75</v>
      </c>
      <c r="AQ89" s="10"/>
      <c r="AR89" s="10"/>
      <c r="AS89" s="10"/>
      <c r="AT89" s="10"/>
      <c r="AU89" s="10"/>
      <c r="AV89" s="10"/>
      <c r="AW89" s="10"/>
      <c r="AX89" s="10"/>
      <c r="AY89" s="10"/>
      <c r="AZ89" s="10"/>
      <c r="BA89" s="10"/>
      <c r="BB89" s="10" t="s">
        <v>80</v>
      </c>
      <c r="BC89" s="10" t="s">
        <v>75</v>
      </c>
      <c r="BD89" s="10" t="s">
        <v>75</v>
      </c>
      <c r="BE89" s="10" t="s">
        <v>75</v>
      </c>
      <c r="BF89" s="10"/>
      <c r="BG89" s="10" t="s">
        <v>1512</v>
      </c>
      <c r="BH89" s="10"/>
      <c r="BI89" s="158"/>
      <c r="BJ89" s="158"/>
      <c r="BK89" s="158"/>
      <c r="BL89" s="158"/>
      <c r="BM89" s="158"/>
      <c r="BN89" s="158"/>
      <c r="BO89" s="158"/>
      <c r="BP89" s="158"/>
      <c r="BQ89" s="158"/>
      <c r="BR89" s="158"/>
      <c r="BS89" s="158"/>
      <c r="BT89" s="158"/>
      <c r="BU89" s="158"/>
      <c r="BV89" s="158"/>
      <c r="BW89" s="158"/>
      <c r="BX89" s="158"/>
    </row>
    <row r="90" ht="27.75" customHeight="1">
      <c r="A90" s="10" t="str">
        <f t="shared" si="1"/>
        <v>ASJE25</v>
      </c>
      <c r="B90" s="10"/>
      <c r="C90" s="10"/>
      <c r="D90" s="10" t="s">
        <v>1506</v>
      </c>
      <c r="E90" s="10" t="s">
        <v>1513</v>
      </c>
      <c r="F90" s="10" t="s">
        <v>560</v>
      </c>
      <c r="G90" s="10" t="s">
        <v>1514</v>
      </c>
      <c r="H90" s="10">
        <v>2025.0</v>
      </c>
      <c r="I90" s="10" t="s">
        <v>1515</v>
      </c>
      <c r="J90" s="10" t="s">
        <v>1516</v>
      </c>
      <c r="K90" s="50">
        <v>45919.0</v>
      </c>
      <c r="L90" s="10"/>
      <c r="M90" s="10" t="s">
        <v>1517</v>
      </c>
      <c r="N90" s="10"/>
      <c r="O90" s="10"/>
      <c r="P90" s="10" t="s">
        <v>368</v>
      </c>
      <c r="Q90" s="10"/>
      <c r="R90" s="10"/>
      <c r="S90" s="10"/>
      <c r="T90" s="10" t="s">
        <v>532</v>
      </c>
      <c r="U90" s="10" t="s">
        <v>1332</v>
      </c>
      <c r="V90" s="10">
        <v>3.0</v>
      </c>
      <c r="W90" s="10"/>
      <c r="X90" s="10">
        <v>3.0</v>
      </c>
      <c r="Y90" s="10"/>
      <c r="Z90" s="10"/>
      <c r="AA90" s="10"/>
      <c r="AB90" s="10"/>
      <c r="AC90" s="10"/>
      <c r="AD90" s="10">
        <v>18.0</v>
      </c>
      <c r="AE90" s="10">
        <v>17769.0</v>
      </c>
      <c r="AF90" s="10" t="s">
        <v>96</v>
      </c>
      <c r="AG90" s="10" t="s">
        <v>1518</v>
      </c>
      <c r="AH90" s="10" t="s">
        <v>80</v>
      </c>
      <c r="AI90" s="10" t="s">
        <v>80</v>
      </c>
      <c r="AJ90" s="10" t="s">
        <v>75</v>
      </c>
      <c r="AK90" s="10" t="s">
        <v>80</v>
      </c>
      <c r="AL90" s="10" t="s">
        <v>75</v>
      </c>
      <c r="AM90" s="10" t="s">
        <v>80</v>
      </c>
      <c r="AN90" s="10" t="s">
        <v>80</v>
      </c>
      <c r="AO90" s="10"/>
      <c r="AP90" s="10" t="s">
        <v>75</v>
      </c>
      <c r="AQ90" s="10" t="s">
        <v>75</v>
      </c>
      <c r="AR90" s="10"/>
      <c r="AS90" s="10"/>
      <c r="AT90" s="10"/>
      <c r="AU90" s="10"/>
      <c r="AV90" s="10" t="s">
        <v>75</v>
      </c>
      <c r="AW90" s="10" t="s">
        <v>80</v>
      </c>
      <c r="AX90" s="10" t="s">
        <v>75</v>
      </c>
      <c r="AY90" s="10" t="s">
        <v>80</v>
      </c>
      <c r="AZ90" s="10" t="s">
        <v>1519</v>
      </c>
      <c r="BA90" s="10" t="s">
        <v>80</v>
      </c>
      <c r="BB90" s="10" t="s">
        <v>75</v>
      </c>
      <c r="BC90" s="10" t="s">
        <v>80</v>
      </c>
      <c r="BD90" s="10" t="s">
        <v>75</v>
      </c>
      <c r="BE90" s="10" t="s">
        <v>75</v>
      </c>
      <c r="BF90" s="10"/>
      <c r="BG90" s="10" t="s">
        <v>1520</v>
      </c>
      <c r="BH90" s="10"/>
      <c r="BI90" s="158"/>
      <c r="BJ90" s="158"/>
      <c r="BK90" s="158"/>
      <c r="BL90" s="158"/>
      <c r="BM90" s="158"/>
      <c r="BN90" s="158"/>
      <c r="BO90" s="158"/>
      <c r="BP90" s="158"/>
      <c r="BQ90" s="158"/>
      <c r="BR90" s="158"/>
      <c r="BS90" s="158"/>
      <c r="BT90" s="158"/>
      <c r="BU90" s="158"/>
      <c r="BV90" s="158"/>
      <c r="BW90" s="158"/>
      <c r="BX90" s="158"/>
    </row>
    <row r="91" ht="27.75" customHeight="1">
      <c r="A91" s="10" t="str">
        <f t="shared" si="1"/>
        <v>SHDA24</v>
      </c>
      <c r="B91" s="10"/>
      <c r="C91" s="10"/>
      <c r="D91" s="10" t="s">
        <v>317</v>
      </c>
      <c r="E91" s="10" t="s">
        <v>854</v>
      </c>
      <c r="F91" s="10" t="s">
        <v>851</v>
      </c>
      <c r="G91" s="10" t="s">
        <v>852</v>
      </c>
      <c r="H91" s="10">
        <v>2024.0</v>
      </c>
      <c r="I91" s="58" t="s">
        <v>1521</v>
      </c>
      <c r="J91" s="10" t="s">
        <v>854</v>
      </c>
      <c r="K91" s="50">
        <v>45238.0</v>
      </c>
      <c r="L91" s="10"/>
      <c r="M91" s="76" t="s">
        <v>855</v>
      </c>
      <c r="N91" s="10"/>
      <c r="O91" s="10"/>
      <c r="P91" s="10" t="s">
        <v>368</v>
      </c>
      <c r="Q91" s="10"/>
      <c r="R91" s="10"/>
      <c r="S91" s="10"/>
      <c r="T91" s="10" t="s">
        <v>1522</v>
      </c>
      <c r="U91" s="10" t="s">
        <v>1332</v>
      </c>
      <c r="V91" s="10">
        <v>1.0</v>
      </c>
      <c r="W91" s="10"/>
      <c r="X91" s="10">
        <v>1.0</v>
      </c>
      <c r="Y91" s="10"/>
      <c r="Z91" s="10"/>
      <c r="AA91" s="10"/>
      <c r="AB91" s="10"/>
      <c r="AC91" s="10"/>
      <c r="AD91" s="10">
        <v>2.0</v>
      </c>
      <c r="AE91" s="10">
        <v>21464.0</v>
      </c>
      <c r="AF91" s="10" t="s">
        <v>96</v>
      </c>
      <c r="AG91" s="10" t="s">
        <v>1523</v>
      </c>
      <c r="AH91" s="10"/>
      <c r="AI91" s="10"/>
      <c r="AJ91" s="10"/>
      <c r="AK91" s="10"/>
      <c r="AL91" s="10"/>
      <c r="AM91" s="10"/>
      <c r="AN91" s="10"/>
      <c r="AO91" s="10"/>
      <c r="AP91" s="10"/>
      <c r="AQ91" s="10"/>
      <c r="AR91" s="10"/>
      <c r="AS91" s="10"/>
      <c r="AT91" s="10"/>
      <c r="AU91" s="10"/>
      <c r="AV91" s="10"/>
      <c r="AW91" s="10"/>
      <c r="AX91" s="10"/>
      <c r="AY91" s="10"/>
      <c r="AZ91" s="10"/>
      <c r="BA91" s="10"/>
      <c r="BB91" s="10" t="s">
        <v>75</v>
      </c>
      <c r="BC91" s="10" t="s">
        <v>75</v>
      </c>
      <c r="BD91" s="10" t="s">
        <v>75</v>
      </c>
      <c r="BE91" s="10" t="s">
        <v>75</v>
      </c>
      <c r="BF91" s="10"/>
      <c r="BG91" s="10" t="s">
        <v>1524</v>
      </c>
      <c r="BH91" s="10"/>
      <c r="BI91" s="158"/>
      <c r="BJ91" s="158"/>
      <c r="BK91" s="158"/>
      <c r="BL91" s="158"/>
      <c r="BM91" s="158"/>
      <c r="BN91" s="158"/>
      <c r="BO91" s="158"/>
      <c r="BP91" s="158"/>
      <c r="BQ91" s="158"/>
      <c r="BR91" s="158"/>
      <c r="BS91" s="158"/>
      <c r="BT91" s="158"/>
      <c r="BU91" s="158"/>
      <c r="BV91" s="158"/>
      <c r="BW91" s="158"/>
      <c r="BX91" s="158"/>
    </row>
    <row r="92" ht="27.75" customHeight="1">
      <c r="A92" s="10" t="str">
        <f t="shared" si="1"/>
        <v>RADW22</v>
      </c>
      <c r="B92" s="10"/>
      <c r="C92" s="10"/>
      <c r="D92" s="10" t="s">
        <v>1506</v>
      </c>
      <c r="E92" s="10" t="s">
        <v>651</v>
      </c>
      <c r="F92" s="10" t="s">
        <v>653</v>
      </c>
      <c r="G92" s="10" t="s">
        <v>655</v>
      </c>
      <c r="H92" s="10">
        <v>2022.0</v>
      </c>
      <c r="I92" s="10" t="s">
        <v>649</v>
      </c>
      <c r="J92" s="10" t="s">
        <v>652</v>
      </c>
      <c r="K92" s="50">
        <v>44727.0</v>
      </c>
      <c r="L92" s="10"/>
      <c r="M92" s="10" t="s">
        <v>1525</v>
      </c>
      <c r="N92" s="10"/>
      <c r="O92" s="10"/>
      <c r="P92" s="10" t="s">
        <v>368</v>
      </c>
      <c r="Q92" s="10"/>
      <c r="R92" s="10"/>
      <c r="S92" s="10"/>
      <c r="T92" s="10" t="s">
        <v>165</v>
      </c>
      <c r="U92" s="10" t="s">
        <v>1131</v>
      </c>
      <c r="V92" s="10"/>
      <c r="W92" s="10"/>
      <c r="X92" s="10">
        <v>2.0</v>
      </c>
      <c r="Y92" s="10"/>
      <c r="Z92" s="10"/>
      <c r="AA92" s="10"/>
      <c r="AB92" s="10"/>
      <c r="AC92" s="10"/>
      <c r="AD92" s="10">
        <v>2.0</v>
      </c>
      <c r="AE92" s="10"/>
      <c r="AF92" s="10" t="s">
        <v>96</v>
      </c>
      <c r="AG92" s="10"/>
      <c r="AH92" s="10" t="s">
        <v>80</v>
      </c>
      <c r="AI92" s="10" t="s">
        <v>80</v>
      </c>
      <c r="AJ92" s="10" t="s">
        <v>80</v>
      </c>
      <c r="AK92" s="10" t="s">
        <v>80</v>
      </c>
      <c r="AL92" s="10" t="s">
        <v>80</v>
      </c>
      <c r="AM92" s="10" t="s">
        <v>75</v>
      </c>
      <c r="AN92" s="10" t="s">
        <v>80</v>
      </c>
      <c r="AO92" s="10"/>
      <c r="AP92" s="10"/>
      <c r="AQ92" s="10" t="s">
        <v>80</v>
      </c>
      <c r="AR92" s="10" t="s">
        <v>1325</v>
      </c>
      <c r="AS92" s="10"/>
      <c r="AT92" s="10"/>
      <c r="AU92" s="10">
        <v>583.0</v>
      </c>
      <c r="AV92" s="10" t="s">
        <v>80</v>
      </c>
      <c r="AW92" s="10" t="s">
        <v>80</v>
      </c>
      <c r="AX92" s="10" t="s">
        <v>75</v>
      </c>
      <c r="AY92" s="10" t="s">
        <v>80</v>
      </c>
      <c r="AZ92" s="10"/>
      <c r="BA92" s="10"/>
      <c r="BB92" s="10" t="s">
        <v>75</v>
      </c>
      <c r="BC92" s="10" t="s">
        <v>75</v>
      </c>
      <c r="BD92" s="10" t="s">
        <v>75</v>
      </c>
      <c r="BE92" s="10" t="s">
        <v>75</v>
      </c>
      <c r="BF92" s="10"/>
      <c r="BG92" s="10" t="s">
        <v>1526</v>
      </c>
      <c r="BH92" s="10"/>
      <c r="BI92" s="158"/>
      <c r="BJ92" s="158"/>
      <c r="BK92" s="158"/>
      <c r="BL92" s="158"/>
      <c r="BM92" s="158"/>
      <c r="BN92" s="158"/>
      <c r="BO92" s="158"/>
      <c r="BP92" s="158"/>
      <c r="BQ92" s="158"/>
      <c r="BR92" s="158"/>
      <c r="BS92" s="158"/>
      <c r="BT92" s="158"/>
      <c r="BU92" s="158"/>
      <c r="BV92" s="158"/>
      <c r="BW92" s="158"/>
      <c r="BX92" s="158"/>
    </row>
    <row r="93" ht="27.75" customHeight="1">
      <c r="A93" s="10" t="str">
        <f t="shared" si="1"/>
        <v>ANAY20</v>
      </c>
      <c r="B93" s="10"/>
      <c r="C93" s="10"/>
      <c r="D93" s="10" t="s">
        <v>317</v>
      </c>
      <c r="E93" s="10" t="s">
        <v>1527</v>
      </c>
      <c r="F93" s="10" t="s">
        <v>542</v>
      </c>
      <c r="G93" s="10" t="s">
        <v>1528</v>
      </c>
      <c r="H93" s="10">
        <v>2020.0</v>
      </c>
      <c r="I93" s="49" t="s">
        <v>972</v>
      </c>
      <c r="J93" s="10" t="s">
        <v>1529</v>
      </c>
      <c r="K93" s="50">
        <v>45300.0</v>
      </c>
      <c r="L93" s="10"/>
      <c r="M93" s="8" t="s">
        <v>617</v>
      </c>
      <c r="N93" s="10"/>
      <c r="O93" s="10"/>
      <c r="P93" s="10" t="s">
        <v>368</v>
      </c>
      <c r="Q93" s="10"/>
      <c r="R93" s="10"/>
      <c r="S93" s="10"/>
      <c r="T93" s="10" t="s">
        <v>165</v>
      </c>
      <c r="U93" s="10"/>
      <c r="V93" s="10"/>
      <c r="W93" s="10"/>
      <c r="X93" s="10">
        <v>6.0</v>
      </c>
      <c r="Y93" s="10"/>
      <c r="Z93" s="10"/>
      <c r="AA93" s="10"/>
      <c r="AB93" s="10"/>
      <c r="AC93" s="10"/>
      <c r="AD93" s="10">
        <v>6.0</v>
      </c>
      <c r="AE93" s="10" t="s">
        <v>1530</v>
      </c>
      <c r="AF93" s="10" t="s">
        <v>1531</v>
      </c>
      <c r="AG93" s="10"/>
      <c r="AH93" s="10"/>
      <c r="AI93" s="10"/>
      <c r="AJ93" s="10"/>
      <c r="AK93" s="10"/>
      <c r="AL93" s="10"/>
      <c r="AM93" s="10"/>
      <c r="AN93" s="10"/>
      <c r="AO93" s="10"/>
      <c r="AP93" s="10"/>
      <c r="AQ93" s="10"/>
      <c r="AR93" s="10"/>
      <c r="AS93" s="10"/>
      <c r="AT93" s="10"/>
      <c r="AU93" s="10"/>
      <c r="AV93" s="10"/>
      <c r="AW93" s="10"/>
      <c r="AX93" s="10"/>
      <c r="AY93" s="10"/>
      <c r="AZ93" s="10"/>
      <c r="BA93" s="10"/>
      <c r="BB93" s="10" t="s">
        <v>75</v>
      </c>
      <c r="BC93" s="10" t="s">
        <v>80</v>
      </c>
      <c r="BD93" s="10" t="s">
        <v>75</v>
      </c>
      <c r="BE93" s="10" t="s">
        <v>75</v>
      </c>
      <c r="BF93" s="10"/>
      <c r="BG93" s="10" t="s">
        <v>1532</v>
      </c>
      <c r="BH93" s="10" t="s">
        <v>1533</v>
      </c>
      <c r="BI93" s="158"/>
      <c r="BJ93" s="158"/>
      <c r="BK93" s="158"/>
      <c r="BL93" s="158"/>
      <c r="BM93" s="158"/>
      <c r="BN93" s="158"/>
      <c r="BO93" s="158"/>
      <c r="BP93" s="158"/>
      <c r="BQ93" s="158"/>
      <c r="BR93" s="158"/>
      <c r="BS93" s="158"/>
      <c r="BT93" s="158"/>
      <c r="BU93" s="158"/>
      <c r="BV93" s="158"/>
      <c r="BW93" s="158"/>
      <c r="BX93" s="158"/>
    </row>
    <row r="94" ht="27.75" customHeight="1">
      <c r="A94" s="10" t="str">
        <f t="shared" si="1"/>
        <v>WEJO20</v>
      </c>
      <c r="B94" s="10"/>
      <c r="C94" s="10"/>
      <c r="D94" s="10" t="s">
        <v>317</v>
      </c>
      <c r="E94" s="10" t="s">
        <v>364</v>
      </c>
      <c r="F94" s="10" t="s">
        <v>366</v>
      </c>
      <c r="G94" s="10" t="s">
        <v>326</v>
      </c>
      <c r="H94" s="10">
        <v>2020.0</v>
      </c>
      <c r="I94" s="10" t="s">
        <v>363</v>
      </c>
      <c r="J94" s="10" t="s">
        <v>365</v>
      </c>
      <c r="K94" s="50">
        <v>43999.0</v>
      </c>
      <c r="L94" s="10"/>
      <c r="M94" s="10" t="s">
        <v>362</v>
      </c>
      <c r="N94" s="10"/>
      <c r="O94" s="10"/>
      <c r="P94" s="10" t="s">
        <v>368</v>
      </c>
      <c r="Q94" s="10"/>
      <c r="R94" s="10"/>
      <c r="S94" s="10"/>
      <c r="T94" s="10" t="s">
        <v>165</v>
      </c>
      <c r="U94" s="10"/>
      <c r="V94" s="10"/>
      <c r="W94" s="10"/>
      <c r="X94" s="10"/>
      <c r="Y94" s="10"/>
      <c r="Z94" s="10"/>
      <c r="AA94" s="10"/>
      <c r="AB94" s="10"/>
      <c r="AC94" s="10"/>
      <c r="AD94" s="10">
        <v>7.0</v>
      </c>
      <c r="AE94" s="10">
        <v>85000.0</v>
      </c>
      <c r="AF94" s="10" t="s">
        <v>96</v>
      </c>
      <c r="AG94" s="10"/>
      <c r="AH94" s="10"/>
      <c r="AI94" s="10"/>
      <c r="AJ94" s="10"/>
      <c r="AK94" s="10"/>
      <c r="AL94" s="10"/>
      <c r="AM94" s="10"/>
      <c r="AN94" s="10"/>
      <c r="AO94" s="10"/>
      <c r="AP94" s="10"/>
      <c r="AQ94" s="10"/>
      <c r="AR94" s="10"/>
      <c r="AS94" s="10" t="s">
        <v>1326</v>
      </c>
      <c r="AT94" s="10" t="s">
        <v>80</v>
      </c>
      <c r="AU94" s="10"/>
      <c r="AV94" s="10"/>
      <c r="AW94" s="10"/>
      <c r="AX94" s="10"/>
      <c r="AY94" s="10"/>
      <c r="AZ94" s="10"/>
      <c r="BA94" s="10"/>
      <c r="BB94" s="10" t="s">
        <v>75</v>
      </c>
      <c r="BC94" s="10" t="s">
        <v>80</v>
      </c>
      <c r="BD94" s="10" t="s">
        <v>75</v>
      </c>
      <c r="BE94" s="10" t="s">
        <v>75</v>
      </c>
      <c r="BF94" s="10"/>
      <c r="BG94" s="10" t="s">
        <v>1534</v>
      </c>
      <c r="BH94" s="10"/>
      <c r="BI94" s="158"/>
      <c r="BJ94" s="158"/>
      <c r="BK94" s="158"/>
      <c r="BL94" s="158"/>
      <c r="BM94" s="158"/>
      <c r="BN94" s="158"/>
      <c r="BO94" s="158"/>
      <c r="BP94" s="158"/>
      <c r="BQ94" s="158"/>
      <c r="BR94" s="158"/>
      <c r="BS94" s="158"/>
      <c r="BT94" s="158"/>
      <c r="BU94" s="158"/>
      <c r="BV94" s="158"/>
      <c r="BW94" s="158"/>
      <c r="BX94" s="158"/>
    </row>
    <row r="95" ht="27.75" customHeight="1">
      <c r="A95" s="10" t="str">
        <f t="shared" si="1"/>
        <v>TAJO22</v>
      </c>
      <c r="B95" s="10"/>
      <c r="C95" s="10"/>
      <c r="D95" s="10" t="s">
        <v>1506</v>
      </c>
      <c r="E95" s="10" t="s">
        <v>1535</v>
      </c>
      <c r="F95" s="10" t="s">
        <v>692</v>
      </c>
      <c r="G95" s="10" t="s">
        <v>326</v>
      </c>
      <c r="H95" s="10">
        <v>2022.0</v>
      </c>
      <c r="I95" s="49" t="s">
        <v>1536</v>
      </c>
      <c r="J95" s="10" t="s">
        <v>342</v>
      </c>
      <c r="K95" s="50">
        <v>44757.0</v>
      </c>
      <c r="L95" s="10"/>
      <c r="M95" s="10" t="s">
        <v>688</v>
      </c>
      <c r="N95" s="10"/>
      <c r="O95" s="10"/>
      <c r="P95" s="10" t="s">
        <v>368</v>
      </c>
      <c r="Q95" s="10"/>
      <c r="R95" s="10"/>
      <c r="S95" s="10"/>
      <c r="T95" s="10" t="s">
        <v>165</v>
      </c>
      <c r="U95" s="10"/>
      <c r="V95" s="10"/>
      <c r="W95" s="10"/>
      <c r="X95" s="10">
        <v>6.0</v>
      </c>
      <c r="Y95" s="10"/>
      <c r="Z95" s="10"/>
      <c r="AA95" s="10"/>
      <c r="AB95" s="10" t="s">
        <v>1373</v>
      </c>
      <c r="AC95" s="10"/>
      <c r="AD95" s="10">
        <v>6.0</v>
      </c>
      <c r="AE95" s="10">
        <v>191992.0</v>
      </c>
      <c r="AF95" s="10" t="s">
        <v>1537</v>
      </c>
      <c r="AG95" s="10"/>
      <c r="AH95" s="10" t="s">
        <v>80</v>
      </c>
      <c r="AI95" s="10" t="s">
        <v>80</v>
      </c>
      <c r="AJ95" s="10" t="s">
        <v>80</v>
      </c>
      <c r="AK95" s="10" t="s">
        <v>80</v>
      </c>
      <c r="AL95" s="10" t="s">
        <v>80</v>
      </c>
      <c r="AM95" s="10" t="s">
        <v>80</v>
      </c>
      <c r="AN95" s="10" t="s">
        <v>80</v>
      </c>
      <c r="AO95" s="10"/>
      <c r="AP95" s="10"/>
      <c r="AQ95" s="10" t="s">
        <v>75</v>
      </c>
      <c r="AR95" s="10"/>
      <c r="AS95" s="10"/>
      <c r="AT95" s="10"/>
      <c r="AU95" s="10"/>
      <c r="AV95" s="10" t="s">
        <v>75</v>
      </c>
      <c r="AW95" s="10" t="s">
        <v>80</v>
      </c>
      <c r="AX95" s="10" t="s">
        <v>75</v>
      </c>
      <c r="AY95" s="10" t="s">
        <v>75</v>
      </c>
      <c r="AZ95" s="10" t="s">
        <v>1538</v>
      </c>
      <c r="BA95" s="10" t="s">
        <v>80</v>
      </c>
      <c r="BB95" s="10" t="s">
        <v>75</v>
      </c>
      <c r="BC95" s="10" t="s">
        <v>80</v>
      </c>
      <c r="BD95" s="10" t="s">
        <v>75</v>
      </c>
      <c r="BE95" s="10" t="s">
        <v>75</v>
      </c>
      <c r="BF95" s="10"/>
      <c r="BG95" s="10" t="s">
        <v>1539</v>
      </c>
      <c r="BH95" s="10"/>
      <c r="BI95" s="158"/>
      <c r="BJ95" s="158"/>
      <c r="BK95" s="158"/>
      <c r="BL95" s="158"/>
      <c r="BM95" s="158"/>
      <c r="BN95" s="158"/>
      <c r="BO95" s="158"/>
      <c r="BP95" s="158"/>
      <c r="BQ95" s="158"/>
      <c r="BR95" s="158"/>
      <c r="BS95" s="158"/>
      <c r="BT95" s="158"/>
      <c r="BU95" s="158"/>
      <c r="BV95" s="158"/>
      <c r="BW95" s="158"/>
      <c r="BX95" s="158"/>
    </row>
    <row r="96" ht="27.75" customHeight="1">
      <c r="A96" s="10" t="str">
        <f t="shared" si="1"/>
        <v>TAJO20</v>
      </c>
      <c r="B96" s="10"/>
      <c r="C96" s="10"/>
      <c r="D96" s="161" t="s">
        <v>1506</v>
      </c>
      <c r="E96" s="10" t="s">
        <v>375</v>
      </c>
      <c r="F96" s="10" t="s">
        <v>1540</v>
      </c>
      <c r="G96" s="10" t="s">
        <v>326</v>
      </c>
      <c r="H96" s="10">
        <v>2020.0</v>
      </c>
      <c r="I96" s="10" t="s">
        <v>374</v>
      </c>
      <c r="J96" s="10" t="s">
        <v>342</v>
      </c>
      <c r="K96" s="50">
        <v>43948.0</v>
      </c>
      <c r="L96" s="10"/>
      <c r="M96" s="10" t="s">
        <v>373</v>
      </c>
      <c r="N96" s="10"/>
      <c r="O96" s="10"/>
      <c r="P96" s="10" t="s">
        <v>368</v>
      </c>
      <c r="Q96" s="10"/>
      <c r="R96" s="10"/>
      <c r="S96" s="10"/>
      <c r="T96" s="10" t="s">
        <v>1413</v>
      </c>
      <c r="U96" s="10" t="s">
        <v>1332</v>
      </c>
      <c r="V96" s="10"/>
      <c r="W96" s="10"/>
      <c r="X96" s="10"/>
      <c r="Y96" s="10"/>
      <c r="Z96" s="10"/>
      <c r="AA96" s="10"/>
      <c r="AB96" s="10"/>
      <c r="AC96" s="10"/>
      <c r="AD96" s="10"/>
      <c r="AE96" s="10"/>
      <c r="AF96" s="10" t="s">
        <v>630</v>
      </c>
      <c r="AG96" s="10" t="s">
        <v>824</v>
      </c>
      <c r="AH96" s="10" t="s">
        <v>80</v>
      </c>
      <c r="AI96" s="10" t="s">
        <v>80</v>
      </c>
      <c r="AJ96" s="10" t="s">
        <v>75</v>
      </c>
      <c r="AK96" s="10" t="s">
        <v>75</v>
      </c>
      <c r="AL96" s="10" t="s">
        <v>75</v>
      </c>
      <c r="AM96" s="10" t="s">
        <v>75</v>
      </c>
      <c r="AN96" s="10" t="s">
        <v>75</v>
      </c>
      <c r="AO96" s="10"/>
      <c r="AP96" s="10"/>
      <c r="AQ96" s="10" t="s">
        <v>75</v>
      </c>
      <c r="AR96" s="10"/>
      <c r="AS96" s="10" t="s">
        <v>1326</v>
      </c>
      <c r="AT96" s="10" t="s">
        <v>80</v>
      </c>
      <c r="AU96" s="10"/>
      <c r="AV96" s="10" t="s">
        <v>75</v>
      </c>
      <c r="AW96" s="10" t="s">
        <v>80</v>
      </c>
      <c r="AX96" s="10" t="s">
        <v>75</v>
      </c>
      <c r="AY96" s="10" t="s">
        <v>80</v>
      </c>
      <c r="AZ96" s="10"/>
      <c r="BA96" s="10" t="s">
        <v>80</v>
      </c>
      <c r="BB96" s="10" t="s">
        <v>75</v>
      </c>
      <c r="BC96" s="10" t="s">
        <v>75</v>
      </c>
      <c r="BD96" s="10" t="s">
        <v>75</v>
      </c>
      <c r="BE96" s="10" t="s">
        <v>75</v>
      </c>
      <c r="BF96" s="10"/>
      <c r="BG96" s="10" t="s">
        <v>1541</v>
      </c>
      <c r="BH96" s="10"/>
      <c r="BI96" s="158"/>
      <c r="BJ96" s="158"/>
      <c r="BK96" s="158"/>
      <c r="BL96" s="158"/>
      <c r="BM96" s="158"/>
      <c r="BN96" s="158"/>
      <c r="BO96" s="158"/>
      <c r="BP96" s="158"/>
      <c r="BQ96" s="158"/>
      <c r="BR96" s="158"/>
      <c r="BS96" s="158"/>
      <c r="BT96" s="158"/>
      <c r="BU96" s="158"/>
      <c r="BV96" s="158"/>
      <c r="BW96" s="158"/>
      <c r="BX96" s="158"/>
    </row>
    <row r="97" ht="27.75" customHeight="1">
      <c r="A97" s="10" t="str">
        <f t="shared" si="1"/>
        <v>SEHO22</v>
      </c>
      <c r="B97" s="10"/>
      <c r="C97" s="10"/>
      <c r="D97" s="10" t="s">
        <v>1506</v>
      </c>
      <c r="E97" s="10" t="s">
        <v>383</v>
      </c>
      <c r="F97" s="10" t="s">
        <v>1542</v>
      </c>
      <c r="G97" s="10" t="s">
        <v>844</v>
      </c>
      <c r="H97" s="10">
        <v>2022.0</v>
      </c>
      <c r="I97" s="10" t="s">
        <v>382</v>
      </c>
      <c r="J97" s="10" t="s">
        <v>384</v>
      </c>
      <c r="K97" s="50">
        <v>44783.0</v>
      </c>
      <c r="L97" s="10"/>
      <c r="M97" s="10" t="s">
        <v>381</v>
      </c>
      <c r="N97" s="10"/>
      <c r="O97" s="10"/>
      <c r="P97" s="10" t="s">
        <v>368</v>
      </c>
      <c r="Q97" s="10"/>
      <c r="R97" s="10"/>
      <c r="S97" s="10"/>
      <c r="T97" s="10" t="s">
        <v>165</v>
      </c>
      <c r="U97" s="10"/>
      <c r="V97" s="10"/>
      <c r="W97" s="10"/>
      <c r="X97" s="10"/>
      <c r="Y97" s="10"/>
      <c r="Z97" s="10"/>
      <c r="AA97" s="10"/>
      <c r="AB97" s="10"/>
      <c r="AC97" s="10"/>
      <c r="AD97" s="10">
        <v>8.0</v>
      </c>
      <c r="AE97" s="10">
        <v>50000.0</v>
      </c>
      <c r="AF97" s="10" t="s">
        <v>96</v>
      </c>
      <c r="AG97" s="10"/>
      <c r="AH97" s="10"/>
      <c r="AI97" s="10"/>
      <c r="AJ97" s="10"/>
      <c r="AK97" s="10"/>
      <c r="AL97" s="10"/>
      <c r="AM97" s="10"/>
      <c r="AN97" s="10"/>
      <c r="AO97" s="10"/>
      <c r="AP97" s="10"/>
      <c r="AQ97" s="10"/>
      <c r="AR97" s="10"/>
      <c r="AS97" s="10" t="s">
        <v>1326</v>
      </c>
      <c r="AT97" s="10" t="s">
        <v>80</v>
      </c>
      <c r="AU97" s="10"/>
      <c r="AV97" s="10"/>
      <c r="AW97" s="10"/>
      <c r="AX97" s="10"/>
      <c r="AY97" s="10"/>
      <c r="AZ97" s="10"/>
      <c r="BA97" s="10"/>
      <c r="BB97" s="10" t="s">
        <v>75</v>
      </c>
      <c r="BC97" s="10" t="s">
        <v>80</v>
      </c>
      <c r="BD97" s="10" t="s">
        <v>75</v>
      </c>
      <c r="BE97" s="10" t="s">
        <v>75</v>
      </c>
      <c r="BF97" s="10"/>
      <c r="BG97" s="10" t="s">
        <v>1543</v>
      </c>
      <c r="BH97" s="10"/>
      <c r="BI97" s="158"/>
      <c r="BJ97" s="158"/>
      <c r="BK97" s="158"/>
      <c r="BL97" s="158"/>
      <c r="BM97" s="158"/>
      <c r="BN97" s="158"/>
      <c r="BO97" s="158"/>
      <c r="BP97" s="158"/>
      <c r="BQ97" s="158"/>
      <c r="BR97" s="158"/>
      <c r="BS97" s="158"/>
      <c r="BT97" s="158"/>
      <c r="BU97" s="158"/>
      <c r="BV97" s="158"/>
      <c r="BW97" s="158"/>
      <c r="BX97" s="158"/>
    </row>
    <row r="98" ht="27.75" customHeight="1">
      <c r="A98" s="10" t="str">
        <f t="shared" si="1"/>
        <v>LUWO19</v>
      </c>
      <c r="B98" s="10"/>
      <c r="C98" s="10"/>
      <c r="D98" s="10" t="s">
        <v>1506</v>
      </c>
      <c r="E98" s="10" t="s">
        <v>1544</v>
      </c>
      <c r="F98" s="10" t="s">
        <v>1545</v>
      </c>
      <c r="G98" s="10" t="s">
        <v>1546</v>
      </c>
      <c r="H98" s="10">
        <v>2019.0</v>
      </c>
      <c r="I98" s="10" t="s">
        <v>1547</v>
      </c>
      <c r="J98" s="10" t="s">
        <v>1548</v>
      </c>
      <c r="K98" s="50">
        <v>43699.0</v>
      </c>
      <c r="L98" s="10"/>
      <c r="M98" s="10" t="s">
        <v>1549</v>
      </c>
      <c r="N98" s="10"/>
      <c r="O98" s="10"/>
      <c r="P98" s="10" t="s">
        <v>1482</v>
      </c>
      <c r="Q98" s="10"/>
      <c r="R98" s="10"/>
      <c r="S98" s="10"/>
      <c r="T98" s="10" t="s">
        <v>165</v>
      </c>
      <c r="U98" s="10"/>
      <c r="V98" s="10"/>
      <c r="W98" s="10"/>
      <c r="X98" s="10">
        <v>3.0</v>
      </c>
      <c r="Y98" s="10"/>
      <c r="Z98" s="10"/>
      <c r="AA98" s="10"/>
      <c r="AB98" s="10"/>
      <c r="AC98" s="10"/>
      <c r="AD98" s="10">
        <v>3.0</v>
      </c>
      <c r="AE98" s="10">
        <v>20009.0</v>
      </c>
      <c r="AF98" s="10" t="s">
        <v>96</v>
      </c>
      <c r="AG98" s="10" t="s">
        <v>1550</v>
      </c>
      <c r="AH98" s="10" t="s">
        <v>75</v>
      </c>
      <c r="AI98" s="10" t="s">
        <v>80</v>
      </c>
      <c r="AJ98" s="10" t="s">
        <v>80</v>
      </c>
      <c r="AK98" s="10"/>
      <c r="AL98" s="10" t="s">
        <v>80</v>
      </c>
      <c r="AM98" s="10" t="s">
        <v>75</v>
      </c>
      <c r="AN98" s="10" t="s">
        <v>75</v>
      </c>
      <c r="AO98" s="10"/>
      <c r="AP98" s="10" t="s">
        <v>75</v>
      </c>
      <c r="AQ98" s="10" t="s">
        <v>75</v>
      </c>
      <c r="AR98" s="10"/>
      <c r="AS98" s="10" t="s">
        <v>1326</v>
      </c>
      <c r="AT98" s="10" t="s">
        <v>75</v>
      </c>
      <c r="AU98" s="10"/>
      <c r="AV98" s="10" t="s">
        <v>75</v>
      </c>
      <c r="AW98" s="10" t="s">
        <v>75</v>
      </c>
      <c r="AX98" s="10" t="s">
        <v>75</v>
      </c>
      <c r="AY98" s="10" t="s">
        <v>75</v>
      </c>
      <c r="AZ98" s="10"/>
      <c r="BA98" s="10" t="s">
        <v>75</v>
      </c>
      <c r="BB98" s="10" t="s">
        <v>75</v>
      </c>
      <c r="BC98" s="10" t="s">
        <v>75</v>
      </c>
      <c r="BD98" s="10" t="s">
        <v>75</v>
      </c>
      <c r="BE98" s="10" t="s">
        <v>75</v>
      </c>
      <c r="BF98" s="10"/>
      <c r="BG98" s="10" t="s">
        <v>1551</v>
      </c>
      <c r="BH98" s="10"/>
      <c r="BI98" s="158"/>
      <c r="BJ98" s="158"/>
      <c r="BK98" s="158"/>
      <c r="BL98" s="158"/>
      <c r="BM98" s="158"/>
      <c r="BN98" s="158"/>
      <c r="BO98" s="158"/>
      <c r="BP98" s="158"/>
      <c r="BQ98" s="158"/>
      <c r="BR98" s="158"/>
      <c r="BS98" s="158"/>
      <c r="BT98" s="158"/>
      <c r="BU98" s="158"/>
      <c r="BV98" s="158"/>
      <c r="BW98" s="158"/>
      <c r="BX98" s="158"/>
    </row>
    <row r="99" ht="27.75" customHeight="1">
      <c r="A99" s="10" t="str">
        <f t="shared" si="1"/>
        <v>QIRU23</v>
      </c>
      <c r="B99" s="10"/>
      <c r="C99" s="10"/>
      <c r="D99" s="10" t="s">
        <v>1552</v>
      </c>
      <c r="E99" s="10" t="s">
        <v>713</v>
      </c>
      <c r="F99" s="10" t="s">
        <v>715</v>
      </c>
      <c r="G99" s="10" t="s">
        <v>717</v>
      </c>
      <c r="H99" s="10">
        <v>2023.0</v>
      </c>
      <c r="I99" s="10" t="s">
        <v>712</v>
      </c>
      <c r="J99" s="10" t="s">
        <v>384</v>
      </c>
      <c r="K99" s="50">
        <v>45091.0</v>
      </c>
      <c r="L99" s="10"/>
      <c r="M99" s="10" t="s">
        <v>709</v>
      </c>
      <c r="N99" s="10"/>
      <c r="O99" s="10"/>
      <c r="P99" s="10" t="s">
        <v>368</v>
      </c>
      <c r="Q99" s="10"/>
      <c r="R99" s="10"/>
      <c r="S99" s="10"/>
      <c r="T99" s="10" t="s">
        <v>165</v>
      </c>
      <c r="U99" s="10"/>
      <c r="V99" s="10"/>
      <c r="W99" s="10"/>
      <c r="X99" s="10"/>
      <c r="Y99" s="10"/>
      <c r="Z99" s="10"/>
      <c r="AA99" s="10"/>
      <c r="AB99" s="10" t="s">
        <v>1553</v>
      </c>
      <c r="AC99" s="10"/>
      <c r="AD99" s="10">
        <v>6.0</v>
      </c>
      <c r="AE99" s="10">
        <v>250000.0</v>
      </c>
      <c r="AF99" s="10" t="s">
        <v>96</v>
      </c>
      <c r="AG99" s="10"/>
      <c r="AH99" s="10" t="s">
        <v>80</v>
      </c>
      <c r="AI99" s="10" t="s">
        <v>80</v>
      </c>
      <c r="AJ99" s="10" t="s">
        <v>75</v>
      </c>
      <c r="AK99" s="10" t="s">
        <v>80</v>
      </c>
      <c r="AL99" s="10" t="s">
        <v>75</v>
      </c>
      <c r="AM99" s="10" t="s">
        <v>80</v>
      </c>
      <c r="AN99" s="10" t="s">
        <v>80</v>
      </c>
      <c r="AO99" s="10" t="s">
        <v>1554</v>
      </c>
      <c r="AP99" s="10" t="s">
        <v>80</v>
      </c>
      <c r="AQ99" s="10" t="s">
        <v>75</v>
      </c>
      <c r="AR99" s="10"/>
      <c r="AS99" s="10"/>
      <c r="AT99" s="10"/>
      <c r="AU99" s="10"/>
      <c r="AV99" s="10" t="s">
        <v>75</v>
      </c>
      <c r="AW99" s="10" t="s">
        <v>80</v>
      </c>
      <c r="AX99" s="10" t="s">
        <v>75</v>
      </c>
      <c r="AY99" s="10" t="s">
        <v>80</v>
      </c>
      <c r="AZ99" s="10"/>
      <c r="BA99" s="10" t="s">
        <v>75</v>
      </c>
      <c r="BB99" s="10" t="s">
        <v>75</v>
      </c>
      <c r="BC99" s="10" t="s">
        <v>75</v>
      </c>
      <c r="BD99" s="10" t="s">
        <v>75</v>
      </c>
      <c r="BE99" s="10" t="s">
        <v>75</v>
      </c>
      <c r="BF99" s="10"/>
      <c r="BG99" s="10" t="s">
        <v>1555</v>
      </c>
      <c r="BH99" s="10"/>
      <c r="BI99" s="158"/>
      <c r="BJ99" s="158"/>
      <c r="BK99" s="158"/>
      <c r="BL99" s="158"/>
      <c r="BM99" s="158"/>
      <c r="BN99" s="158"/>
      <c r="BO99" s="158"/>
      <c r="BP99" s="158"/>
      <c r="BQ99" s="158"/>
      <c r="BR99" s="158"/>
      <c r="BS99" s="158"/>
      <c r="BT99" s="158"/>
      <c r="BU99" s="158"/>
      <c r="BV99" s="158"/>
      <c r="BW99" s="158"/>
      <c r="BX99" s="158"/>
    </row>
    <row r="100" ht="27.75" customHeight="1">
      <c r="A100" s="10" t="str">
        <f t="shared" si="1"/>
        <v>MABR19</v>
      </c>
      <c r="B100" s="10"/>
      <c r="C100" s="10"/>
      <c r="D100" s="10" t="s">
        <v>1552</v>
      </c>
      <c r="E100" s="10" t="s">
        <v>421</v>
      </c>
      <c r="F100" s="10" t="s">
        <v>424</v>
      </c>
      <c r="G100" s="10" t="s">
        <v>1556</v>
      </c>
      <c r="H100" s="10">
        <v>2019.0</v>
      </c>
      <c r="I100" s="49" t="s">
        <v>420</v>
      </c>
      <c r="J100" s="10" t="s">
        <v>1557</v>
      </c>
      <c r="K100" s="50">
        <v>43763.0</v>
      </c>
      <c r="L100" s="10"/>
      <c r="M100" s="10" t="s">
        <v>1558</v>
      </c>
      <c r="N100" s="10"/>
      <c r="O100" s="10"/>
      <c r="P100" s="10" t="s">
        <v>368</v>
      </c>
      <c r="Q100" s="10"/>
      <c r="R100" s="10"/>
      <c r="S100" s="10"/>
      <c r="T100" s="10" t="s">
        <v>165</v>
      </c>
      <c r="U100" s="10" t="s">
        <v>824</v>
      </c>
      <c r="V100" s="10"/>
      <c r="W100" s="10"/>
      <c r="X100" s="10"/>
      <c r="Y100" s="10"/>
      <c r="Z100" s="10"/>
      <c r="AA100" s="10"/>
      <c r="AB100" s="10" t="s">
        <v>1373</v>
      </c>
      <c r="AC100" s="10"/>
      <c r="AD100" s="10">
        <v>6.0</v>
      </c>
      <c r="AE100" s="10" t="s">
        <v>1559</v>
      </c>
      <c r="AF100" s="10" t="s">
        <v>96</v>
      </c>
      <c r="AG100" s="10" t="s">
        <v>824</v>
      </c>
      <c r="AH100" s="10" t="s">
        <v>80</v>
      </c>
      <c r="AI100" s="10" t="s">
        <v>80</v>
      </c>
      <c r="AJ100" s="10" t="s">
        <v>75</v>
      </c>
      <c r="AK100" s="10" t="s">
        <v>80</v>
      </c>
      <c r="AL100" s="10" t="s">
        <v>75</v>
      </c>
      <c r="AM100" s="10" t="s">
        <v>80</v>
      </c>
      <c r="AN100" s="10" t="s">
        <v>80</v>
      </c>
      <c r="AO100" s="10"/>
      <c r="AP100" s="10" t="s">
        <v>75</v>
      </c>
      <c r="AQ100" s="10" t="s">
        <v>80</v>
      </c>
      <c r="AR100" s="10" t="s">
        <v>1325</v>
      </c>
      <c r="AS100" s="10" t="s">
        <v>1560</v>
      </c>
      <c r="AT100" s="10" t="s">
        <v>80</v>
      </c>
      <c r="AU100" s="10" t="s">
        <v>1561</v>
      </c>
      <c r="AV100" s="10" t="s">
        <v>75</v>
      </c>
      <c r="AW100" s="10" t="s">
        <v>80</v>
      </c>
      <c r="AX100" s="10" t="s">
        <v>75</v>
      </c>
      <c r="AY100" s="10" t="s">
        <v>75</v>
      </c>
      <c r="AZ100" s="10" t="s">
        <v>1562</v>
      </c>
      <c r="BA100" s="10" t="s">
        <v>75</v>
      </c>
      <c r="BB100" s="10"/>
      <c r="BC100" s="10" t="s">
        <v>80</v>
      </c>
      <c r="BD100" s="10" t="s">
        <v>75</v>
      </c>
      <c r="BE100" s="10" t="s">
        <v>75</v>
      </c>
      <c r="BF100" s="10"/>
      <c r="BG100" s="10" t="s">
        <v>1563</v>
      </c>
      <c r="BH100" s="10"/>
      <c r="BI100" s="158"/>
      <c r="BJ100" s="158"/>
      <c r="BK100" s="158"/>
      <c r="BL100" s="158"/>
      <c r="BM100" s="158"/>
      <c r="BN100" s="158"/>
      <c r="BO100" s="158"/>
      <c r="BP100" s="158"/>
      <c r="BQ100" s="158"/>
      <c r="BR100" s="158"/>
      <c r="BS100" s="158"/>
      <c r="BT100" s="158"/>
      <c r="BU100" s="158"/>
      <c r="BV100" s="158"/>
      <c r="BW100" s="158"/>
      <c r="BX100" s="158"/>
    </row>
    <row r="101" ht="27.75" customHeight="1">
      <c r="A101" s="10" t="str">
        <f t="shared" si="1"/>
        <v>MAAL22</v>
      </c>
      <c r="B101" s="10"/>
      <c r="C101" s="10"/>
      <c r="D101" s="10" t="s">
        <v>1552</v>
      </c>
      <c r="E101" s="10" t="s">
        <v>448</v>
      </c>
      <c r="F101" s="10" t="s">
        <v>450</v>
      </c>
      <c r="G101" s="10" t="s">
        <v>793</v>
      </c>
      <c r="H101" s="10">
        <v>2022.0</v>
      </c>
      <c r="I101" s="10" t="s">
        <v>447</v>
      </c>
      <c r="J101" s="10" t="s">
        <v>384</v>
      </c>
      <c r="K101" s="50">
        <v>44720.0</v>
      </c>
      <c r="L101" s="10"/>
      <c r="M101" s="10" t="s">
        <v>446</v>
      </c>
      <c r="N101" s="10"/>
      <c r="O101" s="10"/>
      <c r="P101" s="10" t="s">
        <v>368</v>
      </c>
      <c r="Q101" s="10"/>
      <c r="R101" s="10"/>
      <c r="S101" s="10"/>
      <c r="T101" s="10" t="s">
        <v>165</v>
      </c>
      <c r="U101" s="10" t="s">
        <v>1131</v>
      </c>
      <c r="V101" s="10"/>
      <c r="W101" s="10">
        <v>54.0</v>
      </c>
      <c r="X101" s="10">
        <v>56.0</v>
      </c>
      <c r="Y101" s="10"/>
      <c r="Z101" s="10"/>
      <c r="AA101" s="10"/>
      <c r="AB101" s="10"/>
      <c r="AC101" s="10"/>
      <c r="AD101" s="10">
        <v>110.0</v>
      </c>
      <c r="AE101" s="10">
        <v>247520.0</v>
      </c>
      <c r="AF101" s="10" t="s">
        <v>1395</v>
      </c>
      <c r="AG101" s="10" t="s">
        <v>806</v>
      </c>
      <c r="AH101" s="10" t="s">
        <v>80</v>
      </c>
      <c r="AI101" s="10" t="s">
        <v>80</v>
      </c>
      <c r="AJ101" s="10" t="s">
        <v>75</v>
      </c>
      <c r="AK101" s="10" t="s">
        <v>80</v>
      </c>
      <c r="AL101" s="10" t="s">
        <v>80</v>
      </c>
      <c r="AM101" s="10" t="s">
        <v>80</v>
      </c>
      <c r="AN101" s="10" t="s">
        <v>75</v>
      </c>
      <c r="AO101" s="10" t="s">
        <v>1564</v>
      </c>
      <c r="AP101" s="10" t="s">
        <v>80</v>
      </c>
      <c r="AQ101" s="10" t="s">
        <v>80</v>
      </c>
      <c r="AR101" s="10" t="s">
        <v>1325</v>
      </c>
      <c r="AS101" s="10" t="s">
        <v>1326</v>
      </c>
      <c r="AT101" s="10" t="s">
        <v>80</v>
      </c>
      <c r="AU101" s="162">
        <v>42150.0</v>
      </c>
      <c r="AV101" s="10" t="s">
        <v>80</v>
      </c>
      <c r="AW101" s="10" t="s">
        <v>75</v>
      </c>
      <c r="AX101" s="10" t="s">
        <v>75</v>
      </c>
      <c r="AY101" s="10" t="s">
        <v>75</v>
      </c>
      <c r="AZ101" s="10" t="s">
        <v>1565</v>
      </c>
      <c r="BA101" s="10" t="s">
        <v>75</v>
      </c>
      <c r="BB101" s="10" t="s">
        <v>75</v>
      </c>
      <c r="BC101" s="10" t="s">
        <v>80</v>
      </c>
      <c r="BD101" s="10" t="s">
        <v>75</v>
      </c>
      <c r="BE101" s="10" t="s">
        <v>75</v>
      </c>
      <c r="BF101" s="10"/>
      <c r="BG101" s="58" t="s">
        <v>1566</v>
      </c>
      <c r="BH101" s="10"/>
      <c r="BI101" s="158"/>
      <c r="BJ101" s="158"/>
      <c r="BK101" s="158"/>
      <c r="BL101" s="158"/>
      <c r="BM101" s="158"/>
      <c r="BN101" s="158"/>
      <c r="BO101" s="158"/>
      <c r="BP101" s="158"/>
      <c r="BQ101" s="158"/>
      <c r="BR101" s="158"/>
      <c r="BS101" s="158"/>
      <c r="BT101" s="158"/>
      <c r="BU101" s="158"/>
      <c r="BV101" s="158"/>
      <c r="BW101" s="158"/>
      <c r="BX101" s="158"/>
    </row>
    <row r="102" ht="27.75" customHeight="1">
      <c r="A102" s="10" t="str">
        <f t="shared" si="1"/>
        <v>LUJA20</v>
      </c>
      <c r="B102" s="10"/>
      <c r="C102" s="10"/>
      <c r="D102" s="10" t="s">
        <v>1552</v>
      </c>
      <c r="E102" s="10" t="s">
        <v>610</v>
      </c>
      <c r="F102" s="10" t="s">
        <v>1567</v>
      </c>
      <c r="G102" s="10" t="s">
        <v>1568</v>
      </c>
      <c r="H102" s="10">
        <v>2020.0</v>
      </c>
      <c r="I102" s="10" t="s">
        <v>609</v>
      </c>
      <c r="J102" s="10" t="s">
        <v>216</v>
      </c>
      <c r="K102" s="50">
        <v>43848.0</v>
      </c>
      <c r="L102" s="10"/>
      <c r="M102" s="10" t="s">
        <v>1569</v>
      </c>
      <c r="N102" s="10"/>
      <c r="O102" s="10"/>
      <c r="P102" s="10" t="s">
        <v>368</v>
      </c>
      <c r="Q102" s="10"/>
      <c r="R102" s="10"/>
      <c r="S102" s="10"/>
      <c r="T102" s="10" t="s">
        <v>165</v>
      </c>
      <c r="U102" s="10" t="s">
        <v>1131</v>
      </c>
      <c r="V102" s="10"/>
      <c r="W102" s="10">
        <v>23.0</v>
      </c>
      <c r="X102" s="10">
        <v>106.0</v>
      </c>
      <c r="Y102" s="10"/>
      <c r="Z102" s="10"/>
      <c r="AA102" s="10"/>
      <c r="AB102" s="10" t="s">
        <v>1373</v>
      </c>
      <c r="AC102" s="10"/>
      <c r="AD102" s="10" t="s">
        <v>1570</v>
      </c>
      <c r="AE102" s="10"/>
      <c r="AF102" s="10" t="s">
        <v>1571</v>
      </c>
      <c r="AG102" s="10" t="s">
        <v>1572</v>
      </c>
      <c r="AH102" s="10" t="s">
        <v>75</v>
      </c>
      <c r="AI102" s="10" t="s">
        <v>80</v>
      </c>
      <c r="AJ102" s="10" t="s">
        <v>75</v>
      </c>
      <c r="AK102" s="10" t="s">
        <v>80</v>
      </c>
      <c r="AL102" s="10" t="s">
        <v>75</v>
      </c>
      <c r="AM102" s="10" t="s">
        <v>80</v>
      </c>
      <c r="AN102" s="10" t="s">
        <v>80</v>
      </c>
      <c r="AO102" s="10"/>
      <c r="AP102" s="10" t="s">
        <v>80</v>
      </c>
      <c r="AQ102" s="10" t="s">
        <v>80</v>
      </c>
      <c r="AR102" s="10" t="s">
        <v>1325</v>
      </c>
      <c r="AS102" s="162"/>
      <c r="AT102" s="162"/>
      <c r="AU102" s="162">
        <v>2433.0</v>
      </c>
      <c r="AV102" s="10" t="s">
        <v>75</v>
      </c>
      <c r="AW102" s="10" t="s">
        <v>75</v>
      </c>
      <c r="AX102" s="10" t="s">
        <v>75</v>
      </c>
      <c r="AY102" s="10" t="s">
        <v>80</v>
      </c>
      <c r="AZ102" s="10"/>
      <c r="BA102" s="10" t="s">
        <v>75</v>
      </c>
      <c r="BB102" s="10" t="s">
        <v>75</v>
      </c>
      <c r="BC102" s="10" t="s">
        <v>80</v>
      </c>
      <c r="BD102" s="10" t="s">
        <v>75</v>
      </c>
      <c r="BE102" s="10" t="s">
        <v>75</v>
      </c>
      <c r="BF102" s="10"/>
      <c r="BG102" s="10" t="s">
        <v>1573</v>
      </c>
      <c r="BH102" s="10"/>
      <c r="BI102" s="158"/>
      <c r="BJ102" s="158"/>
      <c r="BK102" s="158"/>
      <c r="BL102" s="158"/>
      <c r="BM102" s="158"/>
      <c r="BN102" s="158"/>
      <c r="BO102" s="158"/>
      <c r="BP102" s="158"/>
      <c r="BQ102" s="158"/>
      <c r="BR102" s="158"/>
      <c r="BS102" s="158"/>
      <c r="BT102" s="158"/>
      <c r="BU102" s="158"/>
      <c r="BV102" s="158"/>
      <c r="BW102" s="158"/>
      <c r="BX102" s="158"/>
    </row>
    <row r="103" ht="27.75" customHeight="1">
      <c r="A103" s="10" t="str">
        <f t="shared" si="1"/>
        <v>COAL24</v>
      </c>
      <c r="B103" s="10"/>
      <c r="C103" s="10"/>
      <c r="D103" s="10" t="s">
        <v>805</v>
      </c>
      <c r="E103" s="10" t="s">
        <v>696</v>
      </c>
      <c r="F103" s="10" t="s">
        <v>1574</v>
      </c>
      <c r="G103" s="10" t="s">
        <v>793</v>
      </c>
      <c r="H103" s="10">
        <v>2024.0</v>
      </c>
      <c r="I103" s="10" t="s">
        <v>1575</v>
      </c>
      <c r="J103" s="10" t="s">
        <v>702</v>
      </c>
      <c r="K103" s="50">
        <v>45316.0</v>
      </c>
      <c r="L103" s="10"/>
      <c r="M103" s="10" t="s">
        <v>1576</v>
      </c>
      <c r="N103" s="10"/>
      <c r="O103" s="10"/>
      <c r="P103" s="10" t="s">
        <v>368</v>
      </c>
      <c r="Q103" s="10"/>
      <c r="R103" s="10"/>
      <c r="S103" s="10"/>
      <c r="T103" s="10" t="s">
        <v>165</v>
      </c>
      <c r="U103" s="10" t="s">
        <v>1332</v>
      </c>
      <c r="V103" s="10">
        <v>97.0</v>
      </c>
      <c r="W103" s="10"/>
      <c r="X103" s="10"/>
      <c r="Y103" s="10"/>
      <c r="Z103" s="10"/>
      <c r="AA103" s="10"/>
      <c r="AB103" s="10" t="s">
        <v>630</v>
      </c>
      <c r="AC103" s="10"/>
      <c r="AD103" s="10"/>
      <c r="AE103" s="10">
        <v>25879.0</v>
      </c>
      <c r="AF103" s="10" t="s">
        <v>1410</v>
      </c>
      <c r="AG103" s="10"/>
      <c r="AH103" s="10" t="s">
        <v>80</v>
      </c>
      <c r="AI103" s="10" t="s">
        <v>75</v>
      </c>
      <c r="AJ103" s="10" t="s">
        <v>75</v>
      </c>
      <c r="AK103" s="10" t="s">
        <v>80</v>
      </c>
      <c r="AL103" s="10" t="s">
        <v>75</v>
      </c>
      <c r="AM103" s="10" t="s">
        <v>75</v>
      </c>
      <c r="AN103" s="10" t="s">
        <v>75</v>
      </c>
      <c r="AO103" s="10"/>
      <c r="AP103" s="10" t="s">
        <v>75</v>
      </c>
      <c r="AQ103" s="10" t="s">
        <v>75</v>
      </c>
      <c r="AR103" s="10"/>
      <c r="AS103" s="10"/>
      <c r="AT103" s="10"/>
      <c r="AU103" s="10"/>
      <c r="AV103" s="10" t="s">
        <v>75</v>
      </c>
      <c r="AW103" s="10" t="s">
        <v>75</v>
      </c>
      <c r="AX103" s="10" t="s">
        <v>75</v>
      </c>
      <c r="AY103" s="10" t="s">
        <v>80</v>
      </c>
      <c r="AZ103" s="10"/>
      <c r="BA103" s="10" t="s">
        <v>80</v>
      </c>
      <c r="BB103" s="10" t="s">
        <v>75</v>
      </c>
      <c r="BC103" s="10" t="s">
        <v>80</v>
      </c>
      <c r="BD103" s="10" t="s">
        <v>75</v>
      </c>
      <c r="BE103" s="10" t="s">
        <v>75</v>
      </c>
      <c r="BF103" s="10"/>
      <c r="BG103" s="10"/>
      <c r="BH103" s="10"/>
      <c r="BI103" s="158"/>
      <c r="BJ103" s="158"/>
      <c r="BK103" s="158"/>
      <c r="BL103" s="158"/>
      <c r="BM103" s="158"/>
      <c r="BN103" s="158"/>
      <c r="BO103" s="158"/>
      <c r="BP103" s="158"/>
      <c r="BQ103" s="158"/>
      <c r="BR103" s="158"/>
      <c r="BS103" s="158"/>
      <c r="BT103" s="158"/>
      <c r="BU103" s="158"/>
      <c r="BV103" s="158"/>
      <c r="BW103" s="158"/>
      <c r="BX103" s="158"/>
    </row>
    <row r="104" ht="27.75" customHeight="1">
      <c r="A104" s="10" t="str">
        <f t="shared" si="1"/>
        <v>CABO20</v>
      </c>
      <c r="B104" s="10"/>
      <c r="C104" s="10"/>
      <c r="D104" s="10" t="s">
        <v>1552</v>
      </c>
      <c r="E104" s="10" t="s">
        <v>482</v>
      </c>
      <c r="F104" s="10" t="s">
        <v>483</v>
      </c>
      <c r="G104" s="10" t="s">
        <v>484</v>
      </c>
      <c r="H104" s="10">
        <v>2020.0</v>
      </c>
      <c r="I104" s="10" t="s">
        <v>481</v>
      </c>
      <c r="J104" s="10" t="s">
        <v>79</v>
      </c>
      <c r="K104" s="50">
        <v>44091.0</v>
      </c>
      <c r="L104" s="10"/>
      <c r="M104" s="10" t="s">
        <v>674</v>
      </c>
      <c r="N104" s="10"/>
      <c r="O104" s="10"/>
      <c r="P104" s="10" t="s">
        <v>368</v>
      </c>
      <c r="Q104" s="10"/>
      <c r="R104" s="10"/>
      <c r="S104" s="10"/>
      <c r="T104" s="10" t="s">
        <v>165</v>
      </c>
      <c r="U104" s="10"/>
      <c r="V104" s="10"/>
      <c r="W104" s="10"/>
      <c r="X104" s="10">
        <v>4.0</v>
      </c>
      <c r="Y104" s="10"/>
      <c r="Z104" s="10"/>
      <c r="AA104" s="10"/>
      <c r="AB104" s="10"/>
      <c r="AC104" s="10"/>
      <c r="AD104" s="10">
        <v>4.0</v>
      </c>
      <c r="AE104" s="10">
        <v>285441.0</v>
      </c>
      <c r="AF104" s="10" t="s">
        <v>1395</v>
      </c>
      <c r="AG104" s="10"/>
      <c r="AH104" s="10" t="s">
        <v>80</v>
      </c>
      <c r="AI104" s="10" t="s">
        <v>80</v>
      </c>
      <c r="AJ104" s="10" t="s">
        <v>80</v>
      </c>
      <c r="AK104" s="10" t="s">
        <v>80</v>
      </c>
      <c r="AL104" s="10" t="s">
        <v>80</v>
      </c>
      <c r="AM104" s="10" t="s">
        <v>80</v>
      </c>
      <c r="AN104" s="10" t="s">
        <v>80</v>
      </c>
      <c r="AO104" s="10"/>
      <c r="AP104" s="10" t="s">
        <v>75</v>
      </c>
      <c r="AQ104" s="10" t="s">
        <v>80</v>
      </c>
      <c r="AR104" s="10" t="s">
        <v>1440</v>
      </c>
      <c r="AS104" s="10" t="s">
        <v>1326</v>
      </c>
      <c r="AT104" s="10" t="s">
        <v>80</v>
      </c>
      <c r="AU104" s="162">
        <v>6121.0</v>
      </c>
      <c r="AV104" s="10" t="s">
        <v>80</v>
      </c>
      <c r="AW104" s="10" t="s">
        <v>80</v>
      </c>
      <c r="AX104" s="10" t="s">
        <v>75</v>
      </c>
      <c r="AY104" s="10" t="s">
        <v>80</v>
      </c>
      <c r="AZ104" s="10"/>
      <c r="BA104" s="10" t="s">
        <v>75</v>
      </c>
      <c r="BB104" s="10" t="s">
        <v>75</v>
      </c>
      <c r="BC104" s="10" t="s">
        <v>75</v>
      </c>
      <c r="BD104" s="10" t="s">
        <v>75</v>
      </c>
      <c r="BE104" s="10" t="s">
        <v>75</v>
      </c>
      <c r="BF104" s="10"/>
      <c r="BG104" s="10" t="s">
        <v>1577</v>
      </c>
      <c r="BH104" s="10"/>
      <c r="BI104" s="158"/>
      <c r="BJ104" s="158"/>
      <c r="BK104" s="158"/>
      <c r="BL104" s="158"/>
      <c r="BM104" s="158"/>
      <c r="BN104" s="158"/>
      <c r="BO104" s="158"/>
      <c r="BP104" s="158"/>
      <c r="BQ104" s="158"/>
      <c r="BR104" s="158"/>
      <c r="BS104" s="158"/>
      <c r="BT104" s="158"/>
      <c r="BU104" s="158"/>
      <c r="BV104" s="158"/>
      <c r="BW104" s="158"/>
      <c r="BX104" s="158"/>
    </row>
    <row r="105" ht="27.75" customHeight="1">
      <c r="A105" s="10" t="str">
        <f t="shared" si="1"/>
        <v>A.T.19</v>
      </c>
      <c r="B105" s="10"/>
      <c r="C105" s="10"/>
      <c r="D105" s="10" t="s">
        <v>805</v>
      </c>
      <c r="E105" s="10" t="s">
        <v>1578</v>
      </c>
      <c r="F105" s="10" t="s">
        <v>1579</v>
      </c>
      <c r="G105" s="10" t="s">
        <v>1580</v>
      </c>
      <c r="H105" s="10">
        <v>2019.0</v>
      </c>
      <c r="I105" s="10" t="s">
        <v>1581</v>
      </c>
      <c r="J105" s="10" t="s">
        <v>118</v>
      </c>
      <c r="K105" s="50">
        <v>43587.0</v>
      </c>
      <c r="L105" s="10"/>
      <c r="M105" s="10" t="s">
        <v>617</v>
      </c>
      <c r="N105" s="10"/>
      <c r="O105" s="10"/>
      <c r="P105" s="10" t="s">
        <v>368</v>
      </c>
      <c r="Q105" s="10"/>
      <c r="R105" s="10"/>
      <c r="S105" s="10"/>
      <c r="T105" s="10" t="s">
        <v>165</v>
      </c>
      <c r="U105" s="10"/>
      <c r="V105" s="10"/>
      <c r="W105" s="10"/>
      <c r="X105" s="10"/>
      <c r="Y105" s="10"/>
      <c r="Z105" s="10"/>
      <c r="AA105" s="10"/>
      <c r="AB105" s="10" t="s">
        <v>1373</v>
      </c>
      <c r="AC105" s="10"/>
      <c r="AD105" s="10">
        <v>3.0</v>
      </c>
      <c r="AE105" s="10">
        <v>8217.0</v>
      </c>
      <c r="AF105" s="10" t="s">
        <v>96</v>
      </c>
      <c r="AG105" s="10"/>
      <c r="AH105" s="10" t="s">
        <v>80</v>
      </c>
      <c r="AI105" s="10" t="s">
        <v>75</v>
      </c>
      <c r="AJ105" s="10" t="s">
        <v>80</v>
      </c>
      <c r="AK105" s="10" t="s">
        <v>80</v>
      </c>
      <c r="AL105" s="10" t="s">
        <v>80</v>
      </c>
      <c r="AM105" s="10" t="s">
        <v>80</v>
      </c>
      <c r="AN105" s="10" t="s">
        <v>80</v>
      </c>
      <c r="AO105" s="10"/>
      <c r="AP105" s="10" t="s">
        <v>75</v>
      </c>
      <c r="AQ105" s="10" t="s">
        <v>75</v>
      </c>
      <c r="AR105" s="10"/>
      <c r="AS105" s="10"/>
      <c r="AT105" s="10"/>
      <c r="AU105" s="10"/>
      <c r="AV105" s="10" t="s">
        <v>75</v>
      </c>
      <c r="AW105" s="10" t="s">
        <v>80</v>
      </c>
      <c r="AX105" s="10" t="s">
        <v>75</v>
      </c>
      <c r="AY105" s="10" t="s">
        <v>80</v>
      </c>
      <c r="AZ105" s="10" t="s">
        <v>1582</v>
      </c>
      <c r="BA105" s="10" t="s">
        <v>80</v>
      </c>
      <c r="BB105" s="10" t="s">
        <v>75</v>
      </c>
      <c r="BC105" s="10" t="s">
        <v>75</v>
      </c>
      <c r="BD105" s="10" t="s">
        <v>75</v>
      </c>
      <c r="BE105" s="10" t="s">
        <v>75</v>
      </c>
      <c r="BF105" s="10"/>
      <c r="BG105" s="10" t="s">
        <v>1583</v>
      </c>
      <c r="BH105" s="10"/>
      <c r="BI105" s="158"/>
      <c r="BJ105" s="158"/>
      <c r="BK105" s="158"/>
      <c r="BL105" s="158"/>
      <c r="BM105" s="158"/>
      <c r="BN105" s="158"/>
      <c r="BO105" s="158"/>
      <c r="BP105" s="158"/>
      <c r="BQ105" s="158"/>
      <c r="BR105" s="158"/>
      <c r="BS105" s="158"/>
      <c r="BT105" s="158"/>
      <c r="BU105" s="158"/>
      <c r="BV105" s="158"/>
      <c r="BW105" s="158"/>
      <c r="BX105" s="158"/>
    </row>
    <row r="106" ht="27.75" customHeight="1">
      <c r="A106" s="10" t="str">
        <f t="shared" si="1"/>
        <v>ABJS23</v>
      </c>
      <c r="B106" s="10"/>
      <c r="C106" s="10"/>
      <c r="D106" s="10" t="s">
        <v>1552</v>
      </c>
      <c r="E106" s="10" t="s">
        <v>323</v>
      </c>
      <c r="F106" s="10" t="s">
        <v>1584</v>
      </c>
      <c r="G106" s="10" t="s">
        <v>1585</v>
      </c>
      <c r="H106" s="10">
        <v>2023.0</v>
      </c>
      <c r="I106" s="10" t="s">
        <v>738</v>
      </c>
      <c r="J106" s="10" t="s">
        <v>342</v>
      </c>
      <c r="K106" s="50">
        <v>45106.0</v>
      </c>
      <c r="L106" s="10"/>
      <c r="M106" s="10" t="s">
        <v>346</v>
      </c>
      <c r="N106" s="10"/>
      <c r="O106" s="10"/>
      <c r="P106" s="10" t="s">
        <v>368</v>
      </c>
      <c r="Q106" s="10"/>
      <c r="R106" s="10"/>
      <c r="S106" s="10"/>
      <c r="T106" s="10" t="s">
        <v>165</v>
      </c>
      <c r="U106" s="10"/>
      <c r="V106" s="10"/>
      <c r="W106" s="10"/>
      <c r="X106" s="10"/>
      <c r="Y106" s="10"/>
      <c r="Z106" s="10"/>
      <c r="AA106" s="10"/>
      <c r="AB106" s="10" t="s">
        <v>1373</v>
      </c>
      <c r="AC106" s="10"/>
      <c r="AD106" s="10"/>
      <c r="AE106" s="10">
        <v>151000.0</v>
      </c>
      <c r="AF106" s="10" t="s">
        <v>1586</v>
      </c>
      <c r="AG106" s="10"/>
      <c r="AH106" s="10" t="s">
        <v>80</v>
      </c>
      <c r="AI106" s="10" t="s">
        <v>80</v>
      </c>
      <c r="AJ106" s="10" t="s">
        <v>75</v>
      </c>
      <c r="AK106" s="10" t="s">
        <v>80</v>
      </c>
      <c r="AL106" s="10" t="s">
        <v>75</v>
      </c>
      <c r="AM106" s="10" t="s">
        <v>80</v>
      </c>
      <c r="AN106" s="10" t="s">
        <v>80</v>
      </c>
      <c r="AO106" s="10"/>
      <c r="AP106" s="10" t="s">
        <v>80</v>
      </c>
      <c r="AQ106" s="10" t="s">
        <v>80</v>
      </c>
      <c r="AR106" s="10" t="s">
        <v>1440</v>
      </c>
      <c r="AS106" s="10"/>
      <c r="AT106" s="10"/>
      <c r="AU106" s="10"/>
      <c r="AV106" s="10" t="s">
        <v>80</v>
      </c>
      <c r="AW106" s="10" t="s">
        <v>80</v>
      </c>
      <c r="AX106" s="10" t="s">
        <v>75</v>
      </c>
      <c r="AY106" s="10" t="s">
        <v>80</v>
      </c>
      <c r="AZ106" s="10"/>
      <c r="BA106" s="10" t="s">
        <v>75</v>
      </c>
      <c r="BB106" s="10" t="s">
        <v>75</v>
      </c>
      <c r="BC106" s="10" t="s">
        <v>80</v>
      </c>
      <c r="BD106" s="10" t="s">
        <v>75</v>
      </c>
      <c r="BE106" s="10" t="s">
        <v>75</v>
      </c>
      <c r="BF106" s="10"/>
      <c r="BG106" s="10" t="s">
        <v>1587</v>
      </c>
      <c r="BH106" s="10"/>
      <c r="BI106" s="158"/>
      <c r="BJ106" s="158"/>
      <c r="BK106" s="158"/>
      <c r="BL106" s="158"/>
      <c r="BM106" s="158"/>
      <c r="BN106" s="158"/>
      <c r="BO106" s="158"/>
      <c r="BP106" s="158"/>
      <c r="BQ106" s="158"/>
      <c r="BR106" s="158"/>
      <c r="BS106" s="158"/>
      <c r="BT106" s="158"/>
      <c r="BU106" s="158"/>
      <c r="BV106" s="158"/>
      <c r="BW106" s="158"/>
      <c r="BX106" s="158"/>
    </row>
    <row r="107" ht="27.75" customHeight="1">
      <c r="A107" s="10" t="str">
        <f t="shared" si="1"/>
        <v>SUCO25</v>
      </c>
      <c r="B107" s="10"/>
      <c r="C107" s="10"/>
      <c r="D107" s="10" t="s">
        <v>805</v>
      </c>
      <c r="E107" s="10" t="s">
        <v>1588</v>
      </c>
      <c r="F107" s="10" t="s">
        <v>1266</v>
      </c>
      <c r="G107" s="10" t="s">
        <v>1589</v>
      </c>
      <c r="H107" s="10">
        <v>2025.0</v>
      </c>
      <c r="I107" s="10" t="s">
        <v>1590</v>
      </c>
      <c r="J107" s="10" t="s">
        <v>1591</v>
      </c>
      <c r="K107" s="50">
        <v>45694.0</v>
      </c>
      <c r="L107" s="10"/>
      <c r="M107" s="10" t="s">
        <v>1592</v>
      </c>
      <c r="N107" s="10"/>
      <c r="O107" s="10"/>
      <c r="P107" s="10" t="s">
        <v>368</v>
      </c>
      <c r="Q107" s="10"/>
      <c r="R107" s="10"/>
      <c r="S107" s="10"/>
      <c r="T107" s="10" t="s">
        <v>1593</v>
      </c>
      <c r="U107" s="10" t="s">
        <v>1312</v>
      </c>
      <c r="V107" s="10"/>
      <c r="W107" s="10"/>
      <c r="X107" s="10"/>
      <c r="Y107" s="10"/>
      <c r="Z107" s="10"/>
      <c r="AA107" s="10"/>
      <c r="AB107" s="10"/>
      <c r="AC107" s="10"/>
      <c r="AD107" s="10">
        <v>4.0</v>
      </c>
      <c r="AE107" s="10"/>
      <c r="AF107" s="10" t="s">
        <v>96</v>
      </c>
      <c r="AG107" s="10"/>
      <c r="AH107" s="10" t="s">
        <v>80</v>
      </c>
      <c r="AI107" s="10" t="s">
        <v>80</v>
      </c>
      <c r="AJ107" s="10" t="s">
        <v>75</v>
      </c>
      <c r="AK107" s="10" t="s">
        <v>80</v>
      </c>
      <c r="AL107" s="10" t="s">
        <v>75</v>
      </c>
      <c r="AM107" s="10" t="s">
        <v>80</v>
      </c>
      <c r="AN107" s="10" t="s">
        <v>80</v>
      </c>
      <c r="AO107" s="10"/>
      <c r="AP107" s="10" t="s">
        <v>75</v>
      </c>
      <c r="AQ107" s="10" t="s">
        <v>75</v>
      </c>
      <c r="AR107" s="10"/>
      <c r="AS107" s="10"/>
      <c r="AT107" s="10"/>
      <c r="AU107" s="10"/>
      <c r="AV107" s="10" t="s">
        <v>80</v>
      </c>
      <c r="AW107" s="10" t="s">
        <v>75</v>
      </c>
      <c r="AX107" s="10" t="s">
        <v>75</v>
      </c>
      <c r="AY107" s="10" t="s">
        <v>80</v>
      </c>
      <c r="AZ107" s="10" t="s">
        <v>1594</v>
      </c>
      <c r="BA107" s="10" t="s">
        <v>75</v>
      </c>
      <c r="BB107" s="10" t="s">
        <v>80</v>
      </c>
      <c r="BC107" s="10" t="s">
        <v>75</v>
      </c>
      <c r="BD107" s="10" t="s">
        <v>75</v>
      </c>
      <c r="BE107" s="10" t="s">
        <v>75</v>
      </c>
      <c r="BF107" s="10"/>
      <c r="BG107" s="10" t="s">
        <v>1595</v>
      </c>
      <c r="BH107" s="10"/>
      <c r="BI107" s="158"/>
      <c r="BJ107" s="158"/>
      <c r="BK107" s="158"/>
      <c r="BL107" s="158"/>
      <c r="BM107" s="158"/>
      <c r="BN107" s="158"/>
      <c r="BO107" s="158"/>
      <c r="BP107" s="158"/>
      <c r="BQ107" s="158"/>
      <c r="BR107" s="158"/>
      <c r="BS107" s="158"/>
      <c r="BT107" s="158"/>
      <c r="BU107" s="158"/>
      <c r="BV107" s="158"/>
      <c r="BW107" s="158"/>
      <c r="BX107" s="158"/>
    </row>
    <row r="108" ht="27.75" customHeight="1">
      <c r="A108" s="10" t="str">
        <f t="shared" si="1"/>
        <v>SHDA23</v>
      </c>
      <c r="B108" s="10"/>
      <c r="C108" s="10"/>
      <c r="D108" s="10" t="s">
        <v>805</v>
      </c>
      <c r="E108" s="10" t="s">
        <v>1596</v>
      </c>
      <c r="F108" s="10" t="s">
        <v>851</v>
      </c>
      <c r="G108" s="10" t="s">
        <v>852</v>
      </c>
      <c r="H108" s="10">
        <v>2023.0</v>
      </c>
      <c r="I108" s="10" t="s">
        <v>1242</v>
      </c>
      <c r="J108" s="10" t="s">
        <v>1597</v>
      </c>
      <c r="K108" s="50">
        <v>45238.0</v>
      </c>
      <c r="L108" s="10"/>
      <c r="M108" s="10" t="s">
        <v>855</v>
      </c>
      <c r="N108" s="10"/>
      <c r="O108" s="10"/>
      <c r="P108" s="10" t="s">
        <v>368</v>
      </c>
      <c r="Q108" s="10"/>
      <c r="R108" s="10"/>
      <c r="S108" s="10"/>
      <c r="T108" s="10" t="s">
        <v>1463</v>
      </c>
      <c r="U108" s="10"/>
      <c r="V108" s="10"/>
      <c r="W108" s="10">
        <v>12.0</v>
      </c>
      <c r="X108" s="10">
        <v>12.0</v>
      </c>
      <c r="Y108" s="10"/>
      <c r="Z108" s="10"/>
      <c r="AA108" s="10"/>
      <c r="AB108" s="10"/>
      <c r="AC108" s="10"/>
      <c r="AD108" s="10"/>
      <c r="AE108" s="10">
        <v>21464.0</v>
      </c>
      <c r="AF108" s="10" t="s">
        <v>96</v>
      </c>
      <c r="AG108" s="10" t="s">
        <v>1598</v>
      </c>
      <c r="AH108" s="10" t="s">
        <v>80</v>
      </c>
      <c r="AI108" s="10" t="s">
        <v>75</v>
      </c>
      <c r="AJ108" s="10" t="s">
        <v>75</v>
      </c>
      <c r="AK108" s="10" t="s">
        <v>80</v>
      </c>
      <c r="AL108" s="10" t="s">
        <v>75</v>
      </c>
      <c r="AM108" s="10" t="s">
        <v>80</v>
      </c>
      <c r="AN108" s="10" t="s">
        <v>75</v>
      </c>
      <c r="AO108" s="10" t="s">
        <v>1599</v>
      </c>
      <c r="AP108" s="10" t="s">
        <v>80</v>
      </c>
      <c r="AQ108" s="10" t="s">
        <v>75</v>
      </c>
      <c r="AR108" s="10"/>
      <c r="AS108" s="10"/>
      <c r="AT108" s="10"/>
      <c r="AU108" s="10"/>
      <c r="AV108" s="10" t="s">
        <v>80</v>
      </c>
      <c r="AW108" s="10" t="s">
        <v>75</v>
      </c>
      <c r="AX108" s="10" t="s">
        <v>75</v>
      </c>
      <c r="AY108" s="10"/>
      <c r="AZ108" s="10"/>
      <c r="BA108" s="10" t="s">
        <v>80</v>
      </c>
      <c r="BB108" s="10" t="s">
        <v>75</v>
      </c>
      <c r="BC108" s="10" t="s">
        <v>75</v>
      </c>
      <c r="BD108" s="10" t="s">
        <v>75</v>
      </c>
      <c r="BE108" s="10" t="s">
        <v>75</v>
      </c>
      <c r="BF108" s="10"/>
      <c r="BG108" s="10"/>
      <c r="BH108" s="10"/>
      <c r="BI108" s="158"/>
      <c r="BJ108" s="158"/>
      <c r="BK108" s="158"/>
      <c r="BL108" s="158"/>
      <c r="BM108" s="158"/>
      <c r="BN108" s="158"/>
      <c r="BO108" s="158"/>
      <c r="BP108" s="158"/>
      <c r="BQ108" s="158"/>
      <c r="BR108" s="158"/>
      <c r="BS108" s="158"/>
      <c r="BT108" s="158"/>
      <c r="BU108" s="158"/>
      <c r="BV108" s="158"/>
      <c r="BW108" s="158"/>
      <c r="BX108" s="158"/>
    </row>
    <row r="109" ht="27.75" customHeight="1">
      <c r="A109" s="10" t="str">
        <f t="shared" si="1"/>
        <v>YIMI24</v>
      </c>
      <c r="B109" s="10"/>
      <c r="C109" s="10"/>
      <c r="D109" s="10" t="s">
        <v>790</v>
      </c>
      <c r="E109" s="10" t="s">
        <v>1600</v>
      </c>
      <c r="F109" s="10" t="s">
        <v>592</v>
      </c>
      <c r="G109" s="10" t="s">
        <v>1601</v>
      </c>
      <c r="H109" s="10">
        <v>2024.0</v>
      </c>
      <c r="I109" s="10" t="s">
        <v>590</v>
      </c>
      <c r="J109" s="10" t="s">
        <v>118</v>
      </c>
      <c r="K109" s="50">
        <v>45506.0</v>
      </c>
      <c r="L109" s="10"/>
      <c r="M109" s="10" t="s">
        <v>588</v>
      </c>
      <c r="N109" s="10"/>
      <c r="O109" s="10"/>
      <c r="P109" s="10" t="s">
        <v>368</v>
      </c>
      <c r="Q109" s="10"/>
      <c r="R109" s="10"/>
      <c r="S109" s="10"/>
      <c r="T109" s="10" t="s">
        <v>73</v>
      </c>
      <c r="U109" s="10" t="s">
        <v>1332</v>
      </c>
      <c r="V109" s="10"/>
      <c r="W109" s="10"/>
      <c r="X109" s="10"/>
      <c r="Y109" s="10"/>
      <c r="Z109" s="10"/>
      <c r="AA109" s="10"/>
      <c r="AB109" s="10"/>
      <c r="AC109" s="10"/>
      <c r="AD109" s="10">
        <v>8.0</v>
      </c>
      <c r="AE109" s="10">
        <v>4617.0</v>
      </c>
      <c r="AF109" s="10" t="s">
        <v>96</v>
      </c>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t="s">
        <v>75</v>
      </c>
      <c r="BC109" s="10" t="s">
        <v>75</v>
      </c>
      <c r="BD109" s="10" t="s">
        <v>75</v>
      </c>
      <c r="BE109" s="10" t="s">
        <v>75</v>
      </c>
      <c r="BF109" s="10"/>
      <c r="BG109" s="10" t="s">
        <v>1602</v>
      </c>
      <c r="BH109" s="10"/>
      <c r="BI109" s="158"/>
      <c r="BJ109" s="158"/>
      <c r="BK109" s="158"/>
      <c r="BL109" s="158"/>
      <c r="BM109" s="158"/>
      <c r="BN109" s="158"/>
      <c r="BO109" s="158"/>
      <c r="BP109" s="158"/>
      <c r="BQ109" s="158"/>
      <c r="BR109" s="158"/>
      <c r="BS109" s="158"/>
      <c r="BT109" s="158"/>
      <c r="BU109" s="158"/>
      <c r="BV109" s="158"/>
      <c r="BW109" s="158"/>
      <c r="BX109" s="158"/>
    </row>
    <row r="110">
      <c r="A110" s="10"/>
      <c r="B110" s="10"/>
      <c r="C110" s="10"/>
      <c r="D110" s="10"/>
      <c r="E110" s="10"/>
      <c r="F110" s="10"/>
      <c r="G110" s="10"/>
      <c r="H110" s="10"/>
      <c r="I110" s="10"/>
      <c r="J110" s="10"/>
      <c r="K110" s="5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58"/>
      <c r="BJ110" s="158"/>
      <c r="BK110" s="158"/>
      <c r="BL110" s="158"/>
      <c r="BM110" s="158"/>
      <c r="BN110" s="158"/>
      <c r="BO110" s="158"/>
      <c r="BP110" s="158"/>
      <c r="BQ110" s="158"/>
      <c r="BR110" s="158"/>
      <c r="BS110" s="158"/>
      <c r="BT110" s="158"/>
      <c r="BU110" s="158"/>
      <c r="BV110" s="158"/>
      <c r="BW110" s="158"/>
      <c r="BX110" s="158"/>
    </row>
    <row r="111">
      <c r="A111" s="10"/>
      <c r="B111" s="10"/>
      <c r="C111" s="10"/>
      <c r="D111" s="10"/>
      <c r="E111" s="10"/>
      <c r="F111" s="10"/>
      <c r="G111" s="10"/>
      <c r="H111" s="10"/>
      <c r="I111" s="10"/>
      <c r="J111" s="10"/>
      <c r="K111" s="5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58"/>
      <c r="BJ111" s="158"/>
      <c r="BK111" s="158"/>
      <c r="BL111" s="158"/>
      <c r="BM111" s="158"/>
      <c r="BN111" s="158"/>
      <c r="BO111" s="158"/>
      <c r="BP111" s="158"/>
      <c r="BQ111" s="158"/>
      <c r="BR111" s="158"/>
      <c r="BS111" s="158"/>
      <c r="BT111" s="158"/>
      <c r="BU111" s="158"/>
      <c r="BV111" s="158"/>
      <c r="BW111" s="158"/>
      <c r="BX111" s="158"/>
    </row>
    <row r="112">
      <c r="A112" s="10"/>
      <c r="B112" s="10"/>
      <c r="C112" s="10"/>
      <c r="D112" s="10"/>
      <c r="E112" s="10"/>
      <c r="F112" s="10"/>
      <c r="G112" s="10"/>
      <c r="H112" s="10"/>
      <c r="I112" s="10"/>
      <c r="J112" s="10"/>
      <c r="K112" s="5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58"/>
      <c r="BJ112" s="158"/>
      <c r="BK112" s="158"/>
      <c r="BL112" s="158"/>
      <c r="BM112" s="158"/>
      <c r="BN112" s="158"/>
      <c r="BO112" s="158"/>
      <c r="BP112" s="158"/>
      <c r="BQ112" s="158"/>
      <c r="BR112" s="158"/>
      <c r="BS112" s="158"/>
      <c r="BT112" s="158"/>
      <c r="BU112" s="158"/>
      <c r="BV112" s="158"/>
      <c r="BW112" s="158"/>
      <c r="BX112" s="158"/>
    </row>
    <row r="113">
      <c r="A113" s="10"/>
      <c r="B113" s="10"/>
      <c r="C113" s="10"/>
      <c r="D113" s="10"/>
      <c r="E113" s="10"/>
      <c r="F113" s="10"/>
      <c r="G113" s="10"/>
      <c r="H113" s="10"/>
      <c r="I113" s="10"/>
      <c r="J113" s="10"/>
      <c r="K113" s="5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58"/>
      <c r="BJ113" s="158"/>
      <c r="BK113" s="158"/>
      <c r="BL113" s="158"/>
      <c r="BM113" s="158"/>
      <c r="BN113" s="158"/>
      <c r="BO113" s="158"/>
      <c r="BP113" s="158"/>
      <c r="BQ113" s="158"/>
      <c r="BR113" s="158"/>
      <c r="BS113" s="158"/>
      <c r="BT113" s="158"/>
      <c r="BU113" s="158"/>
      <c r="BV113" s="158"/>
      <c r="BW113" s="158"/>
      <c r="BX113" s="158"/>
    </row>
    <row r="114">
      <c r="A114" s="10"/>
      <c r="B114" s="10"/>
      <c r="C114" s="10"/>
      <c r="D114" s="10"/>
      <c r="E114" s="10"/>
      <c r="F114" s="10"/>
      <c r="G114" s="10"/>
      <c r="H114" s="10"/>
      <c r="I114" s="10"/>
      <c r="J114" s="10"/>
      <c r="K114" s="5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58"/>
      <c r="BJ114" s="158"/>
      <c r="BK114" s="158"/>
      <c r="BL114" s="158"/>
      <c r="BM114" s="158"/>
      <c r="BN114" s="158"/>
      <c r="BO114" s="158"/>
      <c r="BP114" s="158"/>
      <c r="BQ114" s="158"/>
      <c r="BR114" s="158"/>
      <c r="BS114" s="158"/>
      <c r="BT114" s="158"/>
      <c r="BU114" s="158"/>
      <c r="BV114" s="158"/>
      <c r="BW114" s="158"/>
      <c r="BX114" s="158"/>
    </row>
    <row r="115">
      <c r="A115" s="10"/>
      <c r="B115" s="10"/>
      <c r="C115" s="10"/>
      <c r="D115" s="10"/>
      <c r="E115" s="10"/>
      <c r="F115" s="10"/>
      <c r="G115" s="10"/>
      <c r="H115" s="10"/>
      <c r="I115" s="10"/>
      <c r="J115" s="10"/>
      <c r="K115" s="5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58"/>
      <c r="BJ115" s="158"/>
      <c r="BK115" s="158"/>
      <c r="BL115" s="158"/>
      <c r="BM115" s="158"/>
      <c r="BN115" s="158"/>
      <c r="BO115" s="158"/>
      <c r="BP115" s="158"/>
      <c r="BQ115" s="158"/>
      <c r="BR115" s="158"/>
      <c r="BS115" s="158"/>
      <c r="BT115" s="158"/>
      <c r="BU115" s="158"/>
      <c r="BV115" s="158"/>
      <c r="BW115" s="158"/>
      <c r="BX115" s="158"/>
    </row>
    <row r="116">
      <c r="A116" s="10"/>
      <c r="B116" s="10"/>
      <c r="C116" s="10"/>
      <c r="D116" s="10"/>
      <c r="E116" s="10"/>
      <c r="F116" s="10"/>
      <c r="G116" s="10"/>
      <c r="H116" s="10"/>
      <c r="I116" s="10"/>
      <c r="J116" s="10"/>
      <c r="K116" s="5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58"/>
      <c r="BJ116" s="158"/>
      <c r="BK116" s="158"/>
      <c r="BL116" s="158"/>
      <c r="BM116" s="158"/>
      <c r="BN116" s="158"/>
      <c r="BO116" s="158"/>
      <c r="BP116" s="158"/>
      <c r="BQ116" s="158"/>
      <c r="BR116" s="158"/>
      <c r="BS116" s="158"/>
      <c r="BT116" s="158"/>
      <c r="BU116" s="158"/>
      <c r="BV116" s="158"/>
      <c r="BW116" s="158"/>
      <c r="BX116" s="158"/>
    </row>
    <row r="117">
      <c r="A117" s="10"/>
      <c r="B117" s="10"/>
      <c r="C117" s="10"/>
      <c r="D117" s="10"/>
      <c r="E117" s="10"/>
      <c r="F117" s="10"/>
      <c r="G117" s="10"/>
      <c r="H117" s="10"/>
      <c r="I117" s="10"/>
      <c r="J117" s="10"/>
      <c r="K117" s="5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58"/>
      <c r="BJ117" s="158"/>
      <c r="BK117" s="158"/>
      <c r="BL117" s="158"/>
      <c r="BM117" s="158"/>
      <c r="BN117" s="158"/>
      <c r="BO117" s="158"/>
      <c r="BP117" s="158"/>
      <c r="BQ117" s="158"/>
      <c r="BR117" s="158"/>
      <c r="BS117" s="158"/>
      <c r="BT117" s="158"/>
      <c r="BU117" s="158"/>
      <c r="BV117" s="158"/>
      <c r="BW117" s="158"/>
      <c r="BX117" s="158"/>
    </row>
    <row r="118">
      <c r="A118" s="10"/>
      <c r="B118" s="10"/>
      <c r="C118" s="10"/>
      <c r="D118" s="10"/>
      <c r="E118" s="10"/>
      <c r="F118" s="10"/>
      <c r="G118" s="10"/>
      <c r="H118" s="10"/>
      <c r="I118" s="10"/>
      <c r="J118" s="10"/>
      <c r="K118" s="5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58"/>
      <c r="BJ118" s="158"/>
      <c r="BK118" s="158"/>
      <c r="BL118" s="158"/>
      <c r="BM118" s="158"/>
      <c r="BN118" s="158"/>
      <c r="BO118" s="158"/>
      <c r="BP118" s="158"/>
      <c r="BQ118" s="158"/>
      <c r="BR118" s="158"/>
      <c r="BS118" s="158"/>
      <c r="BT118" s="158"/>
      <c r="BU118" s="158"/>
      <c r="BV118" s="158"/>
      <c r="BW118" s="158"/>
      <c r="BX118" s="158"/>
    </row>
    <row r="119">
      <c r="A119" s="48"/>
      <c r="B119" s="48"/>
      <c r="C119" s="48"/>
      <c r="D119" s="48"/>
      <c r="E119" s="48"/>
      <c r="F119" s="48"/>
      <c r="G119" s="48"/>
      <c r="H119" s="48"/>
      <c r="I119" s="48"/>
      <c r="J119" s="48"/>
      <c r="K119" s="64"/>
      <c r="L119" s="64"/>
      <c r="M119" s="48"/>
      <c r="N119" s="48"/>
      <c r="O119" s="48"/>
      <c r="P119" s="48"/>
      <c r="Q119" s="48"/>
      <c r="R119" s="48"/>
      <c r="S119" s="60"/>
      <c r="T119" s="48"/>
      <c r="U119" s="48"/>
      <c r="V119" s="48"/>
      <c r="W119" s="48"/>
      <c r="X119" s="48"/>
      <c r="Y119" s="48"/>
      <c r="Z119" s="48"/>
      <c r="AA119" s="48"/>
      <c r="AB119" s="48"/>
      <c r="AC119" s="48"/>
      <c r="AD119" s="48"/>
      <c r="AE119" s="48"/>
      <c r="AF119" s="60"/>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56"/>
      <c r="BJ119" s="56"/>
      <c r="BK119" s="56"/>
      <c r="BL119" s="56"/>
      <c r="BM119" s="56"/>
      <c r="BN119" s="56"/>
      <c r="BO119" s="56"/>
      <c r="BP119" s="56"/>
      <c r="BQ119" s="56"/>
      <c r="BR119" s="56"/>
      <c r="BS119" s="56"/>
      <c r="BT119" s="56"/>
      <c r="BU119" s="56"/>
      <c r="BV119" s="56"/>
      <c r="BW119" s="56"/>
      <c r="BX119" s="56"/>
    </row>
    <row r="120">
      <c r="A120" s="48"/>
      <c r="B120" s="48"/>
      <c r="C120" s="48"/>
      <c r="D120" s="48"/>
      <c r="E120" s="48"/>
      <c r="F120" s="48"/>
      <c r="G120" s="48"/>
      <c r="H120" s="48"/>
      <c r="I120" s="48"/>
      <c r="J120" s="48"/>
      <c r="K120" s="64"/>
      <c r="L120" s="64"/>
      <c r="M120" s="48"/>
      <c r="N120" s="48"/>
      <c r="O120" s="48"/>
      <c r="P120" s="48"/>
      <c r="Q120" s="48"/>
      <c r="R120" s="48"/>
      <c r="S120" s="60"/>
      <c r="T120" s="48"/>
      <c r="U120" s="48"/>
      <c r="V120" s="48"/>
      <c r="W120" s="48"/>
      <c r="X120" s="48"/>
      <c r="Y120" s="48"/>
      <c r="Z120" s="48"/>
      <c r="AA120" s="48"/>
      <c r="AB120" s="48"/>
      <c r="AC120" s="48"/>
      <c r="AD120" s="48"/>
      <c r="AE120" s="48"/>
      <c r="AF120" s="60"/>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56"/>
      <c r="BJ120" s="56"/>
      <c r="BK120" s="56"/>
      <c r="BL120" s="56"/>
      <c r="BM120" s="56"/>
      <c r="BN120" s="56"/>
      <c r="BO120" s="56"/>
      <c r="BP120" s="56"/>
      <c r="BQ120" s="56"/>
      <c r="BR120" s="56"/>
      <c r="BS120" s="56"/>
      <c r="BT120" s="56"/>
      <c r="BU120" s="56"/>
      <c r="BV120" s="56"/>
      <c r="BW120" s="56"/>
      <c r="BX120" s="56"/>
    </row>
    <row r="121">
      <c r="A121" s="48"/>
      <c r="B121" s="48"/>
      <c r="C121" s="48"/>
      <c r="D121" s="48"/>
      <c r="E121" s="48"/>
      <c r="F121" s="48"/>
      <c r="G121" s="48"/>
      <c r="H121" s="48"/>
      <c r="I121" s="48"/>
      <c r="J121" s="48"/>
      <c r="K121" s="64"/>
      <c r="L121" s="64"/>
      <c r="M121" s="48"/>
      <c r="N121" s="48"/>
      <c r="O121" s="48"/>
      <c r="P121" s="48"/>
      <c r="Q121" s="48"/>
      <c r="R121" s="48"/>
      <c r="S121" s="60"/>
      <c r="T121" s="48"/>
      <c r="U121" s="48"/>
      <c r="V121" s="48"/>
      <c r="W121" s="48"/>
      <c r="X121" s="48"/>
      <c r="Y121" s="48"/>
      <c r="Z121" s="48"/>
      <c r="AA121" s="48"/>
      <c r="AB121" s="48"/>
      <c r="AC121" s="48"/>
      <c r="AD121" s="48"/>
      <c r="AE121" s="48"/>
      <c r="AF121" s="60"/>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56"/>
      <c r="BJ121" s="56"/>
      <c r="BK121" s="56"/>
      <c r="BL121" s="56"/>
      <c r="BM121" s="56"/>
      <c r="BN121" s="56"/>
      <c r="BO121" s="56"/>
      <c r="BP121" s="56"/>
      <c r="BQ121" s="56"/>
      <c r="BR121" s="56"/>
      <c r="BS121" s="56"/>
      <c r="BT121" s="56"/>
      <c r="BU121" s="56"/>
      <c r="BV121" s="56"/>
      <c r="BW121" s="56"/>
      <c r="BX121" s="56"/>
    </row>
    <row r="122">
      <c r="A122" s="48"/>
      <c r="B122" s="48"/>
      <c r="C122" s="48"/>
      <c r="D122" s="48"/>
      <c r="E122" s="48"/>
      <c r="F122" s="48"/>
      <c r="G122" s="48"/>
      <c r="H122" s="48"/>
      <c r="I122" s="48"/>
      <c r="J122" s="48"/>
      <c r="K122" s="64"/>
      <c r="L122" s="64"/>
      <c r="M122" s="48"/>
      <c r="N122" s="48"/>
      <c r="O122" s="48"/>
      <c r="P122" s="48"/>
      <c r="Q122" s="48"/>
      <c r="R122" s="48"/>
      <c r="S122" s="60"/>
      <c r="T122" s="48"/>
      <c r="U122" s="48"/>
      <c r="V122" s="48"/>
      <c r="W122" s="48"/>
      <c r="X122" s="48"/>
      <c r="Y122" s="48"/>
      <c r="Z122" s="48"/>
      <c r="AA122" s="48"/>
      <c r="AB122" s="48"/>
      <c r="AC122" s="48"/>
      <c r="AD122" s="48"/>
      <c r="AE122" s="48"/>
      <c r="AF122" s="60"/>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56"/>
      <c r="BJ122" s="56"/>
      <c r="BK122" s="56"/>
      <c r="BL122" s="56"/>
      <c r="BM122" s="56"/>
      <c r="BN122" s="56"/>
      <c r="BO122" s="56"/>
      <c r="BP122" s="56"/>
      <c r="BQ122" s="56"/>
      <c r="BR122" s="56"/>
      <c r="BS122" s="56"/>
      <c r="BT122" s="56"/>
      <c r="BU122" s="56"/>
      <c r="BV122" s="56"/>
      <c r="BW122" s="56"/>
      <c r="BX122" s="56"/>
    </row>
    <row r="123">
      <c r="A123" s="48"/>
      <c r="B123" s="48"/>
      <c r="C123" s="48"/>
      <c r="D123" s="48"/>
      <c r="E123" s="48"/>
      <c r="F123" s="48"/>
      <c r="G123" s="48"/>
      <c r="H123" s="48"/>
      <c r="I123" s="48"/>
      <c r="J123" s="48"/>
      <c r="K123" s="64"/>
      <c r="L123" s="64"/>
      <c r="M123" s="48"/>
      <c r="N123" s="48"/>
      <c r="O123" s="48"/>
      <c r="P123" s="48"/>
      <c r="Q123" s="48"/>
      <c r="R123" s="48"/>
      <c r="S123" s="60"/>
      <c r="T123" s="48"/>
      <c r="U123" s="48"/>
      <c r="V123" s="48"/>
      <c r="W123" s="48"/>
      <c r="X123" s="48"/>
      <c r="Y123" s="48"/>
      <c r="Z123" s="48"/>
      <c r="AA123" s="48"/>
      <c r="AB123" s="48"/>
      <c r="AC123" s="48"/>
      <c r="AD123" s="48"/>
      <c r="AE123" s="48"/>
      <c r="AF123" s="60"/>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56"/>
      <c r="BJ123" s="56"/>
      <c r="BK123" s="56"/>
      <c r="BL123" s="56"/>
      <c r="BM123" s="56"/>
      <c r="BN123" s="56"/>
      <c r="BO123" s="56"/>
      <c r="BP123" s="56"/>
      <c r="BQ123" s="56"/>
      <c r="BR123" s="56"/>
      <c r="BS123" s="56"/>
      <c r="BT123" s="56"/>
      <c r="BU123" s="56"/>
      <c r="BV123" s="56"/>
      <c r="BW123" s="56"/>
      <c r="BX123" s="56"/>
    </row>
    <row r="124">
      <c r="A124" s="48"/>
      <c r="B124" s="48"/>
      <c r="C124" s="48"/>
      <c r="D124" s="48"/>
      <c r="E124" s="48"/>
      <c r="F124" s="48"/>
      <c r="G124" s="48"/>
      <c r="H124" s="48"/>
      <c r="I124" s="48"/>
      <c r="J124" s="48"/>
      <c r="K124" s="64"/>
      <c r="L124" s="64"/>
      <c r="M124" s="48"/>
      <c r="N124" s="48"/>
      <c r="O124" s="48"/>
      <c r="P124" s="48"/>
      <c r="Q124" s="48"/>
      <c r="R124" s="48"/>
      <c r="S124" s="60"/>
      <c r="T124" s="48"/>
      <c r="U124" s="48"/>
      <c r="V124" s="48"/>
      <c r="W124" s="48"/>
      <c r="X124" s="48"/>
      <c r="Y124" s="48"/>
      <c r="Z124" s="48"/>
      <c r="AA124" s="48"/>
      <c r="AB124" s="48"/>
      <c r="AC124" s="48"/>
      <c r="AD124" s="48"/>
      <c r="AE124" s="48"/>
      <c r="AF124" s="60"/>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56"/>
      <c r="BJ124" s="56"/>
      <c r="BK124" s="56"/>
      <c r="BL124" s="56"/>
      <c r="BM124" s="56"/>
      <c r="BN124" s="56"/>
      <c r="BO124" s="56"/>
      <c r="BP124" s="56"/>
      <c r="BQ124" s="56"/>
      <c r="BR124" s="56"/>
      <c r="BS124" s="56"/>
      <c r="BT124" s="56"/>
      <c r="BU124" s="56"/>
      <c r="BV124" s="56"/>
      <c r="BW124" s="56"/>
      <c r="BX124" s="56"/>
    </row>
    <row r="125">
      <c r="A125" s="48"/>
      <c r="B125" s="48"/>
      <c r="C125" s="48"/>
      <c r="D125" s="48"/>
      <c r="E125" s="48"/>
      <c r="F125" s="48"/>
      <c r="G125" s="48"/>
      <c r="H125" s="48"/>
      <c r="I125" s="48"/>
      <c r="J125" s="48"/>
      <c r="K125" s="64"/>
      <c r="L125" s="64"/>
      <c r="M125" s="48"/>
      <c r="N125" s="48"/>
      <c r="O125" s="48"/>
      <c r="P125" s="48"/>
      <c r="Q125" s="48"/>
      <c r="R125" s="48"/>
      <c r="S125" s="60"/>
      <c r="T125" s="48"/>
      <c r="U125" s="48"/>
      <c r="V125" s="48"/>
      <c r="W125" s="48"/>
      <c r="X125" s="48"/>
      <c r="Y125" s="48"/>
      <c r="Z125" s="48"/>
      <c r="AA125" s="48"/>
      <c r="AB125" s="48"/>
      <c r="AC125" s="48"/>
      <c r="AD125" s="48"/>
      <c r="AE125" s="48"/>
      <c r="AF125" s="60"/>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56"/>
      <c r="BJ125" s="56"/>
      <c r="BK125" s="56"/>
      <c r="BL125" s="56"/>
      <c r="BM125" s="56"/>
      <c r="BN125" s="56"/>
      <c r="BO125" s="56"/>
      <c r="BP125" s="56"/>
      <c r="BQ125" s="56"/>
      <c r="BR125" s="56"/>
      <c r="BS125" s="56"/>
      <c r="BT125" s="56"/>
      <c r="BU125" s="56"/>
      <c r="BV125" s="56"/>
      <c r="BW125" s="56"/>
      <c r="BX125" s="56"/>
    </row>
    <row r="126">
      <c r="A126" s="48"/>
      <c r="B126" s="48"/>
      <c r="C126" s="48"/>
      <c r="D126" s="48"/>
      <c r="E126" s="48"/>
      <c r="F126" s="48"/>
      <c r="G126" s="48"/>
      <c r="H126" s="48"/>
      <c r="I126" s="48"/>
      <c r="J126" s="48"/>
      <c r="K126" s="64"/>
      <c r="L126" s="64"/>
      <c r="M126" s="48"/>
      <c r="N126" s="48"/>
      <c r="O126" s="48"/>
      <c r="P126" s="48"/>
      <c r="Q126" s="48"/>
      <c r="R126" s="48"/>
      <c r="S126" s="60"/>
      <c r="T126" s="48"/>
      <c r="U126" s="48"/>
      <c r="V126" s="48"/>
      <c r="W126" s="48"/>
      <c r="X126" s="48"/>
      <c r="Y126" s="48"/>
      <c r="Z126" s="48"/>
      <c r="AA126" s="48"/>
      <c r="AB126" s="48"/>
      <c r="AC126" s="48"/>
      <c r="AD126" s="48"/>
      <c r="AE126" s="48"/>
      <c r="AF126" s="60"/>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56"/>
      <c r="BJ126" s="56"/>
      <c r="BK126" s="56"/>
      <c r="BL126" s="56"/>
      <c r="BM126" s="56"/>
      <c r="BN126" s="56"/>
      <c r="BO126" s="56"/>
      <c r="BP126" s="56"/>
      <c r="BQ126" s="56"/>
      <c r="BR126" s="56"/>
      <c r="BS126" s="56"/>
      <c r="BT126" s="56"/>
      <c r="BU126" s="56"/>
      <c r="BV126" s="56"/>
      <c r="BW126" s="56"/>
      <c r="BX126" s="56"/>
    </row>
    <row r="127">
      <c r="A127" s="48"/>
      <c r="B127" s="48"/>
      <c r="C127" s="48"/>
      <c r="D127" s="48"/>
      <c r="E127" s="48"/>
      <c r="F127" s="48"/>
      <c r="G127" s="48"/>
      <c r="H127" s="48"/>
      <c r="I127" s="48"/>
      <c r="J127" s="48"/>
      <c r="K127" s="64"/>
      <c r="L127" s="64"/>
      <c r="M127" s="48"/>
      <c r="N127" s="48"/>
      <c r="O127" s="48"/>
      <c r="P127" s="48"/>
      <c r="Q127" s="48"/>
      <c r="R127" s="48"/>
      <c r="S127" s="60"/>
      <c r="T127" s="48"/>
      <c r="U127" s="48"/>
      <c r="V127" s="48"/>
      <c r="W127" s="48"/>
      <c r="X127" s="48"/>
      <c r="Y127" s="48"/>
      <c r="Z127" s="48"/>
      <c r="AA127" s="48"/>
      <c r="AB127" s="48"/>
      <c r="AC127" s="48"/>
      <c r="AD127" s="48"/>
      <c r="AE127" s="48"/>
      <c r="AF127" s="60"/>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56"/>
      <c r="BJ127" s="56"/>
      <c r="BK127" s="56"/>
      <c r="BL127" s="56"/>
      <c r="BM127" s="56"/>
      <c r="BN127" s="56"/>
      <c r="BO127" s="56"/>
      <c r="BP127" s="56"/>
      <c r="BQ127" s="56"/>
      <c r="BR127" s="56"/>
      <c r="BS127" s="56"/>
      <c r="BT127" s="56"/>
      <c r="BU127" s="56"/>
      <c r="BV127" s="56"/>
      <c r="BW127" s="56"/>
      <c r="BX127" s="56"/>
    </row>
    <row r="128">
      <c r="A128" s="48"/>
      <c r="B128" s="48"/>
      <c r="C128" s="48"/>
      <c r="D128" s="48"/>
      <c r="E128" s="48"/>
      <c r="F128" s="48"/>
      <c r="G128" s="48"/>
      <c r="H128" s="48"/>
      <c r="I128" s="48"/>
      <c r="J128" s="48"/>
      <c r="K128" s="64"/>
      <c r="L128" s="64"/>
      <c r="M128" s="48"/>
      <c r="N128" s="48"/>
      <c r="O128" s="48"/>
      <c r="P128" s="48"/>
      <c r="Q128" s="48"/>
      <c r="R128" s="48"/>
      <c r="S128" s="60"/>
      <c r="T128" s="48"/>
      <c r="U128" s="48"/>
      <c r="V128" s="48"/>
      <c r="W128" s="48"/>
      <c r="X128" s="48"/>
      <c r="Y128" s="48"/>
      <c r="Z128" s="48"/>
      <c r="AA128" s="48"/>
      <c r="AB128" s="48"/>
      <c r="AC128" s="48"/>
      <c r="AD128" s="48"/>
      <c r="AE128" s="48"/>
      <c r="AF128" s="60"/>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56"/>
      <c r="BJ128" s="56"/>
      <c r="BK128" s="56"/>
      <c r="BL128" s="56"/>
      <c r="BM128" s="56"/>
      <c r="BN128" s="56"/>
      <c r="BO128" s="56"/>
      <c r="BP128" s="56"/>
      <c r="BQ128" s="56"/>
      <c r="BR128" s="56"/>
      <c r="BS128" s="56"/>
      <c r="BT128" s="56"/>
      <c r="BU128" s="56"/>
      <c r="BV128" s="56"/>
      <c r="BW128" s="56"/>
      <c r="BX128" s="56"/>
    </row>
    <row r="129">
      <c r="A129" s="48"/>
      <c r="B129" s="48"/>
      <c r="C129" s="48"/>
      <c r="D129" s="48"/>
      <c r="E129" s="48"/>
      <c r="F129" s="48"/>
      <c r="G129" s="48"/>
      <c r="H129" s="48"/>
      <c r="I129" s="48"/>
      <c r="J129" s="48"/>
      <c r="K129" s="64"/>
      <c r="L129" s="64"/>
      <c r="M129" s="48"/>
      <c r="N129" s="48"/>
      <c r="O129" s="48"/>
      <c r="P129" s="48"/>
      <c r="Q129" s="48"/>
      <c r="R129" s="48"/>
      <c r="S129" s="60"/>
      <c r="T129" s="48"/>
      <c r="U129" s="48"/>
      <c r="V129" s="48"/>
      <c r="W129" s="48"/>
      <c r="X129" s="48"/>
      <c r="Y129" s="48"/>
      <c r="Z129" s="48"/>
      <c r="AA129" s="48"/>
      <c r="AB129" s="48"/>
      <c r="AC129" s="48"/>
      <c r="AD129" s="48"/>
      <c r="AE129" s="48"/>
      <c r="AF129" s="60"/>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56"/>
      <c r="BJ129" s="56"/>
      <c r="BK129" s="56"/>
      <c r="BL129" s="56"/>
      <c r="BM129" s="56"/>
      <c r="BN129" s="56"/>
      <c r="BO129" s="56"/>
      <c r="BP129" s="56"/>
      <c r="BQ129" s="56"/>
      <c r="BR129" s="56"/>
      <c r="BS129" s="56"/>
      <c r="BT129" s="56"/>
      <c r="BU129" s="56"/>
      <c r="BV129" s="56"/>
      <c r="BW129" s="56"/>
      <c r="BX129" s="56"/>
    </row>
    <row r="130">
      <c r="A130" s="48"/>
      <c r="B130" s="48"/>
      <c r="C130" s="48"/>
      <c r="D130" s="48"/>
      <c r="E130" s="48"/>
      <c r="F130" s="48"/>
      <c r="G130" s="48"/>
      <c r="H130" s="48"/>
      <c r="I130" s="48"/>
      <c r="J130" s="48"/>
      <c r="K130" s="64"/>
      <c r="L130" s="64"/>
      <c r="M130" s="48"/>
      <c r="N130" s="48"/>
      <c r="O130" s="48"/>
      <c r="P130" s="48"/>
      <c r="Q130" s="48"/>
      <c r="R130" s="48"/>
      <c r="S130" s="60"/>
      <c r="T130" s="48"/>
      <c r="U130" s="48"/>
      <c r="V130" s="48"/>
      <c r="W130" s="48"/>
      <c r="X130" s="48"/>
      <c r="Y130" s="48"/>
      <c r="Z130" s="48"/>
      <c r="AA130" s="48"/>
      <c r="AB130" s="48"/>
      <c r="AC130" s="48"/>
      <c r="AD130" s="48"/>
      <c r="AE130" s="48"/>
      <c r="AF130" s="60"/>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56"/>
      <c r="BJ130" s="56"/>
      <c r="BK130" s="56"/>
      <c r="BL130" s="56"/>
      <c r="BM130" s="56"/>
      <c r="BN130" s="56"/>
      <c r="BO130" s="56"/>
      <c r="BP130" s="56"/>
      <c r="BQ130" s="56"/>
      <c r="BR130" s="56"/>
      <c r="BS130" s="56"/>
      <c r="BT130" s="56"/>
      <c r="BU130" s="56"/>
      <c r="BV130" s="56"/>
      <c r="BW130" s="56"/>
      <c r="BX130" s="56"/>
    </row>
    <row r="131">
      <c r="A131" s="48"/>
      <c r="B131" s="48"/>
      <c r="C131" s="48"/>
      <c r="D131" s="48"/>
      <c r="E131" s="48"/>
      <c r="F131" s="48"/>
      <c r="G131" s="48"/>
      <c r="H131" s="48"/>
      <c r="I131" s="48"/>
      <c r="J131" s="48"/>
      <c r="K131" s="64"/>
      <c r="L131" s="64"/>
      <c r="M131" s="48"/>
      <c r="N131" s="48"/>
      <c r="O131" s="48"/>
      <c r="P131" s="48"/>
      <c r="Q131" s="48"/>
      <c r="R131" s="48"/>
      <c r="S131" s="60"/>
      <c r="T131" s="48"/>
      <c r="U131" s="48"/>
      <c r="V131" s="48"/>
      <c r="W131" s="48"/>
      <c r="X131" s="48"/>
      <c r="Y131" s="48"/>
      <c r="Z131" s="48"/>
      <c r="AA131" s="48"/>
      <c r="AB131" s="48"/>
      <c r="AC131" s="48"/>
      <c r="AD131" s="48"/>
      <c r="AE131" s="48"/>
      <c r="AF131" s="60"/>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56"/>
      <c r="BJ131" s="56"/>
      <c r="BK131" s="56"/>
      <c r="BL131" s="56"/>
      <c r="BM131" s="56"/>
      <c r="BN131" s="56"/>
      <c r="BO131" s="56"/>
      <c r="BP131" s="56"/>
      <c r="BQ131" s="56"/>
      <c r="BR131" s="56"/>
      <c r="BS131" s="56"/>
      <c r="BT131" s="56"/>
      <c r="BU131" s="56"/>
      <c r="BV131" s="56"/>
      <c r="BW131" s="56"/>
      <c r="BX131" s="56"/>
    </row>
    <row r="132">
      <c r="A132" s="48"/>
      <c r="B132" s="48"/>
      <c r="C132" s="48"/>
      <c r="D132" s="48"/>
      <c r="E132" s="48"/>
      <c r="F132" s="48"/>
      <c r="G132" s="48"/>
      <c r="H132" s="48"/>
      <c r="I132" s="48"/>
      <c r="J132" s="48"/>
      <c r="K132" s="64"/>
      <c r="L132" s="64"/>
      <c r="M132" s="48"/>
      <c r="N132" s="48"/>
      <c r="O132" s="48"/>
      <c r="P132" s="48"/>
      <c r="Q132" s="48"/>
      <c r="R132" s="48"/>
      <c r="S132" s="60"/>
      <c r="T132" s="48"/>
      <c r="U132" s="48"/>
      <c r="V132" s="48"/>
      <c r="W132" s="48"/>
      <c r="X132" s="48"/>
      <c r="Y132" s="48"/>
      <c r="Z132" s="48"/>
      <c r="AA132" s="48"/>
      <c r="AB132" s="48"/>
      <c r="AC132" s="48"/>
      <c r="AD132" s="48"/>
      <c r="AE132" s="48"/>
      <c r="AF132" s="60"/>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56"/>
      <c r="BJ132" s="56"/>
      <c r="BK132" s="56"/>
      <c r="BL132" s="56"/>
      <c r="BM132" s="56"/>
      <c r="BN132" s="56"/>
      <c r="BO132" s="56"/>
      <c r="BP132" s="56"/>
      <c r="BQ132" s="56"/>
      <c r="BR132" s="56"/>
      <c r="BS132" s="56"/>
      <c r="BT132" s="56"/>
      <c r="BU132" s="56"/>
      <c r="BV132" s="56"/>
      <c r="BW132" s="56"/>
      <c r="BX132" s="56"/>
    </row>
    <row r="133">
      <c r="A133" s="48"/>
      <c r="B133" s="48"/>
      <c r="C133" s="48"/>
      <c r="D133" s="48"/>
      <c r="E133" s="48"/>
      <c r="F133" s="48"/>
      <c r="G133" s="48"/>
      <c r="H133" s="48"/>
      <c r="I133" s="48"/>
      <c r="J133" s="48"/>
      <c r="K133" s="64"/>
      <c r="L133" s="64"/>
      <c r="M133" s="48"/>
      <c r="N133" s="48"/>
      <c r="O133" s="48"/>
      <c r="P133" s="48"/>
      <c r="Q133" s="48"/>
      <c r="R133" s="48"/>
      <c r="S133" s="60"/>
      <c r="T133" s="48"/>
      <c r="U133" s="48"/>
      <c r="V133" s="48"/>
      <c r="W133" s="48"/>
      <c r="X133" s="48"/>
      <c r="Y133" s="48"/>
      <c r="Z133" s="48"/>
      <c r="AA133" s="48"/>
      <c r="AB133" s="48"/>
      <c r="AC133" s="48"/>
      <c r="AD133" s="48"/>
      <c r="AE133" s="48"/>
      <c r="AF133" s="60"/>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56"/>
      <c r="BJ133" s="56"/>
      <c r="BK133" s="56"/>
      <c r="BL133" s="56"/>
      <c r="BM133" s="56"/>
      <c r="BN133" s="56"/>
      <c r="BO133" s="56"/>
      <c r="BP133" s="56"/>
      <c r="BQ133" s="56"/>
      <c r="BR133" s="56"/>
      <c r="BS133" s="56"/>
      <c r="BT133" s="56"/>
      <c r="BU133" s="56"/>
      <c r="BV133" s="56"/>
      <c r="BW133" s="56"/>
      <c r="BX133" s="56"/>
    </row>
    <row r="134">
      <c r="A134" s="48"/>
      <c r="B134" s="48"/>
      <c r="C134" s="48"/>
      <c r="D134" s="48"/>
      <c r="E134" s="48"/>
      <c r="F134" s="48"/>
      <c r="G134" s="48"/>
      <c r="H134" s="48"/>
      <c r="I134" s="48"/>
      <c r="J134" s="48"/>
      <c r="K134" s="64"/>
      <c r="L134" s="64"/>
      <c r="M134" s="48"/>
      <c r="N134" s="48"/>
      <c r="O134" s="48"/>
      <c r="P134" s="48"/>
      <c r="Q134" s="48"/>
      <c r="R134" s="48"/>
      <c r="S134" s="60"/>
      <c r="T134" s="48"/>
      <c r="U134" s="48"/>
      <c r="V134" s="48"/>
      <c r="W134" s="48"/>
      <c r="X134" s="48"/>
      <c r="Y134" s="48"/>
      <c r="Z134" s="48"/>
      <c r="AA134" s="48"/>
      <c r="AB134" s="48"/>
      <c r="AC134" s="48"/>
      <c r="AD134" s="48"/>
      <c r="AE134" s="48"/>
      <c r="AF134" s="60"/>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56"/>
      <c r="BJ134" s="56"/>
      <c r="BK134" s="56"/>
      <c r="BL134" s="56"/>
      <c r="BM134" s="56"/>
      <c r="BN134" s="56"/>
      <c r="BO134" s="56"/>
      <c r="BP134" s="56"/>
      <c r="BQ134" s="56"/>
      <c r="BR134" s="56"/>
      <c r="BS134" s="56"/>
      <c r="BT134" s="56"/>
      <c r="BU134" s="56"/>
      <c r="BV134" s="56"/>
      <c r="BW134" s="56"/>
      <c r="BX134" s="56"/>
    </row>
    <row r="135">
      <c r="A135" s="48"/>
      <c r="B135" s="48"/>
      <c r="C135" s="48"/>
      <c r="D135" s="48"/>
      <c r="E135" s="48"/>
      <c r="F135" s="48"/>
      <c r="G135" s="48"/>
      <c r="H135" s="48"/>
      <c r="I135" s="48"/>
      <c r="J135" s="48"/>
      <c r="K135" s="64"/>
      <c r="L135" s="64"/>
      <c r="M135" s="48"/>
      <c r="N135" s="48"/>
      <c r="O135" s="48"/>
      <c r="P135" s="48"/>
      <c r="Q135" s="48"/>
      <c r="R135" s="48"/>
      <c r="S135" s="60"/>
      <c r="T135" s="48"/>
      <c r="U135" s="48"/>
      <c r="V135" s="48"/>
      <c r="W135" s="48"/>
      <c r="X135" s="48"/>
      <c r="Y135" s="48"/>
      <c r="Z135" s="48"/>
      <c r="AA135" s="48"/>
      <c r="AB135" s="48"/>
      <c r="AC135" s="48"/>
      <c r="AD135" s="48"/>
      <c r="AE135" s="48"/>
      <c r="AF135" s="60"/>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56"/>
      <c r="BJ135" s="56"/>
      <c r="BK135" s="56"/>
      <c r="BL135" s="56"/>
      <c r="BM135" s="56"/>
      <c r="BN135" s="56"/>
      <c r="BO135" s="56"/>
      <c r="BP135" s="56"/>
      <c r="BQ135" s="56"/>
      <c r="BR135" s="56"/>
      <c r="BS135" s="56"/>
      <c r="BT135" s="56"/>
      <c r="BU135" s="56"/>
      <c r="BV135" s="56"/>
      <c r="BW135" s="56"/>
      <c r="BX135" s="56"/>
    </row>
    <row r="136">
      <c r="A136" s="48"/>
      <c r="B136" s="48"/>
      <c r="C136" s="48"/>
      <c r="D136" s="48"/>
      <c r="E136" s="48"/>
      <c r="F136" s="48"/>
      <c r="G136" s="48"/>
      <c r="H136" s="48"/>
      <c r="I136" s="48"/>
      <c r="J136" s="48"/>
      <c r="K136" s="64"/>
      <c r="L136" s="64"/>
      <c r="M136" s="48"/>
      <c r="N136" s="48"/>
      <c r="O136" s="48"/>
      <c r="P136" s="48"/>
      <c r="Q136" s="48"/>
      <c r="R136" s="48"/>
      <c r="S136" s="60"/>
      <c r="T136" s="48"/>
      <c r="U136" s="48"/>
      <c r="V136" s="48"/>
      <c r="W136" s="48"/>
      <c r="X136" s="48"/>
      <c r="Y136" s="48"/>
      <c r="Z136" s="48"/>
      <c r="AA136" s="48"/>
      <c r="AB136" s="48"/>
      <c r="AC136" s="48"/>
      <c r="AD136" s="48"/>
      <c r="AE136" s="48"/>
      <c r="AF136" s="60"/>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56"/>
      <c r="BJ136" s="56"/>
      <c r="BK136" s="56"/>
      <c r="BL136" s="56"/>
      <c r="BM136" s="56"/>
      <c r="BN136" s="56"/>
      <c r="BO136" s="56"/>
      <c r="BP136" s="56"/>
      <c r="BQ136" s="56"/>
      <c r="BR136" s="56"/>
      <c r="BS136" s="56"/>
      <c r="BT136" s="56"/>
      <c r="BU136" s="56"/>
      <c r="BV136" s="56"/>
      <c r="BW136" s="56"/>
      <c r="BX136" s="56"/>
    </row>
    <row r="137">
      <c r="A137" s="48"/>
      <c r="B137" s="48"/>
      <c r="C137" s="48"/>
      <c r="D137" s="48"/>
      <c r="E137" s="48"/>
      <c r="F137" s="48"/>
      <c r="G137" s="48"/>
      <c r="H137" s="48"/>
      <c r="I137" s="48"/>
      <c r="J137" s="48"/>
      <c r="K137" s="64"/>
      <c r="L137" s="64"/>
      <c r="M137" s="48"/>
      <c r="N137" s="48"/>
      <c r="O137" s="48"/>
      <c r="P137" s="48"/>
      <c r="Q137" s="48"/>
      <c r="R137" s="48"/>
      <c r="S137" s="60"/>
      <c r="T137" s="48"/>
      <c r="U137" s="48"/>
      <c r="V137" s="48"/>
      <c r="W137" s="48"/>
      <c r="X137" s="48"/>
      <c r="Y137" s="48"/>
      <c r="Z137" s="48"/>
      <c r="AA137" s="48"/>
      <c r="AB137" s="48"/>
      <c r="AC137" s="48"/>
      <c r="AD137" s="48"/>
      <c r="AE137" s="48"/>
      <c r="AF137" s="60"/>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56"/>
      <c r="BJ137" s="56"/>
      <c r="BK137" s="56"/>
      <c r="BL137" s="56"/>
      <c r="BM137" s="56"/>
      <c r="BN137" s="56"/>
      <c r="BO137" s="56"/>
      <c r="BP137" s="56"/>
      <c r="BQ137" s="56"/>
      <c r="BR137" s="56"/>
      <c r="BS137" s="56"/>
      <c r="BT137" s="56"/>
      <c r="BU137" s="56"/>
      <c r="BV137" s="56"/>
      <c r="BW137" s="56"/>
      <c r="BX137" s="56"/>
    </row>
    <row r="138">
      <c r="A138" s="48"/>
      <c r="B138" s="48"/>
      <c r="C138" s="48"/>
      <c r="D138" s="48"/>
      <c r="E138" s="48"/>
      <c r="F138" s="48"/>
      <c r="G138" s="48"/>
      <c r="H138" s="48"/>
      <c r="I138" s="48"/>
      <c r="J138" s="48"/>
      <c r="K138" s="64"/>
      <c r="L138" s="64"/>
      <c r="M138" s="48"/>
      <c r="N138" s="48"/>
      <c r="O138" s="48"/>
      <c r="P138" s="48"/>
      <c r="Q138" s="48"/>
      <c r="R138" s="48"/>
      <c r="S138" s="60"/>
      <c r="T138" s="48"/>
      <c r="U138" s="48"/>
      <c r="V138" s="48"/>
      <c r="W138" s="48"/>
      <c r="X138" s="48"/>
      <c r="Y138" s="48"/>
      <c r="Z138" s="48"/>
      <c r="AA138" s="48"/>
      <c r="AB138" s="48"/>
      <c r="AC138" s="48"/>
      <c r="AD138" s="48"/>
      <c r="AE138" s="48"/>
      <c r="AF138" s="60"/>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56"/>
      <c r="BJ138" s="56"/>
      <c r="BK138" s="56"/>
      <c r="BL138" s="56"/>
      <c r="BM138" s="56"/>
      <c r="BN138" s="56"/>
      <c r="BO138" s="56"/>
      <c r="BP138" s="56"/>
      <c r="BQ138" s="56"/>
      <c r="BR138" s="56"/>
      <c r="BS138" s="56"/>
      <c r="BT138" s="56"/>
      <c r="BU138" s="56"/>
      <c r="BV138" s="56"/>
      <c r="BW138" s="56"/>
      <c r="BX138" s="56"/>
    </row>
    <row r="139">
      <c r="A139" s="48"/>
      <c r="B139" s="48"/>
      <c r="C139" s="48"/>
      <c r="D139" s="48"/>
      <c r="E139" s="48"/>
      <c r="F139" s="48"/>
      <c r="G139" s="48"/>
      <c r="H139" s="48"/>
      <c r="I139" s="48"/>
      <c r="J139" s="48"/>
      <c r="K139" s="64"/>
      <c r="L139" s="64"/>
      <c r="M139" s="48"/>
      <c r="N139" s="48"/>
      <c r="O139" s="48"/>
      <c r="P139" s="48"/>
      <c r="Q139" s="48"/>
      <c r="R139" s="48"/>
      <c r="S139" s="60"/>
      <c r="T139" s="48"/>
      <c r="U139" s="48"/>
      <c r="V139" s="48"/>
      <c r="W139" s="48"/>
      <c r="X139" s="48"/>
      <c r="Y139" s="48"/>
      <c r="Z139" s="48"/>
      <c r="AA139" s="48"/>
      <c r="AB139" s="48"/>
      <c r="AC139" s="48"/>
      <c r="AD139" s="48"/>
      <c r="AE139" s="48"/>
      <c r="AF139" s="60"/>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56"/>
      <c r="BJ139" s="56"/>
      <c r="BK139" s="56"/>
      <c r="BL139" s="56"/>
      <c r="BM139" s="56"/>
      <c r="BN139" s="56"/>
      <c r="BO139" s="56"/>
      <c r="BP139" s="56"/>
      <c r="BQ139" s="56"/>
      <c r="BR139" s="56"/>
      <c r="BS139" s="56"/>
      <c r="BT139" s="56"/>
      <c r="BU139" s="56"/>
      <c r="BV139" s="56"/>
      <c r="BW139" s="56"/>
      <c r="BX139" s="56"/>
    </row>
    <row r="140">
      <c r="A140" s="48"/>
      <c r="B140" s="48"/>
      <c r="C140" s="48"/>
      <c r="D140" s="48"/>
      <c r="E140" s="48"/>
      <c r="F140" s="48"/>
      <c r="G140" s="48"/>
      <c r="H140" s="48"/>
      <c r="I140" s="48"/>
      <c r="J140" s="48"/>
      <c r="K140" s="64"/>
      <c r="L140" s="64"/>
      <c r="M140" s="48"/>
      <c r="N140" s="48"/>
      <c r="O140" s="48"/>
      <c r="P140" s="48"/>
      <c r="Q140" s="48"/>
      <c r="R140" s="48"/>
      <c r="S140" s="60"/>
      <c r="T140" s="48"/>
      <c r="U140" s="48"/>
      <c r="V140" s="48"/>
      <c r="W140" s="48"/>
      <c r="X140" s="48"/>
      <c r="Y140" s="48"/>
      <c r="Z140" s="48"/>
      <c r="AA140" s="48"/>
      <c r="AB140" s="48"/>
      <c r="AC140" s="48"/>
      <c r="AD140" s="48"/>
      <c r="AE140" s="48"/>
      <c r="AF140" s="60"/>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56"/>
      <c r="BJ140" s="56"/>
      <c r="BK140" s="56"/>
      <c r="BL140" s="56"/>
      <c r="BM140" s="56"/>
      <c r="BN140" s="56"/>
      <c r="BO140" s="56"/>
      <c r="BP140" s="56"/>
      <c r="BQ140" s="56"/>
      <c r="BR140" s="56"/>
      <c r="BS140" s="56"/>
      <c r="BT140" s="56"/>
      <c r="BU140" s="56"/>
      <c r="BV140" s="56"/>
      <c r="BW140" s="56"/>
      <c r="BX140" s="56"/>
    </row>
    <row r="141">
      <c r="A141" s="48"/>
      <c r="B141" s="48"/>
      <c r="C141" s="48"/>
      <c r="D141" s="48"/>
      <c r="E141" s="48"/>
      <c r="F141" s="48"/>
      <c r="G141" s="48"/>
      <c r="H141" s="48"/>
      <c r="I141" s="48"/>
      <c r="J141" s="48"/>
      <c r="K141" s="64"/>
      <c r="L141" s="64"/>
      <c r="M141" s="48"/>
      <c r="N141" s="48"/>
      <c r="O141" s="48"/>
      <c r="P141" s="48"/>
      <c r="Q141" s="48"/>
      <c r="R141" s="48"/>
      <c r="S141" s="60"/>
      <c r="T141" s="48"/>
      <c r="U141" s="48"/>
      <c r="V141" s="48"/>
      <c r="W141" s="48"/>
      <c r="X141" s="48"/>
      <c r="Y141" s="48"/>
      <c r="Z141" s="48"/>
      <c r="AA141" s="48"/>
      <c r="AB141" s="48"/>
      <c r="AC141" s="48"/>
      <c r="AD141" s="48"/>
      <c r="AE141" s="48"/>
      <c r="AF141" s="60"/>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56"/>
      <c r="BJ141" s="56"/>
      <c r="BK141" s="56"/>
      <c r="BL141" s="56"/>
      <c r="BM141" s="56"/>
      <c r="BN141" s="56"/>
      <c r="BO141" s="56"/>
      <c r="BP141" s="56"/>
      <c r="BQ141" s="56"/>
      <c r="BR141" s="56"/>
      <c r="BS141" s="56"/>
      <c r="BT141" s="56"/>
      <c r="BU141" s="56"/>
      <c r="BV141" s="56"/>
      <c r="BW141" s="56"/>
      <c r="BX141" s="56"/>
    </row>
    <row r="142">
      <c r="A142" s="48"/>
      <c r="B142" s="48"/>
      <c r="C142" s="48"/>
      <c r="D142" s="48"/>
      <c r="E142" s="48"/>
      <c r="F142" s="48"/>
      <c r="G142" s="48"/>
      <c r="H142" s="48"/>
      <c r="I142" s="48"/>
      <c r="J142" s="48"/>
      <c r="K142" s="64"/>
      <c r="L142" s="64"/>
      <c r="M142" s="48"/>
      <c r="N142" s="48"/>
      <c r="O142" s="48"/>
      <c r="P142" s="48"/>
      <c r="Q142" s="48"/>
      <c r="R142" s="48"/>
      <c r="S142" s="60"/>
      <c r="T142" s="48"/>
      <c r="U142" s="48"/>
      <c r="V142" s="48"/>
      <c r="W142" s="48"/>
      <c r="X142" s="48"/>
      <c r="Y142" s="48"/>
      <c r="Z142" s="48"/>
      <c r="AA142" s="48"/>
      <c r="AB142" s="48"/>
      <c r="AC142" s="48"/>
      <c r="AD142" s="48"/>
      <c r="AE142" s="48"/>
      <c r="AF142" s="60"/>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56"/>
      <c r="BJ142" s="56"/>
      <c r="BK142" s="56"/>
      <c r="BL142" s="56"/>
      <c r="BM142" s="56"/>
      <c r="BN142" s="56"/>
      <c r="BO142" s="56"/>
      <c r="BP142" s="56"/>
      <c r="BQ142" s="56"/>
      <c r="BR142" s="56"/>
      <c r="BS142" s="56"/>
      <c r="BT142" s="56"/>
      <c r="BU142" s="56"/>
      <c r="BV142" s="56"/>
      <c r="BW142" s="56"/>
      <c r="BX142" s="56"/>
    </row>
    <row r="143">
      <c r="A143" s="48"/>
      <c r="B143" s="48"/>
      <c r="C143" s="48"/>
      <c r="D143" s="48"/>
      <c r="E143" s="48"/>
      <c r="F143" s="48"/>
      <c r="G143" s="48"/>
      <c r="H143" s="48"/>
      <c r="I143" s="48"/>
      <c r="J143" s="48"/>
      <c r="K143" s="64"/>
      <c r="L143" s="64"/>
      <c r="M143" s="48"/>
      <c r="N143" s="48"/>
      <c r="O143" s="48"/>
      <c r="P143" s="48"/>
      <c r="Q143" s="48"/>
      <c r="R143" s="48"/>
      <c r="S143" s="60"/>
      <c r="T143" s="48"/>
      <c r="U143" s="48"/>
      <c r="V143" s="48"/>
      <c r="W143" s="48"/>
      <c r="X143" s="48"/>
      <c r="Y143" s="48"/>
      <c r="Z143" s="48"/>
      <c r="AA143" s="48"/>
      <c r="AB143" s="48"/>
      <c r="AC143" s="48"/>
      <c r="AD143" s="48"/>
      <c r="AE143" s="48"/>
      <c r="AF143" s="60"/>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56"/>
      <c r="BJ143" s="56"/>
      <c r="BK143" s="56"/>
      <c r="BL143" s="56"/>
      <c r="BM143" s="56"/>
      <c r="BN143" s="56"/>
      <c r="BO143" s="56"/>
      <c r="BP143" s="56"/>
      <c r="BQ143" s="56"/>
      <c r="BR143" s="56"/>
      <c r="BS143" s="56"/>
      <c r="BT143" s="56"/>
      <c r="BU143" s="56"/>
      <c r="BV143" s="56"/>
      <c r="BW143" s="56"/>
      <c r="BX143" s="56"/>
    </row>
    <row r="144">
      <c r="A144" s="48"/>
      <c r="B144" s="48"/>
      <c r="C144" s="48"/>
      <c r="D144" s="48"/>
      <c r="E144" s="48"/>
      <c r="F144" s="48"/>
      <c r="G144" s="48"/>
      <c r="H144" s="48"/>
      <c r="I144" s="48"/>
      <c r="J144" s="48"/>
      <c r="K144" s="64"/>
      <c r="L144" s="64"/>
      <c r="M144" s="48"/>
      <c r="N144" s="48"/>
      <c r="O144" s="48"/>
      <c r="P144" s="48"/>
      <c r="Q144" s="48"/>
      <c r="R144" s="48"/>
      <c r="S144" s="60"/>
      <c r="T144" s="48"/>
      <c r="U144" s="48"/>
      <c r="V144" s="48"/>
      <c r="W144" s="48"/>
      <c r="X144" s="48"/>
      <c r="Y144" s="48"/>
      <c r="Z144" s="48"/>
      <c r="AA144" s="48"/>
      <c r="AB144" s="48"/>
      <c r="AC144" s="48"/>
      <c r="AD144" s="48"/>
      <c r="AE144" s="48"/>
      <c r="AF144" s="60"/>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56"/>
      <c r="BJ144" s="56"/>
      <c r="BK144" s="56"/>
      <c r="BL144" s="56"/>
      <c r="BM144" s="56"/>
      <c r="BN144" s="56"/>
      <c r="BO144" s="56"/>
      <c r="BP144" s="56"/>
      <c r="BQ144" s="56"/>
      <c r="BR144" s="56"/>
      <c r="BS144" s="56"/>
      <c r="BT144" s="56"/>
      <c r="BU144" s="56"/>
      <c r="BV144" s="56"/>
      <c r="BW144" s="56"/>
      <c r="BX144" s="56"/>
    </row>
    <row r="145">
      <c r="A145" s="48"/>
      <c r="B145" s="48"/>
      <c r="C145" s="48"/>
      <c r="D145" s="48"/>
      <c r="E145" s="48"/>
      <c r="F145" s="48"/>
      <c r="G145" s="48"/>
      <c r="H145" s="48"/>
      <c r="I145" s="48"/>
      <c r="J145" s="48"/>
      <c r="K145" s="64"/>
      <c r="L145" s="64"/>
      <c r="M145" s="48"/>
      <c r="N145" s="48"/>
      <c r="O145" s="48"/>
      <c r="P145" s="48"/>
      <c r="Q145" s="48"/>
      <c r="R145" s="48"/>
      <c r="S145" s="60"/>
      <c r="T145" s="48"/>
      <c r="U145" s="48"/>
      <c r="V145" s="48"/>
      <c r="W145" s="48"/>
      <c r="X145" s="48"/>
      <c r="Y145" s="48"/>
      <c r="Z145" s="48"/>
      <c r="AA145" s="48"/>
      <c r="AB145" s="48"/>
      <c r="AC145" s="48"/>
      <c r="AD145" s="48"/>
      <c r="AE145" s="48"/>
      <c r="AF145" s="60"/>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56"/>
      <c r="BJ145" s="56"/>
      <c r="BK145" s="56"/>
      <c r="BL145" s="56"/>
      <c r="BM145" s="56"/>
      <c r="BN145" s="56"/>
      <c r="BO145" s="56"/>
      <c r="BP145" s="56"/>
      <c r="BQ145" s="56"/>
      <c r="BR145" s="56"/>
      <c r="BS145" s="56"/>
      <c r="BT145" s="56"/>
      <c r="BU145" s="56"/>
      <c r="BV145" s="56"/>
      <c r="BW145" s="56"/>
      <c r="BX145" s="56"/>
    </row>
    <row r="146">
      <c r="A146" s="48"/>
      <c r="B146" s="48"/>
      <c r="C146" s="48"/>
      <c r="D146" s="48"/>
      <c r="E146" s="48"/>
      <c r="F146" s="48"/>
      <c r="G146" s="48"/>
      <c r="H146" s="48"/>
      <c r="I146" s="48"/>
      <c r="J146" s="48"/>
      <c r="K146" s="64"/>
      <c r="L146" s="64"/>
      <c r="M146" s="48"/>
      <c r="N146" s="48"/>
      <c r="O146" s="48"/>
      <c r="P146" s="48"/>
      <c r="Q146" s="48"/>
      <c r="R146" s="48"/>
      <c r="S146" s="60"/>
      <c r="T146" s="48"/>
      <c r="U146" s="48"/>
      <c r="V146" s="48"/>
      <c r="W146" s="48"/>
      <c r="X146" s="48"/>
      <c r="Y146" s="48"/>
      <c r="Z146" s="48"/>
      <c r="AA146" s="48"/>
      <c r="AB146" s="48"/>
      <c r="AC146" s="48"/>
      <c r="AD146" s="48"/>
      <c r="AE146" s="48"/>
      <c r="AF146" s="60"/>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56"/>
      <c r="BJ146" s="56"/>
      <c r="BK146" s="56"/>
      <c r="BL146" s="56"/>
      <c r="BM146" s="56"/>
      <c r="BN146" s="56"/>
      <c r="BO146" s="56"/>
      <c r="BP146" s="56"/>
      <c r="BQ146" s="56"/>
      <c r="BR146" s="56"/>
      <c r="BS146" s="56"/>
      <c r="BT146" s="56"/>
      <c r="BU146" s="56"/>
      <c r="BV146" s="56"/>
      <c r="BW146" s="56"/>
      <c r="BX146" s="56"/>
    </row>
    <row r="147">
      <c r="A147" s="48"/>
      <c r="B147" s="48"/>
      <c r="C147" s="48"/>
      <c r="D147" s="48"/>
      <c r="E147" s="48"/>
      <c r="F147" s="48"/>
      <c r="G147" s="48"/>
      <c r="H147" s="48"/>
      <c r="I147" s="48"/>
      <c r="J147" s="48"/>
      <c r="K147" s="64"/>
      <c r="L147" s="64"/>
      <c r="M147" s="48"/>
      <c r="N147" s="48"/>
      <c r="O147" s="48"/>
      <c r="P147" s="48"/>
      <c r="Q147" s="48"/>
      <c r="R147" s="48"/>
      <c r="S147" s="60"/>
      <c r="T147" s="48"/>
      <c r="U147" s="48"/>
      <c r="V147" s="48"/>
      <c r="W147" s="48"/>
      <c r="X147" s="48"/>
      <c r="Y147" s="48"/>
      <c r="Z147" s="48"/>
      <c r="AA147" s="48"/>
      <c r="AB147" s="48"/>
      <c r="AC147" s="48"/>
      <c r="AD147" s="48"/>
      <c r="AE147" s="48"/>
      <c r="AF147" s="60"/>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56"/>
      <c r="BJ147" s="56"/>
      <c r="BK147" s="56"/>
      <c r="BL147" s="56"/>
      <c r="BM147" s="56"/>
      <c r="BN147" s="56"/>
      <c r="BO147" s="56"/>
      <c r="BP147" s="56"/>
      <c r="BQ147" s="56"/>
      <c r="BR147" s="56"/>
      <c r="BS147" s="56"/>
      <c r="BT147" s="56"/>
      <c r="BU147" s="56"/>
      <c r="BV147" s="56"/>
      <c r="BW147" s="56"/>
      <c r="BX147" s="56"/>
    </row>
    <row r="148">
      <c r="A148" s="48"/>
      <c r="B148" s="48"/>
      <c r="C148" s="48"/>
      <c r="D148" s="48"/>
      <c r="E148" s="48"/>
      <c r="F148" s="48"/>
      <c r="G148" s="48"/>
      <c r="H148" s="48"/>
      <c r="I148" s="48"/>
      <c r="J148" s="48"/>
      <c r="K148" s="64"/>
      <c r="L148" s="64"/>
      <c r="M148" s="48"/>
      <c r="N148" s="48"/>
      <c r="O148" s="48"/>
      <c r="P148" s="48"/>
      <c r="Q148" s="48"/>
      <c r="R148" s="48"/>
      <c r="S148" s="60"/>
      <c r="T148" s="48"/>
      <c r="U148" s="48"/>
      <c r="V148" s="48"/>
      <c r="W148" s="48"/>
      <c r="X148" s="48"/>
      <c r="Y148" s="48"/>
      <c r="Z148" s="48"/>
      <c r="AA148" s="48"/>
      <c r="AB148" s="48"/>
      <c r="AC148" s="48"/>
      <c r="AD148" s="48"/>
      <c r="AE148" s="48"/>
      <c r="AF148" s="60"/>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56"/>
      <c r="BJ148" s="56"/>
      <c r="BK148" s="56"/>
      <c r="BL148" s="56"/>
      <c r="BM148" s="56"/>
      <c r="BN148" s="56"/>
      <c r="BO148" s="56"/>
      <c r="BP148" s="56"/>
      <c r="BQ148" s="56"/>
      <c r="BR148" s="56"/>
      <c r="BS148" s="56"/>
      <c r="BT148" s="56"/>
      <c r="BU148" s="56"/>
      <c r="BV148" s="56"/>
      <c r="BW148" s="56"/>
      <c r="BX148" s="56"/>
    </row>
    <row r="149">
      <c r="A149" s="48"/>
      <c r="B149" s="48"/>
      <c r="C149" s="48"/>
      <c r="D149" s="48"/>
      <c r="E149" s="48"/>
      <c r="F149" s="48"/>
      <c r="G149" s="48"/>
      <c r="H149" s="48"/>
      <c r="I149" s="48"/>
      <c r="J149" s="48"/>
      <c r="K149" s="64"/>
      <c r="L149" s="64"/>
      <c r="M149" s="48"/>
      <c r="N149" s="48"/>
      <c r="O149" s="48"/>
      <c r="P149" s="48"/>
      <c r="Q149" s="48"/>
      <c r="R149" s="48"/>
      <c r="S149" s="60"/>
      <c r="T149" s="48"/>
      <c r="U149" s="48"/>
      <c r="V149" s="48"/>
      <c r="W149" s="48"/>
      <c r="X149" s="48"/>
      <c r="Y149" s="48"/>
      <c r="Z149" s="48"/>
      <c r="AA149" s="48"/>
      <c r="AB149" s="48"/>
      <c r="AC149" s="48"/>
      <c r="AD149" s="48"/>
      <c r="AE149" s="48"/>
      <c r="AF149" s="60"/>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56"/>
      <c r="BJ149" s="56"/>
      <c r="BK149" s="56"/>
      <c r="BL149" s="56"/>
      <c r="BM149" s="56"/>
      <c r="BN149" s="56"/>
      <c r="BO149" s="56"/>
      <c r="BP149" s="56"/>
      <c r="BQ149" s="56"/>
      <c r="BR149" s="56"/>
      <c r="BS149" s="56"/>
      <c r="BT149" s="56"/>
      <c r="BU149" s="56"/>
      <c r="BV149" s="56"/>
      <c r="BW149" s="56"/>
      <c r="BX149" s="56"/>
    </row>
    <row r="150">
      <c r="A150" s="48"/>
      <c r="B150" s="48"/>
      <c r="C150" s="48"/>
      <c r="D150" s="48"/>
      <c r="E150" s="48"/>
      <c r="F150" s="48"/>
      <c r="G150" s="48"/>
      <c r="H150" s="48"/>
      <c r="I150" s="48"/>
      <c r="J150" s="48"/>
      <c r="K150" s="64"/>
      <c r="L150" s="64"/>
      <c r="M150" s="48"/>
      <c r="N150" s="48"/>
      <c r="O150" s="48"/>
      <c r="P150" s="48"/>
      <c r="Q150" s="48"/>
      <c r="R150" s="48"/>
      <c r="S150" s="60"/>
      <c r="T150" s="48"/>
      <c r="U150" s="48"/>
      <c r="V150" s="48"/>
      <c r="W150" s="48"/>
      <c r="X150" s="48"/>
      <c r="Y150" s="48"/>
      <c r="Z150" s="48"/>
      <c r="AA150" s="48"/>
      <c r="AB150" s="48"/>
      <c r="AC150" s="48"/>
      <c r="AD150" s="48"/>
      <c r="AE150" s="48"/>
      <c r="AF150" s="60"/>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56"/>
      <c r="BJ150" s="56"/>
      <c r="BK150" s="56"/>
      <c r="BL150" s="56"/>
      <c r="BM150" s="56"/>
      <c r="BN150" s="56"/>
      <c r="BO150" s="56"/>
      <c r="BP150" s="56"/>
      <c r="BQ150" s="56"/>
      <c r="BR150" s="56"/>
      <c r="BS150" s="56"/>
      <c r="BT150" s="56"/>
      <c r="BU150" s="56"/>
      <c r="BV150" s="56"/>
      <c r="BW150" s="56"/>
      <c r="BX150" s="56"/>
    </row>
    <row r="151">
      <c r="A151" s="48"/>
      <c r="B151" s="48"/>
      <c r="C151" s="48"/>
      <c r="D151" s="48"/>
      <c r="E151" s="48"/>
      <c r="F151" s="48"/>
      <c r="G151" s="48"/>
      <c r="H151" s="48"/>
      <c r="I151" s="48"/>
      <c r="J151" s="48"/>
      <c r="K151" s="64"/>
      <c r="L151" s="64"/>
      <c r="M151" s="48"/>
      <c r="N151" s="48"/>
      <c r="O151" s="48"/>
      <c r="P151" s="48"/>
      <c r="Q151" s="48"/>
      <c r="R151" s="48"/>
      <c r="S151" s="60"/>
      <c r="T151" s="48"/>
      <c r="U151" s="48"/>
      <c r="V151" s="48"/>
      <c r="W151" s="48"/>
      <c r="X151" s="48"/>
      <c r="Y151" s="48"/>
      <c r="Z151" s="48"/>
      <c r="AA151" s="48"/>
      <c r="AB151" s="48"/>
      <c r="AC151" s="48"/>
      <c r="AD151" s="48"/>
      <c r="AE151" s="48"/>
      <c r="AF151" s="60"/>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56"/>
      <c r="BJ151" s="56"/>
      <c r="BK151" s="56"/>
      <c r="BL151" s="56"/>
      <c r="BM151" s="56"/>
      <c r="BN151" s="56"/>
      <c r="BO151" s="56"/>
      <c r="BP151" s="56"/>
      <c r="BQ151" s="56"/>
      <c r="BR151" s="56"/>
      <c r="BS151" s="56"/>
      <c r="BT151" s="56"/>
      <c r="BU151" s="56"/>
      <c r="BV151" s="56"/>
      <c r="BW151" s="56"/>
      <c r="BX151" s="56"/>
    </row>
    <row r="152">
      <c r="A152" s="48"/>
      <c r="B152" s="48"/>
      <c r="C152" s="48"/>
      <c r="D152" s="48"/>
      <c r="E152" s="48"/>
      <c r="F152" s="48"/>
      <c r="G152" s="48"/>
      <c r="H152" s="48"/>
      <c r="I152" s="48"/>
      <c r="J152" s="48"/>
      <c r="K152" s="64"/>
      <c r="L152" s="64"/>
      <c r="M152" s="48"/>
      <c r="N152" s="48"/>
      <c r="O152" s="48"/>
      <c r="P152" s="48"/>
      <c r="Q152" s="48"/>
      <c r="R152" s="48"/>
      <c r="S152" s="60"/>
      <c r="T152" s="48"/>
      <c r="U152" s="48"/>
      <c r="V152" s="48"/>
      <c r="W152" s="48"/>
      <c r="X152" s="48"/>
      <c r="Y152" s="48"/>
      <c r="Z152" s="48"/>
      <c r="AA152" s="48"/>
      <c r="AB152" s="48"/>
      <c r="AC152" s="48"/>
      <c r="AD152" s="48"/>
      <c r="AE152" s="48"/>
      <c r="AF152" s="60"/>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56"/>
      <c r="BJ152" s="56"/>
      <c r="BK152" s="56"/>
      <c r="BL152" s="56"/>
      <c r="BM152" s="56"/>
      <c r="BN152" s="56"/>
      <c r="BO152" s="56"/>
      <c r="BP152" s="56"/>
      <c r="BQ152" s="56"/>
      <c r="BR152" s="56"/>
      <c r="BS152" s="56"/>
      <c r="BT152" s="56"/>
      <c r="BU152" s="56"/>
      <c r="BV152" s="56"/>
      <c r="BW152" s="56"/>
      <c r="BX152" s="56"/>
    </row>
    <row r="153">
      <c r="A153" s="48"/>
      <c r="B153" s="48"/>
      <c r="C153" s="48"/>
      <c r="D153" s="48"/>
      <c r="E153" s="48"/>
      <c r="F153" s="48"/>
      <c r="G153" s="48"/>
      <c r="H153" s="48"/>
      <c r="I153" s="48"/>
      <c r="J153" s="48"/>
      <c r="K153" s="64"/>
      <c r="L153" s="64"/>
      <c r="M153" s="48"/>
      <c r="N153" s="48"/>
      <c r="O153" s="48"/>
      <c r="P153" s="48"/>
      <c r="Q153" s="48"/>
      <c r="R153" s="48"/>
      <c r="S153" s="60"/>
      <c r="T153" s="48"/>
      <c r="U153" s="48"/>
      <c r="V153" s="48"/>
      <c r="W153" s="48"/>
      <c r="X153" s="48"/>
      <c r="Y153" s="48"/>
      <c r="Z153" s="48"/>
      <c r="AA153" s="48"/>
      <c r="AB153" s="48"/>
      <c r="AC153" s="48"/>
      <c r="AD153" s="48"/>
      <c r="AE153" s="48"/>
      <c r="AF153" s="60"/>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56"/>
      <c r="BJ153" s="56"/>
      <c r="BK153" s="56"/>
      <c r="BL153" s="56"/>
      <c r="BM153" s="56"/>
      <c r="BN153" s="56"/>
      <c r="BO153" s="56"/>
      <c r="BP153" s="56"/>
      <c r="BQ153" s="56"/>
      <c r="BR153" s="56"/>
      <c r="BS153" s="56"/>
      <c r="BT153" s="56"/>
      <c r="BU153" s="56"/>
      <c r="BV153" s="56"/>
      <c r="BW153" s="56"/>
      <c r="BX153" s="56"/>
    </row>
    <row r="154">
      <c r="A154" s="48"/>
      <c r="B154" s="48"/>
      <c r="C154" s="48"/>
      <c r="D154" s="48"/>
      <c r="E154" s="48"/>
      <c r="F154" s="48"/>
      <c r="G154" s="48"/>
      <c r="H154" s="48"/>
      <c r="I154" s="48"/>
      <c r="J154" s="48"/>
      <c r="K154" s="64"/>
      <c r="L154" s="64"/>
      <c r="M154" s="48"/>
      <c r="N154" s="48"/>
      <c r="O154" s="48"/>
      <c r="P154" s="48"/>
      <c r="Q154" s="48"/>
      <c r="R154" s="48"/>
      <c r="S154" s="60"/>
      <c r="T154" s="48"/>
      <c r="U154" s="48"/>
      <c r="V154" s="48"/>
      <c r="W154" s="48"/>
      <c r="X154" s="48"/>
      <c r="Y154" s="48"/>
      <c r="Z154" s="48"/>
      <c r="AA154" s="48"/>
      <c r="AB154" s="48"/>
      <c r="AC154" s="48"/>
      <c r="AD154" s="48"/>
      <c r="AE154" s="48"/>
      <c r="AF154" s="60"/>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56"/>
      <c r="BJ154" s="56"/>
      <c r="BK154" s="56"/>
      <c r="BL154" s="56"/>
      <c r="BM154" s="56"/>
      <c r="BN154" s="56"/>
      <c r="BO154" s="56"/>
      <c r="BP154" s="56"/>
      <c r="BQ154" s="56"/>
      <c r="BR154" s="56"/>
      <c r="BS154" s="56"/>
      <c r="BT154" s="56"/>
      <c r="BU154" s="56"/>
      <c r="BV154" s="56"/>
      <c r="BW154" s="56"/>
      <c r="BX154" s="56"/>
    </row>
    <row r="155">
      <c r="A155" s="48"/>
      <c r="B155" s="48"/>
      <c r="C155" s="48"/>
      <c r="D155" s="48"/>
      <c r="E155" s="48"/>
      <c r="F155" s="48"/>
      <c r="G155" s="48"/>
      <c r="H155" s="48"/>
      <c r="I155" s="48"/>
      <c r="J155" s="48"/>
      <c r="K155" s="64"/>
      <c r="L155" s="64"/>
      <c r="M155" s="48"/>
      <c r="N155" s="48"/>
      <c r="O155" s="48"/>
      <c r="P155" s="48"/>
      <c r="Q155" s="48"/>
      <c r="R155" s="48"/>
      <c r="S155" s="60"/>
      <c r="T155" s="48"/>
      <c r="U155" s="48"/>
      <c r="V155" s="48"/>
      <c r="W155" s="48"/>
      <c r="X155" s="48"/>
      <c r="Y155" s="48"/>
      <c r="Z155" s="48"/>
      <c r="AA155" s="48"/>
      <c r="AB155" s="48"/>
      <c r="AC155" s="48"/>
      <c r="AD155" s="48"/>
      <c r="AE155" s="48"/>
      <c r="AF155" s="60"/>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56"/>
      <c r="BJ155" s="56"/>
      <c r="BK155" s="56"/>
      <c r="BL155" s="56"/>
      <c r="BM155" s="56"/>
      <c r="BN155" s="56"/>
      <c r="BO155" s="56"/>
      <c r="BP155" s="56"/>
      <c r="BQ155" s="56"/>
      <c r="BR155" s="56"/>
      <c r="BS155" s="56"/>
      <c r="BT155" s="56"/>
      <c r="BU155" s="56"/>
      <c r="BV155" s="56"/>
      <c r="BW155" s="56"/>
      <c r="BX155" s="56"/>
    </row>
    <row r="156">
      <c r="A156" s="48"/>
      <c r="B156" s="48"/>
      <c r="C156" s="48"/>
      <c r="D156" s="48"/>
      <c r="E156" s="48"/>
      <c r="F156" s="48"/>
      <c r="G156" s="48"/>
      <c r="H156" s="48"/>
      <c r="I156" s="48"/>
      <c r="J156" s="48"/>
      <c r="K156" s="64"/>
      <c r="L156" s="64"/>
      <c r="M156" s="48"/>
      <c r="N156" s="48"/>
      <c r="O156" s="48"/>
      <c r="P156" s="48"/>
      <c r="Q156" s="48"/>
      <c r="R156" s="48"/>
      <c r="S156" s="60"/>
      <c r="T156" s="48"/>
      <c r="U156" s="48"/>
      <c r="V156" s="48"/>
      <c r="W156" s="48"/>
      <c r="X156" s="48"/>
      <c r="Y156" s="48"/>
      <c r="Z156" s="48"/>
      <c r="AA156" s="48"/>
      <c r="AB156" s="48"/>
      <c r="AC156" s="48"/>
      <c r="AD156" s="48"/>
      <c r="AE156" s="48"/>
      <c r="AF156" s="60"/>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56"/>
      <c r="BJ156" s="56"/>
      <c r="BK156" s="56"/>
      <c r="BL156" s="56"/>
      <c r="BM156" s="56"/>
      <c r="BN156" s="56"/>
      <c r="BO156" s="56"/>
      <c r="BP156" s="56"/>
      <c r="BQ156" s="56"/>
      <c r="BR156" s="56"/>
      <c r="BS156" s="56"/>
      <c r="BT156" s="56"/>
      <c r="BU156" s="56"/>
      <c r="BV156" s="56"/>
      <c r="BW156" s="56"/>
      <c r="BX156" s="56"/>
    </row>
    <row r="157">
      <c r="A157" s="48"/>
      <c r="B157" s="48"/>
      <c r="C157" s="48"/>
      <c r="D157" s="48"/>
      <c r="E157" s="48"/>
      <c r="F157" s="48"/>
      <c r="G157" s="48"/>
      <c r="H157" s="48"/>
      <c r="I157" s="48"/>
      <c r="J157" s="48"/>
      <c r="K157" s="64"/>
      <c r="L157" s="64"/>
      <c r="M157" s="48"/>
      <c r="N157" s="48"/>
      <c r="O157" s="48"/>
      <c r="P157" s="48"/>
      <c r="Q157" s="48"/>
      <c r="R157" s="48"/>
      <c r="S157" s="60"/>
      <c r="T157" s="48"/>
      <c r="U157" s="48"/>
      <c r="V157" s="48"/>
      <c r="W157" s="48"/>
      <c r="X157" s="48"/>
      <c r="Y157" s="48"/>
      <c r="Z157" s="48"/>
      <c r="AA157" s="48"/>
      <c r="AB157" s="48"/>
      <c r="AC157" s="48"/>
      <c r="AD157" s="48"/>
      <c r="AE157" s="48"/>
      <c r="AF157" s="60"/>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56"/>
      <c r="BJ157" s="56"/>
      <c r="BK157" s="56"/>
      <c r="BL157" s="56"/>
      <c r="BM157" s="56"/>
      <c r="BN157" s="56"/>
      <c r="BO157" s="56"/>
      <c r="BP157" s="56"/>
      <c r="BQ157" s="56"/>
      <c r="BR157" s="56"/>
      <c r="BS157" s="56"/>
      <c r="BT157" s="56"/>
      <c r="BU157" s="56"/>
      <c r="BV157" s="56"/>
      <c r="BW157" s="56"/>
      <c r="BX157" s="56"/>
    </row>
    <row r="158">
      <c r="A158" s="48"/>
      <c r="B158" s="48"/>
      <c r="C158" s="48"/>
      <c r="D158" s="48"/>
      <c r="E158" s="48"/>
      <c r="F158" s="48"/>
      <c r="G158" s="48"/>
      <c r="H158" s="48"/>
      <c r="I158" s="48"/>
      <c r="J158" s="48"/>
      <c r="K158" s="64"/>
      <c r="L158" s="64"/>
      <c r="M158" s="48"/>
      <c r="N158" s="48"/>
      <c r="O158" s="48"/>
      <c r="P158" s="48"/>
      <c r="Q158" s="48"/>
      <c r="R158" s="48"/>
      <c r="S158" s="60"/>
      <c r="T158" s="48"/>
      <c r="U158" s="48"/>
      <c r="V158" s="48"/>
      <c r="W158" s="48"/>
      <c r="X158" s="48"/>
      <c r="Y158" s="48"/>
      <c r="Z158" s="48"/>
      <c r="AA158" s="48"/>
      <c r="AB158" s="48"/>
      <c r="AC158" s="48"/>
      <c r="AD158" s="48"/>
      <c r="AE158" s="48"/>
      <c r="AF158" s="60"/>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56"/>
      <c r="BJ158" s="56"/>
      <c r="BK158" s="56"/>
      <c r="BL158" s="56"/>
      <c r="BM158" s="56"/>
      <c r="BN158" s="56"/>
      <c r="BO158" s="56"/>
      <c r="BP158" s="56"/>
      <c r="BQ158" s="56"/>
      <c r="BR158" s="56"/>
      <c r="BS158" s="56"/>
      <c r="BT158" s="56"/>
      <c r="BU158" s="56"/>
      <c r="BV158" s="56"/>
      <c r="BW158" s="56"/>
      <c r="BX158" s="56"/>
    </row>
    <row r="159">
      <c r="A159" s="48"/>
      <c r="B159" s="48"/>
      <c r="C159" s="48"/>
      <c r="D159" s="48"/>
      <c r="E159" s="48"/>
      <c r="F159" s="48"/>
      <c r="G159" s="48"/>
      <c r="H159" s="48"/>
      <c r="I159" s="48"/>
      <c r="J159" s="48"/>
      <c r="K159" s="64"/>
      <c r="L159" s="64"/>
      <c r="M159" s="48"/>
      <c r="N159" s="48"/>
      <c r="O159" s="48"/>
      <c r="P159" s="48"/>
      <c r="Q159" s="48"/>
      <c r="R159" s="48"/>
      <c r="S159" s="60"/>
      <c r="T159" s="48"/>
      <c r="U159" s="48"/>
      <c r="V159" s="48"/>
      <c r="W159" s="48"/>
      <c r="X159" s="48"/>
      <c r="Y159" s="48"/>
      <c r="Z159" s="48"/>
      <c r="AA159" s="48"/>
      <c r="AB159" s="48"/>
      <c r="AC159" s="48"/>
      <c r="AD159" s="48"/>
      <c r="AE159" s="48"/>
      <c r="AF159" s="60"/>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56"/>
      <c r="BJ159" s="56"/>
      <c r="BK159" s="56"/>
      <c r="BL159" s="56"/>
      <c r="BM159" s="56"/>
      <c r="BN159" s="56"/>
      <c r="BO159" s="56"/>
      <c r="BP159" s="56"/>
      <c r="BQ159" s="56"/>
      <c r="BR159" s="56"/>
      <c r="BS159" s="56"/>
      <c r="BT159" s="56"/>
      <c r="BU159" s="56"/>
      <c r="BV159" s="56"/>
      <c r="BW159" s="56"/>
      <c r="BX159" s="56"/>
    </row>
    <row r="160">
      <c r="A160" s="48"/>
      <c r="B160" s="48"/>
      <c r="C160" s="48"/>
      <c r="D160" s="48"/>
      <c r="E160" s="48"/>
      <c r="F160" s="48"/>
      <c r="G160" s="48"/>
      <c r="H160" s="48"/>
      <c r="I160" s="48"/>
      <c r="J160" s="48"/>
      <c r="K160" s="64"/>
      <c r="L160" s="64"/>
      <c r="M160" s="48"/>
      <c r="N160" s="48"/>
      <c r="O160" s="48"/>
      <c r="P160" s="48"/>
      <c r="Q160" s="48"/>
      <c r="R160" s="48"/>
      <c r="S160" s="60"/>
      <c r="T160" s="48"/>
      <c r="U160" s="48"/>
      <c r="V160" s="48"/>
      <c r="W160" s="48"/>
      <c r="X160" s="48"/>
      <c r="Y160" s="48"/>
      <c r="Z160" s="48"/>
      <c r="AA160" s="48"/>
      <c r="AB160" s="48"/>
      <c r="AC160" s="48"/>
      <c r="AD160" s="48"/>
      <c r="AE160" s="48"/>
      <c r="AF160" s="60"/>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56"/>
      <c r="BJ160" s="56"/>
      <c r="BK160" s="56"/>
      <c r="BL160" s="56"/>
      <c r="BM160" s="56"/>
      <c r="BN160" s="56"/>
      <c r="BO160" s="56"/>
      <c r="BP160" s="56"/>
      <c r="BQ160" s="56"/>
      <c r="BR160" s="56"/>
      <c r="BS160" s="56"/>
      <c r="BT160" s="56"/>
      <c r="BU160" s="56"/>
      <c r="BV160" s="56"/>
      <c r="BW160" s="56"/>
      <c r="BX160" s="56"/>
    </row>
    <row r="161">
      <c r="A161" s="48"/>
      <c r="B161" s="48"/>
      <c r="C161" s="48"/>
      <c r="D161" s="48"/>
      <c r="E161" s="48"/>
      <c r="F161" s="48"/>
      <c r="G161" s="48"/>
      <c r="H161" s="48"/>
      <c r="I161" s="48"/>
      <c r="J161" s="48"/>
      <c r="K161" s="64"/>
      <c r="L161" s="64"/>
      <c r="M161" s="48"/>
      <c r="N161" s="48"/>
      <c r="O161" s="48"/>
      <c r="P161" s="48"/>
      <c r="Q161" s="48"/>
      <c r="R161" s="48"/>
      <c r="S161" s="60"/>
      <c r="T161" s="48"/>
      <c r="U161" s="48"/>
      <c r="V161" s="48"/>
      <c r="W161" s="48"/>
      <c r="X161" s="48"/>
      <c r="Y161" s="48"/>
      <c r="Z161" s="48"/>
      <c r="AA161" s="48"/>
      <c r="AB161" s="48"/>
      <c r="AC161" s="48"/>
      <c r="AD161" s="48"/>
      <c r="AE161" s="48"/>
      <c r="AF161" s="60"/>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56"/>
      <c r="BJ161" s="56"/>
      <c r="BK161" s="56"/>
      <c r="BL161" s="56"/>
      <c r="BM161" s="56"/>
      <c r="BN161" s="56"/>
      <c r="BO161" s="56"/>
      <c r="BP161" s="56"/>
      <c r="BQ161" s="56"/>
      <c r="BR161" s="56"/>
      <c r="BS161" s="56"/>
      <c r="BT161" s="56"/>
      <c r="BU161" s="56"/>
      <c r="BV161" s="56"/>
      <c r="BW161" s="56"/>
      <c r="BX161" s="56"/>
    </row>
    <row r="162">
      <c r="A162" s="48"/>
      <c r="B162" s="48"/>
      <c r="C162" s="48"/>
      <c r="D162" s="48"/>
      <c r="E162" s="48"/>
      <c r="F162" s="48"/>
      <c r="G162" s="48"/>
      <c r="H162" s="48"/>
      <c r="I162" s="48"/>
      <c r="J162" s="48"/>
      <c r="K162" s="64"/>
      <c r="L162" s="64"/>
      <c r="M162" s="48"/>
      <c r="N162" s="48"/>
      <c r="O162" s="48"/>
      <c r="P162" s="48"/>
      <c r="Q162" s="48"/>
      <c r="R162" s="48"/>
      <c r="S162" s="60"/>
      <c r="T162" s="48"/>
      <c r="U162" s="48"/>
      <c r="V162" s="48"/>
      <c r="W162" s="48"/>
      <c r="X162" s="48"/>
      <c r="Y162" s="48"/>
      <c r="Z162" s="48"/>
      <c r="AA162" s="48"/>
      <c r="AB162" s="48"/>
      <c r="AC162" s="48"/>
      <c r="AD162" s="48"/>
      <c r="AE162" s="48"/>
      <c r="AF162" s="60"/>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56"/>
      <c r="BJ162" s="56"/>
      <c r="BK162" s="56"/>
      <c r="BL162" s="56"/>
      <c r="BM162" s="56"/>
      <c r="BN162" s="56"/>
      <c r="BO162" s="56"/>
      <c r="BP162" s="56"/>
      <c r="BQ162" s="56"/>
      <c r="BR162" s="56"/>
      <c r="BS162" s="56"/>
      <c r="BT162" s="56"/>
      <c r="BU162" s="56"/>
      <c r="BV162" s="56"/>
      <c r="BW162" s="56"/>
      <c r="BX162" s="56"/>
    </row>
    <row r="163">
      <c r="A163" s="48"/>
      <c r="B163" s="48"/>
      <c r="C163" s="48"/>
      <c r="D163" s="48"/>
      <c r="E163" s="48"/>
      <c r="F163" s="48"/>
      <c r="G163" s="48"/>
      <c r="H163" s="48"/>
      <c r="I163" s="48"/>
      <c r="J163" s="48"/>
      <c r="K163" s="64"/>
      <c r="L163" s="64"/>
      <c r="M163" s="48"/>
      <c r="N163" s="48"/>
      <c r="O163" s="48"/>
      <c r="P163" s="48"/>
      <c r="Q163" s="48"/>
      <c r="R163" s="48"/>
      <c r="S163" s="60"/>
      <c r="T163" s="48"/>
      <c r="U163" s="48"/>
      <c r="V163" s="48"/>
      <c r="W163" s="48"/>
      <c r="X163" s="48"/>
      <c r="Y163" s="48"/>
      <c r="Z163" s="48"/>
      <c r="AA163" s="48"/>
      <c r="AB163" s="48"/>
      <c r="AC163" s="48"/>
      <c r="AD163" s="48"/>
      <c r="AE163" s="48"/>
      <c r="AF163" s="60"/>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56"/>
      <c r="BJ163" s="56"/>
      <c r="BK163" s="56"/>
      <c r="BL163" s="56"/>
      <c r="BM163" s="56"/>
      <c r="BN163" s="56"/>
      <c r="BO163" s="56"/>
      <c r="BP163" s="56"/>
      <c r="BQ163" s="56"/>
      <c r="BR163" s="56"/>
      <c r="BS163" s="56"/>
      <c r="BT163" s="56"/>
      <c r="BU163" s="56"/>
      <c r="BV163" s="56"/>
      <c r="BW163" s="56"/>
      <c r="BX163" s="56"/>
    </row>
    <row r="164">
      <c r="A164" s="48"/>
      <c r="B164" s="48"/>
      <c r="C164" s="48"/>
      <c r="D164" s="48"/>
      <c r="E164" s="48"/>
      <c r="F164" s="48"/>
      <c r="G164" s="48"/>
      <c r="H164" s="48"/>
      <c r="I164" s="48"/>
      <c r="J164" s="48"/>
      <c r="K164" s="64"/>
      <c r="L164" s="64"/>
      <c r="M164" s="48"/>
      <c r="N164" s="48"/>
      <c r="O164" s="48"/>
      <c r="P164" s="48"/>
      <c r="Q164" s="48"/>
      <c r="R164" s="48"/>
      <c r="S164" s="60"/>
      <c r="T164" s="48"/>
      <c r="U164" s="48"/>
      <c r="V164" s="48"/>
      <c r="W164" s="48"/>
      <c r="X164" s="48"/>
      <c r="Y164" s="48"/>
      <c r="Z164" s="48"/>
      <c r="AA164" s="48"/>
      <c r="AB164" s="48"/>
      <c r="AC164" s="48"/>
      <c r="AD164" s="48"/>
      <c r="AE164" s="48"/>
      <c r="AF164" s="60"/>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56"/>
      <c r="BJ164" s="56"/>
      <c r="BK164" s="56"/>
      <c r="BL164" s="56"/>
      <c r="BM164" s="56"/>
      <c r="BN164" s="56"/>
      <c r="BO164" s="56"/>
      <c r="BP164" s="56"/>
      <c r="BQ164" s="56"/>
      <c r="BR164" s="56"/>
      <c r="BS164" s="56"/>
      <c r="BT164" s="56"/>
      <c r="BU164" s="56"/>
      <c r="BV164" s="56"/>
      <c r="BW164" s="56"/>
      <c r="BX164" s="56"/>
    </row>
    <row r="165">
      <c r="A165" s="48"/>
      <c r="B165" s="48"/>
      <c r="C165" s="48"/>
      <c r="D165" s="48"/>
      <c r="E165" s="48"/>
      <c r="F165" s="48"/>
      <c r="G165" s="48"/>
      <c r="H165" s="48"/>
      <c r="I165" s="48"/>
      <c r="J165" s="48"/>
      <c r="K165" s="64"/>
      <c r="L165" s="64"/>
      <c r="M165" s="48"/>
      <c r="N165" s="48"/>
      <c r="O165" s="48"/>
      <c r="P165" s="48"/>
      <c r="Q165" s="48"/>
      <c r="R165" s="48"/>
      <c r="S165" s="60"/>
      <c r="T165" s="48"/>
      <c r="U165" s="48"/>
      <c r="V165" s="48"/>
      <c r="W165" s="48"/>
      <c r="X165" s="48"/>
      <c r="Y165" s="48"/>
      <c r="Z165" s="48"/>
      <c r="AA165" s="48"/>
      <c r="AB165" s="48"/>
      <c r="AC165" s="48"/>
      <c r="AD165" s="48"/>
      <c r="AE165" s="48"/>
      <c r="AF165" s="60"/>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56"/>
      <c r="BJ165" s="56"/>
      <c r="BK165" s="56"/>
      <c r="BL165" s="56"/>
      <c r="BM165" s="56"/>
      <c r="BN165" s="56"/>
      <c r="BO165" s="56"/>
      <c r="BP165" s="56"/>
      <c r="BQ165" s="56"/>
      <c r="BR165" s="56"/>
      <c r="BS165" s="56"/>
      <c r="BT165" s="56"/>
      <c r="BU165" s="56"/>
      <c r="BV165" s="56"/>
      <c r="BW165" s="56"/>
      <c r="BX165" s="56"/>
    </row>
    <row r="166">
      <c r="A166" s="48"/>
      <c r="B166" s="48"/>
      <c r="C166" s="48"/>
      <c r="D166" s="48"/>
      <c r="E166" s="48"/>
      <c r="F166" s="48"/>
      <c r="G166" s="48"/>
      <c r="H166" s="48"/>
      <c r="I166" s="48"/>
      <c r="J166" s="48"/>
      <c r="K166" s="64"/>
      <c r="L166" s="64"/>
      <c r="M166" s="48"/>
      <c r="N166" s="48"/>
      <c r="O166" s="48"/>
      <c r="P166" s="48"/>
      <c r="Q166" s="48"/>
      <c r="R166" s="48"/>
      <c r="S166" s="60"/>
      <c r="T166" s="48"/>
      <c r="U166" s="48"/>
      <c r="V166" s="48"/>
      <c r="W166" s="48"/>
      <c r="X166" s="48"/>
      <c r="Y166" s="48"/>
      <c r="Z166" s="48"/>
      <c r="AA166" s="48"/>
      <c r="AB166" s="48"/>
      <c r="AC166" s="48"/>
      <c r="AD166" s="48"/>
      <c r="AE166" s="48"/>
      <c r="AF166" s="60"/>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56"/>
      <c r="BJ166" s="56"/>
      <c r="BK166" s="56"/>
      <c r="BL166" s="56"/>
      <c r="BM166" s="56"/>
      <c r="BN166" s="56"/>
      <c r="BO166" s="56"/>
      <c r="BP166" s="56"/>
      <c r="BQ166" s="56"/>
      <c r="BR166" s="56"/>
      <c r="BS166" s="56"/>
      <c r="BT166" s="56"/>
      <c r="BU166" s="56"/>
      <c r="BV166" s="56"/>
      <c r="BW166" s="56"/>
      <c r="BX166" s="56"/>
    </row>
    <row r="167">
      <c r="A167" s="48"/>
      <c r="B167" s="48"/>
      <c r="C167" s="48"/>
      <c r="D167" s="48"/>
      <c r="E167" s="48"/>
      <c r="F167" s="48"/>
      <c r="G167" s="48"/>
      <c r="H167" s="48"/>
      <c r="I167" s="48"/>
      <c r="J167" s="48"/>
      <c r="K167" s="64"/>
      <c r="L167" s="64"/>
      <c r="M167" s="48"/>
      <c r="N167" s="48"/>
      <c r="O167" s="48"/>
      <c r="P167" s="48"/>
      <c r="Q167" s="48"/>
      <c r="R167" s="48"/>
      <c r="S167" s="60"/>
      <c r="T167" s="48"/>
      <c r="U167" s="48"/>
      <c r="V167" s="48"/>
      <c r="W167" s="48"/>
      <c r="X167" s="48"/>
      <c r="Y167" s="48"/>
      <c r="Z167" s="48"/>
      <c r="AA167" s="48"/>
      <c r="AB167" s="48"/>
      <c r="AC167" s="48"/>
      <c r="AD167" s="48"/>
      <c r="AE167" s="48"/>
      <c r="AF167" s="60"/>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56"/>
      <c r="BJ167" s="56"/>
      <c r="BK167" s="56"/>
      <c r="BL167" s="56"/>
      <c r="BM167" s="56"/>
      <c r="BN167" s="56"/>
      <c r="BO167" s="56"/>
      <c r="BP167" s="56"/>
      <c r="BQ167" s="56"/>
      <c r="BR167" s="56"/>
      <c r="BS167" s="56"/>
      <c r="BT167" s="56"/>
      <c r="BU167" s="56"/>
      <c r="BV167" s="56"/>
      <c r="BW167" s="56"/>
      <c r="BX167" s="56"/>
    </row>
    <row r="168">
      <c r="A168" s="48"/>
      <c r="B168" s="48"/>
      <c r="C168" s="48"/>
      <c r="D168" s="48"/>
      <c r="E168" s="48"/>
      <c r="F168" s="48"/>
      <c r="G168" s="48"/>
      <c r="H168" s="48"/>
      <c r="I168" s="48"/>
      <c r="J168" s="48"/>
      <c r="K168" s="64"/>
      <c r="L168" s="64"/>
      <c r="M168" s="48"/>
      <c r="N168" s="48"/>
      <c r="O168" s="48"/>
      <c r="P168" s="48"/>
      <c r="Q168" s="48"/>
      <c r="R168" s="48"/>
      <c r="S168" s="60"/>
      <c r="T168" s="48"/>
      <c r="U168" s="48"/>
      <c r="V168" s="48"/>
      <c r="W168" s="48"/>
      <c r="X168" s="48"/>
      <c r="Y168" s="48"/>
      <c r="Z168" s="48"/>
      <c r="AA168" s="48"/>
      <c r="AB168" s="48"/>
      <c r="AC168" s="48"/>
      <c r="AD168" s="48"/>
      <c r="AE168" s="48"/>
      <c r="AF168" s="60"/>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56"/>
      <c r="BJ168" s="56"/>
      <c r="BK168" s="56"/>
      <c r="BL168" s="56"/>
      <c r="BM168" s="56"/>
      <c r="BN168" s="56"/>
      <c r="BO168" s="56"/>
      <c r="BP168" s="56"/>
      <c r="BQ168" s="56"/>
      <c r="BR168" s="56"/>
      <c r="BS168" s="56"/>
      <c r="BT168" s="56"/>
      <c r="BU168" s="56"/>
      <c r="BV168" s="56"/>
      <c r="BW168" s="56"/>
      <c r="BX168" s="56"/>
    </row>
    <row r="169">
      <c r="A169" s="48"/>
      <c r="B169" s="48"/>
      <c r="C169" s="48"/>
      <c r="D169" s="48"/>
      <c r="E169" s="48"/>
      <c r="F169" s="48"/>
      <c r="G169" s="48"/>
      <c r="H169" s="48"/>
      <c r="I169" s="48"/>
      <c r="J169" s="48"/>
      <c r="K169" s="64"/>
      <c r="L169" s="64"/>
      <c r="M169" s="48"/>
      <c r="N169" s="48"/>
      <c r="O169" s="48"/>
      <c r="P169" s="48"/>
      <c r="Q169" s="48"/>
      <c r="R169" s="48"/>
      <c r="S169" s="60"/>
      <c r="T169" s="48"/>
      <c r="U169" s="48"/>
      <c r="V169" s="48"/>
      <c r="W169" s="48"/>
      <c r="X169" s="48"/>
      <c r="Y169" s="48"/>
      <c r="Z169" s="48"/>
      <c r="AA169" s="48"/>
      <c r="AB169" s="48"/>
      <c r="AC169" s="48"/>
      <c r="AD169" s="48"/>
      <c r="AE169" s="48"/>
      <c r="AF169" s="60"/>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56"/>
      <c r="BJ169" s="56"/>
      <c r="BK169" s="56"/>
      <c r="BL169" s="56"/>
      <c r="BM169" s="56"/>
      <c r="BN169" s="56"/>
      <c r="BO169" s="56"/>
      <c r="BP169" s="56"/>
      <c r="BQ169" s="56"/>
      <c r="BR169" s="56"/>
      <c r="BS169" s="56"/>
      <c r="BT169" s="56"/>
      <c r="BU169" s="56"/>
      <c r="BV169" s="56"/>
      <c r="BW169" s="56"/>
      <c r="BX169" s="56"/>
    </row>
    <row r="170">
      <c r="A170" s="48"/>
      <c r="B170" s="48"/>
      <c r="C170" s="48"/>
      <c r="D170" s="48"/>
      <c r="E170" s="48"/>
      <c r="F170" s="48"/>
      <c r="G170" s="48"/>
      <c r="H170" s="48"/>
      <c r="I170" s="48"/>
      <c r="J170" s="48"/>
      <c r="K170" s="64"/>
      <c r="L170" s="64"/>
      <c r="M170" s="48"/>
      <c r="N170" s="48"/>
      <c r="O170" s="48"/>
      <c r="P170" s="48"/>
      <c r="Q170" s="48"/>
      <c r="R170" s="48"/>
      <c r="S170" s="60"/>
      <c r="T170" s="48"/>
      <c r="U170" s="48"/>
      <c r="V170" s="48"/>
      <c r="W170" s="48"/>
      <c r="X170" s="48"/>
      <c r="Y170" s="48"/>
      <c r="Z170" s="48"/>
      <c r="AA170" s="48"/>
      <c r="AB170" s="48"/>
      <c r="AC170" s="48"/>
      <c r="AD170" s="48"/>
      <c r="AE170" s="48"/>
      <c r="AF170" s="60"/>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56"/>
      <c r="BJ170" s="56"/>
      <c r="BK170" s="56"/>
      <c r="BL170" s="56"/>
      <c r="BM170" s="56"/>
      <c r="BN170" s="56"/>
      <c r="BO170" s="56"/>
      <c r="BP170" s="56"/>
      <c r="BQ170" s="56"/>
      <c r="BR170" s="56"/>
      <c r="BS170" s="56"/>
      <c r="BT170" s="56"/>
      <c r="BU170" s="56"/>
      <c r="BV170" s="56"/>
      <c r="BW170" s="56"/>
      <c r="BX170" s="56"/>
    </row>
    <row r="171">
      <c r="A171" s="48"/>
      <c r="B171" s="48"/>
      <c r="C171" s="48"/>
      <c r="D171" s="48"/>
      <c r="E171" s="48"/>
      <c r="F171" s="48"/>
      <c r="G171" s="48"/>
      <c r="H171" s="48"/>
      <c r="I171" s="48"/>
      <c r="J171" s="48"/>
      <c r="K171" s="64"/>
      <c r="L171" s="64"/>
      <c r="M171" s="48"/>
      <c r="N171" s="48"/>
      <c r="O171" s="48"/>
      <c r="P171" s="48"/>
      <c r="Q171" s="48"/>
      <c r="R171" s="48"/>
      <c r="S171" s="60"/>
      <c r="T171" s="48"/>
      <c r="U171" s="48"/>
      <c r="V171" s="48"/>
      <c r="W171" s="48"/>
      <c r="X171" s="48"/>
      <c r="Y171" s="48"/>
      <c r="Z171" s="48"/>
      <c r="AA171" s="48"/>
      <c r="AB171" s="48"/>
      <c r="AC171" s="48"/>
      <c r="AD171" s="48"/>
      <c r="AE171" s="48"/>
      <c r="AF171" s="60"/>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56"/>
      <c r="BJ171" s="56"/>
      <c r="BK171" s="56"/>
      <c r="BL171" s="56"/>
      <c r="BM171" s="56"/>
      <c r="BN171" s="56"/>
      <c r="BO171" s="56"/>
      <c r="BP171" s="56"/>
      <c r="BQ171" s="56"/>
      <c r="BR171" s="56"/>
      <c r="BS171" s="56"/>
      <c r="BT171" s="56"/>
      <c r="BU171" s="56"/>
      <c r="BV171" s="56"/>
      <c r="BW171" s="56"/>
      <c r="BX171" s="56"/>
    </row>
    <row r="172">
      <c r="A172" s="48"/>
      <c r="B172" s="48"/>
      <c r="C172" s="48"/>
      <c r="D172" s="48"/>
      <c r="E172" s="48"/>
      <c r="F172" s="48"/>
      <c r="G172" s="48"/>
      <c r="H172" s="48"/>
      <c r="I172" s="48"/>
      <c r="J172" s="48"/>
      <c r="K172" s="64"/>
      <c r="L172" s="64"/>
      <c r="M172" s="48"/>
      <c r="N172" s="48"/>
      <c r="O172" s="48"/>
      <c r="P172" s="48"/>
      <c r="Q172" s="48"/>
      <c r="R172" s="48"/>
      <c r="S172" s="60"/>
      <c r="T172" s="48"/>
      <c r="U172" s="48"/>
      <c r="V172" s="48"/>
      <c r="W172" s="48"/>
      <c r="X172" s="48"/>
      <c r="Y172" s="48"/>
      <c r="Z172" s="48"/>
      <c r="AA172" s="48"/>
      <c r="AB172" s="48"/>
      <c r="AC172" s="48"/>
      <c r="AD172" s="48"/>
      <c r="AE172" s="48"/>
      <c r="AF172" s="60"/>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56"/>
      <c r="BJ172" s="56"/>
      <c r="BK172" s="56"/>
      <c r="BL172" s="56"/>
      <c r="BM172" s="56"/>
      <c r="BN172" s="56"/>
      <c r="BO172" s="56"/>
      <c r="BP172" s="56"/>
      <c r="BQ172" s="56"/>
      <c r="BR172" s="56"/>
      <c r="BS172" s="56"/>
      <c r="BT172" s="56"/>
      <c r="BU172" s="56"/>
      <c r="BV172" s="56"/>
      <c r="BW172" s="56"/>
      <c r="BX172" s="56"/>
    </row>
    <row r="173">
      <c r="A173" s="48"/>
      <c r="B173" s="48"/>
      <c r="C173" s="48"/>
      <c r="D173" s="48"/>
      <c r="E173" s="48"/>
      <c r="F173" s="48"/>
      <c r="G173" s="48"/>
      <c r="H173" s="48"/>
      <c r="I173" s="48"/>
      <c r="J173" s="48"/>
      <c r="K173" s="64"/>
      <c r="L173" s="64"/>
      <c r="M173" s="48"/>
      <c r="N173" s="48"/>
      <c r="O173" s="48"/>
      <c r="P173" s="48"/>
      <c r="Q173" s="48"/>
      <c r="R173" s="48"/>
      <c r="S173" s="60"/>
      <c r="T173" s="48"/>
      <c r="U173" s="48"/>
      <c r="V173" s="48"/>
      <c r="W173" s="48"/>
      <c r="X173" s="48"/>
      <c r="Y173" s="48"/>
      <c r="Z173" s="48"/>
      <c r="AA173" s="48"/>
      <c r="AB173" s="48"/>
      <c r="AC173" s="48"/>
      <c r="AD173" s="48"/>
      <c r="AE173" s="48"/>
      <c r="AF173" s="60"/>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56"/>
      <c r="BJ173" s="56"/>
      <c r="BK173" s="56"/>
      <c r="BL173" s="56"/>
      <c r="BM173" s="56"/>
      <c r="BN173" s="56"/>
      <c r="BO173" s="56"/>
      <c r="BP173" s="56"/>
      <c r="BQ173" s="56"/>
      <c r="BR173" s="56"/>
      <c r="BS173" s="56"/>
      <c r="BT173" s="56"/>
      <c r="BU173" s="56"/>
      <c r="BV173" s="56"/>
      <c r="BW173" s="56"/>
      <c r="BX173" s="56"/>
    </row>
    <row r="174">
      <c r="A174" s="48"/>
      <c r="B174" s="48"/>
      <c r="C174" s="48"/>
      <c r="D174" s="48"/>
      <c r="E174" s="48"/>
      <c r="F174" s="48"/>
      <c r="G174" s="48"/>
      <c r="H174" s="48"/>
      <c r="I174" s="48"/>
      <c r="J174" s="48"/>
      <c r="K174" s="64"/>
      <c r="L174" s="64"/>
      <c r="M174" s="48"/>
      <c r="N174" s="48"/>
      <c r="O174" s="48"/>
      <c r="P174" s="48"/>
      <c r="Q174" s="48"/>
      <c r="R174" s="48"/>
      <c r="S174" s="60"/>
      <c r="T174" s="48"/>
      <c r="U174" s="48"/>
      <c r="V174" s="48"/>
      <c r="W174" s="48"/>
      <c r="X174" s="48"/>
      <c r="Y174" s="48"/>
      <c r="Z174" s="48"/>
      <c r="AA174" s="48"/>
      <c r="AB174" s="48"/>
      <c r="AC174" s="48"/>
      <c r="AD174" s="48"/>
      <c r="AE174" s="48"/>
      <c r="AF174" s="60"/>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56"/>
      <c r="BJ174" s="56"/>
      <c r="BK174" s="56"/>
      <c r="BL174" s="56"/>
      <c r="BM174" s="56"/>
      <c r="BN174" s="56"/>
      <c r="BO174" s="56"/>
      <c r="BP174" s="56"/>
      <c r="BQ174" s="56"/>
      <c r="BR174" s="56"/>
      <c r="BS174" s="56"/>
      <c r="BT174" s="56"/>
      <c r="BU174" s="56"/>
      <c r="BV174" s="56"/>
      <c r="BW174" s="56"/>
      <c r="BX174" s="56"/>
    </row>
    <row r="175">
      <c r="A175" s="48"/>
      <c r="B175" s="48"/>
      <c r="C175" s="48"/>
      <c r="D175" s="48"/>
      <c r="E175" s="48"/>
      <c r="F175" s="48"/>
      <c r="G175" s="48"/>
      <c r="H175" s="48"/>
      <c r="I175" s="48"/>
      <c r="J175" s="48"/>
      <c r="K175" s="64"/>
      <c r="L175" s="64"/>
      <c r="M175" s="48"/>
      <c r="N175" s="48"/>
      <c r="O175" s="48"/>
      <c r="P175" s="48"/>
      <c r="Q175" s="48"/>
      <c r="R175" s="48"/>
      <c r="S175" s="60"/>
      <c r="T175" s="48"/>
      <c r="U175" s="48"/>
      <c r="V175" s="48"/>
      <c r="W175" s="48"/>
      <c r="X175" s="48"/>
      <c r="Y175" s="48"/>
      <c r="Z175" s="48"/>
      <c r="AA175" s="48"/>
      <c r="AB175" s="48"/>
      <c r="AC175" s="48"/>
      <c r="AD175" s="48"/>
      <c r="AE175" s="48"/>
      <c r="AF175" s="60"/>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56"/>
      <c r="BJ175" s="56"/>
      <c r="BK175" s="56"/>
      <c r="BL175" s="56"/>
      <c r="BM175" s="56"/>
      <c r="BN175" s="56"/>
      <c r="BO175" s="56"/>
      <c r="BP175" s="56"/>
      <c r="BQ175" s="56"/>
      <c r="BR175" s="56"/>
      <c r="BS175" s="56"/>
      <c r="BT175" s="56"/>
      <c r="BU175" s="56"/>
      <c r="BV175" s="56"/>
      <c r="BW175" s="56"/>
      <c r="BX175" s="56"/>
    </row>
    <row r="176">
      <c r="A176" s="48"/>
      <c r="B176" s="48"/>
      <c r="C176" s="48"/>
      <c r="D176" s="48"/>
      <c r="E176" s="48"/>
      <c r="F176" s="48"/>
      <c r="G176" s="48"/>
      <c r="H176" s="48"/>
      <c r="I176" s="48"/>
      <c r="J176" s="48"/>
      <c r="K176" s="64"/>
      <c r="L176" s="64"/>
      <c r="M176" s="48"/>
      <c r="N176" s="48"/>
      <c r="O176" s="48"/>
      <c r="P176" s="48"/>
      <c r="Q176" s="48"/>
      <c r="R176" s="48"/>
      <c r="S176" s="60"/>
      <c r="T176" s="48"/>
      <c r="U176" s="48"/>
      <c r="V176" s="48"/>
      <c r="W176" s="48"/>
      <c r="X176" s="48"/>
      <c r="Y176" s="48"/>
      <c r="Z176" s="48"/>
      <c r="AA176" s="48"/>
      <c r="AB176" s="48"/>
      <c r="AC176" s="48"/>
      <c r="AD176" s="48"/>
      <c r="AE176" s="48"/>
      <c r="AF176" s="60"/>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56"/>
      <c r="BJ176" s="56"/>
      <c r="BK176" s="56"/>
      <c r="BL176" s="56"/>
      <c r="BM176" s="56"/>
      <c r="BN176" s="56"/>
      <c r="BO176" s="56"/>
      <c r="BP176" s="56"/>
      <c r="BQ176" s="56"/>
      <c r="BR176" s="56"/>
      <c r="BS176" s="56"/>
      <c r="BT176" s="56"/>
      <c r="BU176" s="56"/>
      <c r="BV176" s="56"/>
      <c r="BW176" s="56"/>
      <c r="BX176" s="56"/>
    </row>
    <row r="177">
      <c r="A177" s="48"/>
      <c r="B177" s="48"/>
      <c r="C177" s="48"/>
      <c r="D177" s="48"/>
      <c r="E177" s="48"/>
      <c r="F177" s="48"/>
      <c r="G177" s="48"/>
      <c r="H177" s="48"/>
      <c r="I177" s="48"/>
      <c r="J177" s="48"/>
      <c r="K177" s="64"/>
      <c r="L177" s="64"/>
      <c r="M177" s="48"/>
      <c r="N177" s="48"/>
      <c r="O177" s="48"/>
      <c r="P177" s="48"/>
      <c r="Q177" s="48"/>
      <c r="R177" s="48"/>
      <c r="S177" s="60"/>
      <c r="T177" s="48"/>
      <c r="U177" s="48"/>
      <c r="V177" s="48"/>
      <c r="W177" s="48"/>
      <c r="X177" s="48"/>
      <c r="Y177" s="48"/>
      <c r="Z177" s="48"/>
      <c r="AA177" s="48"/>
      <c r="AB177" s="48"/>
      <c r="AC177" s="48"/>
      <c r="AD177" s="48"/>
      <c r="AE177" s="48"/>
      <c r="AF177" s="60"/>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56"/>
      <c r="BJ177" s="56"/>
      <c r="BK177" s="56"/>
      <c r="BL177" s="56"/>
      <c r="BM177" s="56"/>
      <c r="BN177" s="56"/>
      <c r="BO177" s="56"/>
      <c r="BP177" s="56"/>
      <c r="BQ177" s="56"/>
      <c r="BR177" s="56"/>
      <c r="BS177" s="56"/>
      <c r="BT177" s="56"/>
      <c r="BU177" s="56"/>
      <c r="BV177" s="56"/>
      <c r="BW177" s="56"/>
      <c r="BX177" s="56"/>
    </row>
    <row r="178">
      <c r="A178" s="48"/>
      <c r="B178" s="48"/>
      <c r="C178" s="48"/>
      <c r="D178" s="48"/>
      <c r="E178" s="48"/>
      <c r="F178" s="48"/>
      <c r="G178" s="48"/>
      <c r="H178" s="48"/>
      <c r="I178" s="48"/>
      <c r="J178" s="48"/>
      <c r="K178" s="64"/>
      <c r="L178" s="64"/>
      <c r="M178" s="48"/>
      <c r="N178" s="48"/>
      <c r="O178" s="48"/>
      <c r="P178" s="48"/>
      <c r="Q178" s="48"/>
      <c r="R178" s="48"/>
      <c r="S178" s="60"/>
      <c r="T178" s="48"/>
      <c r="U178" s="48"/>
      <c r="V178" s="48"/>
      <c r="W178" s="48"/>
      <c r="X178" s="48"/>
      <c r="Y178" s="48"/>
      <c r="Z178" s="48"/>
      <c r="AA178" s="48"/>
      <c r="AB178" s="48"/>
      <c r="AC178" s="48"/>
      <c r="AD178" s="48"/>
      <c r="AE178" s="48"/>
      <c r="AF178" s="60"/>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56"/>
      <c r="BJ178" s="56"/>
      <c r="BK178" s="56"/>
      <c r="BL178" s="56"/>
      <c r="BM178" s="56"/>
      <c r="BN178" s="56"/>
      <c r="BO178" s="56"/>
      <c r="BP178" s="56"/>
      <c r="BQ178" s="56"/>
      <c r="BR178" s="56"/>
      <c r="BS178" s="56"/>
      <c r="BT178" s="56"/>
      <c r="BU178" s="56"/>
      <c r="BV178" s="56"/>
      <c r="BW178" s="56"/>
      <c r="BX178" s="56"/>
    </row>
    <row r="179">
      <c r="A179" s="48"/>
      <c r="B179" s="48"/>
      <c r="C179" s="48"/>
      <c r="D179" s="48"/>
      <c r="E179" s="48"/>
      <c r="F179" s="48"/>
      <c r="G179" s="48"/>
      <c r="H179" s="48"/>
      <c r="I179" s="48"/>
      <c r="J179" s="48"/>
      <c r="K179" s="64"/>
      <c r="L179" s="64"/>
      <c r="M179" s="48"/>
      <c r="N179" s="48"/>
      <c r="O179" s="48"/>
      <c r="P179" s="48"/>
      <c r="Q179" s="48"/>
      <c r="R179" s="48"/>
      <c r="S179" s="60"/>
      <c r="T179" s="48"/>
      <c r="U179" s="48"/>
      <c r="V179" s="48"/>
      <c r="W179" s="48"/>
      <c r="X179" s="48"/>
      <c r="Y179" s="48"/>
      <c r="Z179" s="48"/>
      <c r="AA179" s="48"/>
      <c r="AB179" s="48"/>
      <c r="AC179" s="48"/>
      <c r="AD179" s="48"/>
      <c r="AE179" s="48"/>
      <c r="AF179" s="60"/>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56"/>
      <c r="BJ179" s="56"/>
      <c r="BK179" s="56"/>
      <c r="BL179" s="56"/>
      <c r="BM179" s="56"/>
      <c r="BN179" s="56"/>
      <c r="BO179" s="56"/>
      <c r="BP179" s="56"/>
      <c r="BQ179" s="56"/>
      <c r="BR179" s="56"/>
      <c r="BS179" s="56"/>
      <c r="BT179" s="56"/>
      <c r="BU179" s="56"/>
      <c r="BV179" s="56"/>
      <c r="BW179" s="56"/>
      <c r="BX179" s="56"/>
    </row>
    <row r="180">
      <c r="A180" s="48"/>
      <c r="B180" s="48"/>
      <c r="C180" s="48"/>
      <c r="D180" s="48"/>
      <c r="E180" s="48"/>
      <c r="F180" s="48"/>
      <c r="G180" s="48"/>
      <c r="H180" s="48"/>
      <c r="I180" s="48"/>
      <c r="J180" s="48"/>
      <c r="K180" s="64"/>
      <c r="L180" s="64"/>
      <c r="M180" s="48"/>
      <c r="N180" s="48"/>
      <c r="O180" s="48"/>
      <c r="P180" s="48"/>
      <c r="Q180" s="48"/>
      <c r="R180" s="48"/>
      <c r="S180" s="60"/>
      <c r="T180" s="48"/>
      <c r="U180" s="48"/>
      <c r="V180" s="48"/>
      <c r="W180" s="48"/>
      <c r="X180" s="48"/>
      <c r="Y180" s="48"/>
      <c r="Z180" s="48"/>
      <c r="AA180" s="48"/>
      <c r="AB180" s="48"/>
      <c r="AC180" s="48"/>
      <c r="AD180" s="48"/>
      <c r="AE180" s="48"/>
      <c r="AF180" s="60"/>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56"/>
      <c r="BJ180" s="56"/>
      <c r="BK180" s="56"/>
      <c r="BL180" s="56"/>
      <c r="BM180" s="56"/>
      <c r="BN180" s="56"/>
      <c r="BO180" s="56"/>
      <c r="BP180" s="56"/>
      <c r="BQ180" s="56"/>
      <c r="BR180" s="56"/>
      <c r="BS180" s="56"/>
      <c r="BT180" s="56"/>
      <c r="BU180" s="56"/>
      <c r="BV180" s="56"/>
      <c r="BW180" s="56"/>
      <c r="BX180" s="56"/>
    </row>
    <row r="181">
      <c r="A181" s="48"/>
      <c r="B181" s="48"/>
      <c r="C181" s="48"/>
      <c r="D181" s="48"/>
      <c r="E181" s="48"/>
      <c r="F181" s="48"/>
      <c r="G181" s="48"/>
      <c r="H181" s="48"/>
      <c r="I181" s="48"/>
      <c r="J181" s="48"/>
      <c r="K181" s="64"/>
      <c r="L181" s="64"/>
      <c r="M181" s="48"/>
      <c r="N181" s="48"/>
      <c r="O181" s="48"/>
      <c r="P181" s="48"/>
      <c r="Q181" s="48"/>
      <c r="R181" s="48"/>
      <c r="S181" s="60"/>
      <c r="T181" s="48"/>
      <c r="U181" s="48"/>
      <c r="V181" s="48"/>
      <c r="W181" s="48"/>
      <c r="X181" s="48"/>
      <c r="Y181" s="48"/>
      <c r="Z181" s="48"/>
      <c r="AA181" s="48"/>
      <c r="AB181" s="48"/>
      <c r="AC181" s="48"/>
      <c r="AD181" s="48"/>
      <c r="AE181" s="48"/>
      <c r="AF181" s="60"/>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56"/>
      <c r="BJ181" s="56"/>
      <c r="BK181" s="56"/>
      <c r="BL181" s="56"/>
      <c r="BM181" s="56"/>
      <c r="BN181" s="56"/>
      <c r="BO181" s="56"/>
      <c r="BP181" s="56"/>
      <c r="BQ181" s="56"/>
      <c r="BR181" s="56"/>
      <c r="BS181" s="56"/>
      <c r="BT181" s="56"/>
      <c r="BU181" s="56"/>
      <c r="BV181" s="56"/>
      <c r="BW181" s="56"/>
      <c r="BX181" s="56"/>
    </row>
    <row r="182">
      <c r="A182" s="48"/>
      <c r="B182" s="48"/>
      <c r="C182" s="48"/>
      <c r="D182" s="48"/>
      <c r="E182" s="48"/>
      <c r="F182" s="48"/>
      <c r="G182" s="48"/>
      <c r="H182" s="48"/>
      <c r="I182" s="48"/>
      <c r="J182" s="48"/>
      <c r="K182" s="64"/>
      <c r="L182" s="64"/>
      <c r="M182" s="48"/>
      <c r="N182" s="48"/>
      <c r="O182" s="48"/>
      <c r="P182" s="48"/>
      <c r="Q182" s="48"/>
      <c r="R182" s="48"/>
      <c r="S182" s="60"/>
      <c r="T182" s="48"/>
      <c r="U182" s="48"/>
      <c r="V182" s="48"/>
      <c r="W182" s="48"/>
      <c r="X182" s="48"/>
      <c r="Y182" s="48"/>
      <c r="Z182" s="48"/>
      <c r="AA182" s="48"/>
      <c r="AB182" s="48"/>
      <c r="AC182" s="48"/>
      <c r="AD182" s="48"/>
      <c r="AE182" s="48"/>
      <c r="AF182" s="60"/>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56"/>
      <c r="BJ182" s="56"/>
      <c r="BK182" s="56"/>
      <c r="BL182" s="56"/>
      <c r="BM182" s="56"/>
      <c r="BN182" s="56"/>
      <c r="BO182" s="56"/>
      <c r="BP182" s="56"/>
      <c r="BQ182" s="56"/>
      <c r="BR182" s="56"/>
      <c r="BS182" s="56"/>
      <c r="BT182" s="56"/>
      <c r="BU182" s="56"/>
      <c r="BV182" s="56"/>
      <c r="BW182" s="56"/>
      <c r="BX182" s="56"/>
    </row>
    <row r="183">
      <c r="A183" s="48"/>
      <c r="B183" s="48"/>
      <c r="C183" s="48"/>
      <c r="D183" s="48"/>
      <c r="E183" s="48"/>
      <c r="F183" s="48"/>
      <c r="G183" s="48"/>
      <c r="H183" s="48"/>
      <c r="I183" s="48"/>
      <c r="J183" s="48"/>
      <c r="K183" s="64"/>
      <c r="L183" s="64"/>
      <c r="M183" s="48"/>
      <c r="N183" s="48"/>
      <c r="O183" s="48"/>
      <c r="P183" s="48"/>
      <c r="Q183" s="48"/>
      <c r="R183" s="48"/>
      <c r="S183" s="60"/>
      <c r="T183" s="48"/>
      <c r="U183" s="48"/>
      <c r="V183" s="48"/>
      <c r="W183" s="48"/>
      <c r="X183" s="48"/>
      <c r="Y183" s="48"/>
      <c r="Z183" s="48"/>
      <c r="AA183" s="48"/>
      <c r="AB183" s="48"/>
      <c r="AC183" s="48"/>
      <c r="AD183" s="48"/>
      <c r="AE183" s="48"/>
      <c r="AF183" s="60"/>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56"/>
      <c r="BJ183" s="56"/>
      <c r="BK183" s="56"/>
      <c r="BL183" s="56"/>
      <c r="BM183" s="56"/>
      <c r="BN183" s="56"/>
      <c r="BO183" s="56"/>
      <c r="BP183" s="56"/>
      <c r="BQ183" s="56"/>
      <c r="BR183" s="56"/>
      <c r="BS183" s="56"/>
      <c r="BT183" s="56"/>
      <c r="BU183" s="56"/>
      <c r="BV183" s="56"/>
      <c r="BW183" s="56"/>
      <c r="BX183" s="56"/>
    </row>
    <row r="184">
      <c r="A184" s="48"/>
      <c r="B184" s="48"/>
      <c r="C184" s="48"/>
      <c r="D184" s="48"/>
      <c r="E184" s="48"/>
      <c r="F184" s="48"/>
      <c r="G184" s="48"/>
      <c r="H184" s="48"/>
      <c r="I184" s="48"/>
      <c r="J184" s="48"/>
      <c r="K184" s="64"/>
      <c r="L184" s="64"/>
      <c r="M184" s="48"/>
      <c r="N184" s="48"/>
      <c r="O184" s="48"/>
      <c r="P184" s="48"/>
      <c r="Q184" s="48"/>
      <c r="R184" s="48"/>
      <c r="S184" s="60"/>
      <c r="T184" s="48"/>
      <c r="U184" s="48"/>
      <c r="V184" s="48"/>
      <c r="W184" s="48"/>
      <c r="X184" s="48"/>
      <c r="Y184" s="48"/>
      <c r="Z184" s="48"/>
      <c r="AA184" s="48"/>
      <c r="AB184" s="48"/>
      <c r="AC184" s="48"/>
      <c r="AD184" s="48"/>
      <c r="AE184" s="48"/>
      <c r="AF184" s="60"/>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56"/>
      <c r="BJ184" s="56"/>
      <c r="BK184" s="56"/>
      <c r="BL184" s="56"/>
      <c r="BM184" s="56"/>
      <c r="BN184" s="56"/>
      <c r="BO184" s="56"/>
      <c r="BP184" s="56"/>
      <c r="BQ184" s="56"/>
      <c r="BR184" s="56"/>
      <c r="BS184" s="56"/>
      <c r="BT184" s="56"/>
      <c r="BU184" s="56"/>
      <c r="BV184" s="56"/>
      <c r="BW184" s="56"/>
      <c r="BX184" s="56"/>
    </row>
    <row r="185">
      <c r="A185" s="48"/>
      <c r="B185" s="48"/>
      <c r="C185" s="48"/>
      <c r="D185" s="48"/>
      <c r="E185" s="48"/>
      <c r="F185" s="48"/>
      <c r="G185" s="48"/>
      <c r="H185" s="48"/>
      <c r="I185" s="48"/>
      <c r="J185" s="48"/>
      <c r="K185" s="64"/>
      <c r="L185" s="64"/>
      <c r="M185" s="48"/>
      <c r="N185" s="48"/>
      <c r="O185" s="48"/>
      <c r="P185" s="48"/>
      <c r="Q185" s="48"/>
      <c r="R185" s="48"/>
      <c r="S185" s="60"/>
      <c r="T185" s="48"/>
      <c r="U185" s="48"/>
      <c r="V185" s="48"/>
      <c r="W185" s="48"/>
      <c r="X185" s="48"/>
      <c r="Y185" s="48"/>
      <c r="Z185" s="48"/>
      <c r="AA185" s="48"/>
      <c r="AB185" s="48"/>
      <c r="AC185" s="48"/>
      <c r="AD185" s="48"/>
      <c r="AE185" s="48"/>
      <c r="AF185" s="60"/>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56"/>
      <c r="BJ185" s="56"/>
      <c r="BK185" s="56"/>
      <c r="BL185" s="56"/>
      <c r="BM185" s="56"/>
      <c r="BN185" s="56"/>
      <c r="BO185" s="56"/>
      <c r="BP185" s="56"/>
      <c r="BQ185" s="56"/>
      <c r="BR185" s="56"/>
      <c r="BS185" s="56"/>
      <c r="BT185" s="56"/>
      <c r="BU185" s="56"/>
      <c r="BV185" s="56"/>
      <c r="BW185" s="56"/>
      <c r="BX185" s="56"/>
    </row>
    <row r="186">
      <c r="A186" s="48"/>
      <c r="B186" s="48"/>
      <c r="C186" s="48"/>
      <c r="D186" s="48"/>
      <c r="E186" s="48"/>
      <c r="F186" s="48"/>
      <c r="G186" s="48"/>
      <c r="H186" s="48"/>
      <c r="I186" s="48"/>
      <c r="J186" s="48"/>
      <c r="K186" s="64"/>
      <c r="L186" s="64"/>
      <c r="M186" s="48"/>
      <c r="N186" s="48"/>
      <c r="O186" s="48"/>
      <c r="P186" s="48"/>
      <c r="Q186" s="48"/>
      <c r="R186" s="48"/>
      <c r="S186" s="60"/>
      <c r="T186" s="48"/>
      <c r="U186" s="48"/>
      <c r="V186" s="48"/>
      <c r="W186" s="48"/>
      <c r="X186" s="48"/>
      <c r="Y186" s="48"/>
      <c r="Z186" s="48"/>
      <c r="AA186" s="48"/>
      <c r="AB186" s="48"/>
      <c r="AC186" s="48"/>
      <c r="AD186" s="48"/>
      <c r="AE186" s="48"/>
      <c r="AF186" s="60"/>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56"/>
      <c r="BJ186" s="56"/>
      <c r="BK186" s="56"/>
      <c r="BL186" s="56"/>
      <c r="BM186" s="56"/>
      <c r="BN186" s="56"/>
      <c r="BO186" s="56"/>
      <c r="BP186" s="56"/>
      <c r="BQ186" s="56"/>
      <c r="BR186" s="56"/>
      <c r="BS186" s="56"/>
      <c r="BT186" s="56"/>
      <c r="BU186" s="56"/>
      <c r="BV186" s="56"/>
      <c r="BW186" s="56"/>
      <c r="BX186" s="56"/>
    </row>
    <row r="187">
      <c r="A187" s="48"/>
      <c r="B187" s="48"/>
      <c r="C187" s="48"/>
      <c r="D187" s="48"/>
      <c r="E187" s="48"/>
      <c r="F187" s="48"/>
      <c r="G187" s="48"/>
      <c r="H187" s="48"/>
      <c r="I187" s="48"/>
      <c r="J187" s="48"/>
      <c r="K187" s="64"/>
      <c r="L187" s="64"/>
      <c r="M187" s="48"/>
      <c r="N187" s="48"/>
      <c r="O187" s="48"/>
      <c r="P187" s="48"/>
      <c r="Q187" s="48"/>
      <c r="R187" s="48"/>
      <c r="S187" s="60"/>
      <c r="T187" s="48"/>
      <c r="U187" s="48"/>
      <c r="V187" s="48"/>
      <c r="W187" s="48"/>
      <c r="X187" s="48"/>
      <c r="Y187" s="48"/>
      <c r="Z187" s="48"/>
      <c r="AA187" s="48"/>
      <c r="AB187" s="48"/>
      <c r="AC187" s="48"/>
      <c r="AD187" s="48"/>
      <c r="AE187" s="48"/>
      <c r="AF187" s="60"/>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56"/>
      <c r="BJ187" s="56"/>
      <c r="BK187" s="56"/>
      <c r="BL187" s="56"/>
      <c r="BM187" s="56"/>
      <c r="BN187" s="56"/>
      <c r="BO187" s="56"/>
      <c r="BP187" s="56"/>
      <c r="BQ187" s="56"/>
      <c r="BR187" s="56"/>
      <c r="BS187" s="56"/>
      <c r="BT187" s="56"/>
      <c r="BU187" s="56"/>
      <c r="BV187" s="56"/>
      <c r="BW187" s="56"/>
      <c r="BX187" s="56"/>
    </row>
    <row r="188">
      <c r="A188" s="48"/>
      <c r="B188" s="48"/>
      <c r="C188" s="48"/>
      <c r="D188" s="48"/>
      <c r="E188" s="48"/>
      <c r="F188" s="48"/>
      <c r="G188" s="48"/>
      <c r="H188" s="48"/>
      <c r="I188" s="48"/>
      <c r="J188" s="48"/>
      <c r="K188" s="64"/>
      <c r="L188" s="64"/>
      <c r="M188" s="48"/>
      <c r="N188" s="48"/>
      <c r="O188" s="48"/>
      <c r="P188" s="48"/>
      <c r="Q188" s="48"/>
      <c r="R188" s="48"/>
      <c r="S188" s="60"/>
      <c r="T188" s="48"/>
      <c r="U188" s="48"/>
      <c r="V188" s="48"/>
      <c r="W188" s="48"/>
      <c r="X188" s="48"/>
      <c r="Y188" s="48"/>
      <c r="Z188" s="48"/>
      <c r="AA188" s="48"/>
      <c r="AB188" s="48"/>
      <c r="AC188" s="48"/>
      <c r="AD188" s="48"/>
      <c r="AE188" s="48"/>
      <c r="AF188" s="60"/>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56"/>
      <c r="BJ188" s="56"/>
      <c r="BK188" s="56"/>
      <c r="BL188" s="56"/>
      <c r="BM188" s="56"/>
      <c r="BN188" s="56"/>
      <c r="BO188" s="56"/>
      <c r="BP188" s="56"/>
      <c r="BQ188" s="56"/>
      <c r="BR188" s="56"/>
      <c r="BS188" s="56"/>
      <c r="BT188" s="56"/>
      <c r="BU188" s="56"/>
      <c r="BV188" s="56"/>
      <c r="BW188" s="56"/>
      <c r="BX188" s="56"/>
    </row>
    <row r="189">
      <c r="A189" s="48"/>
      <c r="B189" s="48"/>
      <c r="C189" s="48"/>
      <c r="D189" s="48"/>
      <c r="E189" s="48"/>
      <c r="F189" s="48"/>
      <c r="G189" s="48"/>
      <c r="H189" s="48"/>
      <c r="I189" s="48"/>
      <c r="J189" s="48"/>
      <c r="K189" s="64"/>
      <c r="L189" s="64"/>
      <c r="M189" s="48"/>
      <c r="N189" s="48"/>
      <c r="O189" s="48"/>
      <c r="P189" s="48"/>
      <c r="Q189" s="48"/>
      <c r="R189" s="48"/>
      <c r="S189" s="60"/>
      <c r="T189" s="48"/>
      <c r="U189" s="48"/>
      <c r="V189" s="48"/>
      <c r="W189" s="48"/>
      <c r="X189" s="48"/>
      <c r="Y189" s="48"/>
      <c r="Z189" s="48"/>
      <c r="AA189" s="48"/>
      <c r="AB189" s="48"/>
      <c r="AC189" s="48"/>
      <c r="AD189" s="48"/>
      <c r="AE189" s="48"/>
      <c r="AF189" s="60"/>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56"/>
      <c r="BJ189" s="56"/>
      <c r="BK189" s="56"/>
      <c r="BL189" s="56"/>
      <c r="BM189" s="56"/>
      <c r="BN189" s="56"/>
      <c r="BO189" s="56"/>
      <c r="BP189" s="56"/>
      <c r="BQ189" s="56"/>
      <c r="BR189" s="56"/>
      <c r="BS189" s="56"/>
      <c r="BT189" s="56"/>
      <c r="BU189" s="56"/>
      <c r="BV189" s="56"/>
      <c r="BW189" s="56"/>
      <c r="BX189" s="56"/>
    </row>
    <row r="190">
      <c r="A190" s="48"/>
      <c r="B190" s="48"/>
      <c r="C190" s="48"/>
      <c r="D190" s="48"/>
      <c r="E190" s="48"/>
      <c r="F190" s="48"/>
      <c r="G190" s="48"/>
      <c r="H190" s="48"/>
      <c r="I190" s="48"/>
      <c r="J190" s="48"/>
      <c r="K190" s="64"/>
      <c r="L190" s="64"/>
      <c r="M190" s="48"/>
      <c r="N190" s="48"/>
      <c r="O190" s="48"/>
      <c r="P190" s="48"/>
      <c r="Q190" s="48"/>
      <c r="R190" s="48"/>
      <c r="S190" s="60"/>
      <c r="T190" s="48"/>
      <c r="U190" s="48"/>
      <c r="V190" s="48"/>
      <c r="W190" s="48"/>
      <c r="X190" s="48"/>
      <c r="Y190" s="48"/>
      <c r="Z190" s="48"/>
      <c r="AA190" s="48"/>
      <c r="AB190" s="48"/>
      <c r="AC190" s="48"/>
      <c r="AD190" s="48"/>
      <c r="AE190" s="48"/>
      <c r="AF190" s="60"/>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56"/>
      <c r="BJ190" s="56"/>
      <c r="BK190" s="56"/>
      <c r="BL190" s="56"/>
      <c r="BM190" s="56"/>
      <c r="BN190" s="56"/>
      <c r="BO190" s="56"/>
      <c r="BP190" s="56"/>
      <c r="BQ190" s="56"/>
      <c r="BR190" s="56"/>
      <c r="BS190" s="56"/>
      <c r="BT190" s="56"/>
      <c r="BU190" s="56"/>
      <c r="BV190" s="56"/>
      <c r="BW190" s="56"/>
      <c r="BX190" s="56"/>
    </row>
    <row r="191">
      <c r="A191" s="48"/>
      <c r="B191" s="48"/>
      <c r="C191" s="48"/>
      <c r="D191" s="48"/>
      <c r="E191" s="48"/>
      <c r="F191" s="48"/>
      <c r="G191" s="48"/>
      <c r="H191" s="48"/>
      <c r="I191" s="48"/>
      <c r="J191" s="48"/>
      <c r="K191" s="64"/>
      <c r="L191" s="64"/>
      <c r="M191" s="48"/>
      <c r="N191" s="48"/>
      <c r="O191" s="48"/>
      <c r="P191" s="48"/>
      <c r="Q191" s="48"/>
      <c r="R191" s="48"/>
      <c r="S191" s="60"/>
      <c r="T191" s="48"/>
      <c r="U191" s="48"/>
      <c r="V191" s="48"/>
      <c r="W191" s="48"/>
      <c r="X191" s="48"/>
      <c r="Y191" s="48"/>
      <c r="Z191" s="48"/>
      <c r="AA191" s="48"/>
      <c r="AB191" s="48"/>
      <c r="AC191" s="48"/>
      <c r="AD191" s="48"/>
      <c r="AE191" s="48"/>
      <c r="AF191" s="60"/>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56"/>
      <c r="BJ191" s="56"/>
      <c r="BK191" s="56"/>
      <c r="BL191" s="56"/>
      <c r="BM191" s="56"/>
      <c r="BN191" s="56"/>
      <c r="BO191" s="56"/>
      <c r="BP191" s="56"/>
      <c r="BQ191" s="56"/>
      <c r="BR191" s="56"/>
      <c r="BS191" s="56"/>
      <c r="BT191" s="56"/>
      <c r="BU191" s="56"/>
      <c r="BV191" s="56"/>
      <c r="BW191" s="56"/>
      <c r="BX191" s="56"/>
    </row>
    <row r="192">
      <c r="A192" s="48"/>
      <c r="B192" s="48"/>
      <c r="C192" s="48"/>
      <c r="D192" s="48"/>
      <c r="E192" s="48"/>
      <c r="F192" s="48"/>
      <c r="G192" s="48"/>
      <c r="H192" s="48"/>
      <c r="I192" s="48"/>
      <c r="J192" s="48"/>
      <c r="K192" s="64"/>
      <c r="L192" s="64"/>
      <c r="M192" s="48"/>
      <c r="N192" s="48"/>
      <c r="O192" s="48"/>
      <c r="P192" s="48"/>
      <c r="Q192" s="48"/>
      <c r="R192" s="48"/>
      <c r="S192" s="60"/>
      <c r="T192" s="48"/>
      <c r="U192" s="48"/>
      <c r="V192" s="48"/>
      <c r="W192" s="48"/>
      <c r="X192" s="48"/>
      <c r="Y192" s="48"/>
      <c r="Z192" s="48"/>
      <c r="AA192" s="48"/>
      <c r="AB192" s="48"/>
      <c r="AC192" s="48"/>
      <c r="AD192" s="48"/>
      <c r="AE192" s="48"/>
      <c r="AF192" s="60"/>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56"/>
      <c r="BJ192" s="56"/>
      <c r="BK192" s="56"/>
      <c r="BL192" s="56"/>
      <c r="BM192" s="56"/>
      <c r="BN192" s="56"/>
      <c r="BO192" s="56"/>
      <c r="BP192" s="56"/>
      <c r="BQ192" s="56"/>
      <c r="BR192" s="56"/>
      <c r="BS192" s="56"/>
      <c r="BT192" s="56"/>
      <c r="BU192" s="56"/>
      <c r="BV192" s="56"/>
      <c r="BW192" s="56"/>
      <c r="BX192" s="56"/>
    </row>
    <row r="193">
      <c r="A193" s="48"/>
      <c r="B193" s="48"/>
      <c r="C193" s="48"/>
      <c r="D193" s="48"/>
      <c r="E193" s="48"/>
      <c r="F193" s="48"/>
      <c r="G193" s="48"/>
      <c r="H193" s="48"/>
      <c r="I193" s="48"/>
      <c r="J193" s="48"/>
      <c r="K193" s="64"/>
      <c r="L193" s="64"/>
      <c r="M193" s="48"/>
      <c r="N193" s="48"/>
      <c r="O193" s="48"/>
      <c r="P193" s="48"/>
      <c r="Q193" s="48"/>
      <c r="R193" s="48"/>
      <c r="S193" s="60"/>
      <c r="T193" s="48"/>
      <c r="U193" s="48"/>
      <c r="V193" s="48"/>
      <c r="W193" s="48"/>
      <c r="X193" s="48"/>
      <c r="Y193" s="48"/>
      <c r="Z193" s="48"/>
      <c r="AA193" s="48"/>
      <c r="AB193" s="48"/>
      <c r="AC193" s="48"/>
      <c r="AD193" s="48"/>
      <c r="AE193" s="48"/>
      <c r="AF193" s="60"/>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56"/>
      <c r="BJ193" s="56"/>
      <c r="BK193" s="56"/>
      <c r="BL193" s="56"/>
      <c r="BM193" s="56"/>
      <c r="BN193" s="56"/>
      <c r="BO193" s="56"/>
      <c r="BP193" s="56"/>
      <c r="BQ193" s="56"/>
      <c r="BR193" s="56"/>
      <c r="BS193" s="56"/>
      <c r="BT193" s="56"/>
      <c r="BU193" s="56"/>
      <c r="BV193" s="56"/>
      <c r="BW193" s="56"/>
      <c r="BX193" s="56"/>
    </row>
    <row r="194">
      <c r="A194" s="48"/>
      <c r="B194" s="48"/>
      <c r="C194" s="48"/>
      <c r="D194" s="48"/>
      <c r="E194" s="48"/>
      <c r="F194" s="48"/>
      <c r="G194" s="48"/>
      <c r="H194" s="48"/>
      <c r="I194" s="48"/>
      <c r="J194" s="48"/>
      <c r="K194" s="64"/>
      <c r="L194" s="64"/>
      <c r="M194" s="48"/>
      <c r="N194" s="48"/>
      <c r="O194" s="48"/>
      <c r="P194" s="48"/>
      <c r="Q194" s="48"/>
      <c r="R194" s="48"/>
      <c r="S194" s="60"/>
      <c r="T194" s="48"/>
      <c r="U194" s="48"/>
      <c r="V194" s="48"/>
      <c r="W194" s="48"/>
      <c r="X194" s="48"/>
      <c r="Y194" s="48"/>
      <c r="Z194" s="48"/>
      <c r="AA194" s="48"/>
      <c r="AB194" s="48"/>
      <c r="AC194" s="48"/>
      <c r="AD194" s="48"/>
      <c r="AE194" s="48"/>
      <c r="AF194" s="60"/>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56"/>
      <c r="BJ194" s="56"/>
      <c r="BK194" s="56"/>
      <c r="BL194" s="56"/>
      <c r="BM194" s="56"/>
      <c r="BN194" s="56"/>
      <c r="BO194" s="56"/>
      <c r="BP194" s="56"/>
      <c r="BQ194" s="56"/>
      <c r="BR194" s="56"/>
      <c r="BS194" s="56"/>
      <c r="BT194" s="56"/>
      <c r="BU194" s="56"/>
      <c r="BV194" s="56"/>
      <c r="BW194" s="56"/>
      <c r="BX194" s="56"/>
    </row>
    <row r="195">
      <c r="A195" s="48"/>
      <c r="B195" s="48"/>
      <c r="C195" s="48"/>
      <c r="D195" s="48"/>
      <c r="E195" s="48"/>
      <c r="F195" s="48"/>
      <c r="G195" s="48"/>
      <c r="H195" s="48"/>
      <c r="I195" s="48"/>
      <c r="J195" s="48"/>
      <c r="K195" s="64"/>
      <c r="L195" s="64"/>
      <c r="M195" s="48"/>
      <c r="N195" s="48"/>
      <c r="O195" s="48"/>
      <c r="P195" s="48"/>
      <c r="Q195" s="48"/>
      <c r="R195" s="48"/>
      <c r="S195" s="60"/>
      <c r="T195" s="48"/>
      <c r="U195" s="48"/>
      <c r="V195" s="48"/>
      <c r="W195" s="48"/>
      <c r="X195" s="48"/>
      <c r="Y195" s="48"/>
      <c r="Z195" s="48"/>
      <c r="AA195" s="48"/>
      <c r="AB195" s="48"/>
      <c r="AC195" s="48"/>
      <c r="AD195" s="48"/>
      <c r="AE195" s="48"/>
      <c r="AF195" s="60"/>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56"/>
      <c r="BJ195" s="56"/>
      <c r="BK195" s="56"/>
      <c r="BL195" s="56"/>
      <c r="BM195" s="56"/>
      <c r="BN195" s="56"/>
      <c r="BO195" s="56"/>
      <c r="BP195" s="56"/>
      <c r="BQ195" s="56"/>
      <c r="BR195" s="56"/>
      <c r="BS195" s="56"/>
      <c r="BT195" s="56"/>
      <c r="BU195" s="56"/>
      <c r="BV195" s="56"/>
      <c r="BW195" s="56"/>
      <c r="BX195" s="56"/>
    </row>
    <row r="196">
      <c r="A196" s="48"/>
      <c r="B196" s="48"/>
      <c r="C196" s="48"/>
      <c r="D196" s="48"/>
      <c r="E196" s="48"/>
      <c r="F196" s="48"/>
      <c r="G196" s="48"/>
      <c r="H196" s="48"/>
      <c r="I196" s="48"/>
      <c r="J196" s="48"/>
      <c r="K196" s="64"/>
      <c r="L196" s="64"/>
      <c r="M196" s="48"/>
      <c r="N196" s="48"/>
      <c r="O196" s="48"/>
      <c r="P196" s="48"/>
      <c r="Q196" s="48"/>
      <c r="R196" s="48"/>
      <c r="S196" s="60"/>
      <c r="T196" s="48"/>
      <c r="U196" s="48"/>
      <c r="V196" s="48"/>
      <c r="W196" s="48"/>
      <c r="X196" s="48"/>
      <c r="Y196" s="48"/>
      <c r="Z196" s="48"/>
      <c r="AA196" s="48"/>
      <c r="AB196" s="48"/>
      <c r="AC196" s="48"/>
      <c r="AD196" s="48"/>
      <c r="AE196" s="48"/>
      <c r="AF196" s="60"/>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56"/>
      <c r="BJ196" s="56"/>
      <c r="BK196" s="56"/>
      <c r="BL196" s="56"/>
      <c r="BM196" s="56"/>
      <c r="BN196" s="56"/>
      <c r="BO196" s="56"/>
      <c r="BP196" s="56"/>
      <c r="BQ196" s="56"/>
      <c r="BR196" s="56"/>
      <c r="BS196" s="56"/>
      <c r="BT196" s="56"/>
      <c r="BU196" s="56"/>
      <c r="BV196" s="56"/>
      <c r="BW196" s="56"/>
      <c r="BX196" s="56"/>
    </row>
    <row r="197">
      <c r="A197" s="48"/>
      <c r="B197" s="48"/>
      <c r="C197" s="48"/>
      <c r="D197" s="48"/>
      <c r="E197" s="48"/>
      <c r="F197" s="48"/>
      <c r="G197" s="48"/>
      <c r="H197" s="48"/>
      <c r="I197" s="48"/>
      <c r="J197" s="48"/>
      <c r="K197" s="64"/>
      <c r="L197" s="64"/>
      <c r="M197" s="48"/>
      <c r="N197" s="48"/>
      <c r="O197" s="48"/>
      <c r="P197" s="48"/>
      <c r="Q197" s="48"/>
      <c r="R197" s="48"/>
      <c r="S197" s="60"/>
      <c r="T197" s="48"/>
      <c r="U197" s="48"/>
      <c r="V197" s="48"/>
      <c r="W197" s="48"/>
      <c r="X197" s="48"/>
      <c r="Y197" s="48"/>
      <c r="Z197" s="48"/>
      <c r="AA197" s="48"/>
      <c r="AB197" s="48"/>
      <c r="AC197" s="48"/>
      <c r="AD197" s="48"/>
      <c r="AE197" s="48"/>
      <c r="AF197" s="60"/>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56"/>
      <c r="BJ197" s="56"/>
      <c r="BK197" s="56"/>
      <c r="BL197" s="56"/>
      <c r="BM197" s="56"/>
      <c r="BN197" s="56"/>
      <c r="BO197" s="56"/>
      <c r="BP197" s="56"/>
      <c r="BQ197" s="56"/>
      <c r="BR197" s="56"/>
      <c r="BS197" s="56"/>
      <c r="BT197" s="56"/>
      <c r="BU197" s="56"/>
      <c r="BV197" s="56"/>
      <c r="BW197" s="56"/>
      <c r="BX197" s="56"/>
    </row>
    <row r="198">
      <c r="A198" s="48"/>
      <c r="B198" s="48"/>
      <c r="C198" s="48"/>
      <c r="D198" s="48"/>
      <c r="E198" s="48"/>
      <c r="F198" s="48"/>
      <c r="G198" s="48"/>
      <c r="H198" s="48"/>
      <c r="I198" s="48"/>
      <c r="J198" s="48"/>
      <c r="K198" s="64"/>
      <c r="L198" s="64"/>
      <c r="M198" s="48"/>
      <c r="N198" s="48"/>
      <c r="O198" s="48"/>
      <c r="P198" s="48"/>
      <c r="Q198" s="48"/>
      <c r="R198" s="48"/>
      <c r="S198" s="60"/>
      <c r="T198" s="48"/>
      <c r="U198" s="48"/>
      <c r="V198" s="48"/>
      <c r="W198" s="48"/>
      <c r="X198" s="48"/>
      <c r="Y198" s="48"/>
      <c r="Z198" s="48"/>
      <c r="AA198" s="48"/>
      <c r="AB198" s="48"/>
      <c r="AC198" s="48"/>
      <c r="AD198" s="48"/>
      <c r="AE198" s="48"/>
      <c r="AF198" s="60"/>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56"/>
      <c r="BJ198" s="56"/>
      <c r="BK198" s="56"/>
      <c r="BL198" s="56"/>
      <c r="BM198" s="56"/>
      <c r="BN198" s="56"/>
      <c r="BO198" s="56"/>
      <c r="BP198" s="56"/>
      <c r="BQ198" s="56"/>
      <c r="BR198" s="56"/>
      <c r="BS198" s="56"/>
      <c r="BT198" s="56"/>
      <c r="BU198" s="56"/>
      <c r="BV198" s="56"/>
      <c r="BW198" s="56"/>
      <c r="BX198" s="56"/>
    </row>
    <row r="199">
      <c r="A199" s="48"/>
      <c r="B199" s="48"/>
      <c r="C199" s="48"/>
      <c r="D199" s="48"/>
      <c r="E199" s="48"/>
      <c r="F199" s="48"/>
      <c r="G199" s="48"/>
      <c r="H199" s="48"/>
      <c r="I199" s="48"/>
      <c r="J199" s="48"/>
      <c r="K199" s="64"/>
      <c r="L199" s="64"/>
      <c r="M199" s="48"/>
      <c r="N199" s="48"/>
      <c r="O199" s="48"/>
      <c r="P199" s="48"/>
      <c r="Q199" s="48"/>
      <c r="R199" s="48"/>
      <c r="S199" s="60"/>
      <c r="T199" s="48"/>
      <c r="U199" s="48"/>
      <c r="V199" s="48"/>
      <c r="W199" s="48"/>
      <c r="X199" s="48"/>
      <c r="Y199" s="48"/>
      <c r="Z199" s="48"/>
      <c r="AA199" s="48"/>
      <c r="AB199" s="48"/>
      <c r="AC199" s="48"/>
      <c r="AD199" s="48"/>
      <c r="AE199" s="48"/>
      <c r="AF199" s="60"/>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56"/>
      <c r="BJ199" s="56"/>
      <c r="BK199" s="56"/>
      <c r="BL199" s="56"/>
      <c r="BM199" s="56"/>
      <c r="BN199" s="56"/>
      <c r="BO199" s="56"/>
      <c r="BP199" s="56"/>
      <c r="BQ199" s="56"/>
      <c r="BR199" s="56"/>
      <c r="BS199" s="56"/>
      <c r="BT199" s="56"/>
      <c r="BU199" s="56"/>
      <c r="BV199" s="56"/>
      <c r="BW199" s="56"/>
      <c r="BX199" s="56"/>
    </row>
    <row r="200">
      <c r="A200" s="48"/>
      <c r="B200" s="48"/>
      <c r="C200" s="48"/>
      <c r="D200" s="48"/>
      <c r="E200" s="48"/>
      <c r="F200" s="48"/>
      <c r="G200" s="48"/>
      <c r="H200" s="48"/>
      <c r="I200" s="48"/>
      <c r="J200" s="48"/>
      <c r="K200" s="64"/>
      <c r="L200" s="64"/>
      <c r="M200" s="48"/>
      <c r="N200" s="48"/>
      <c r="O200" s="48"/>
      <c r="P200" s="48"/>
      <c r="Q200" s="48"/>
      <c r="R200" s="48"/>
      <c r="S200" s="60"/>
      <c r="T200" s="48"/>
      <c r="U200" s="48"/>
      <c r="V200" s="48"/>
      <c r="W200" s="48"/>
      <c r="X200" s="48"/>
      <c r="Y200" s="48"/>
      <c r="Z200" s="48"/>
      <c r="AA200" s="48"/>
      <c r="AB200" s="48"/>
      <c r="AC200" s="48"/>
      <c r="AD200" s="48"/>
      <c r="AE200" s="48"/>
      <c r="AF200" s="60"/>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56"/>
      <c r="BJ200" s="56"/>
      <c r="BK200" s="56"/>
      <c r="BL200" s="56"/>
      <c r="BM200" s="56"/>
      <c r="BN200" s="56"/>
      <c r="BO200" s="56"/>
      <c r="BP200" s="56"/>
      <c r="BQ200" s="56"/>
      <c r="BR200" s="56"/>
      <c r="BS200" s="56"/>
      <c r="BT200" s="56"/>
      <c r="BU200" s="56"/>
      <c r="BV200" s="56"/>
      <c r="BW200" s="56"/>
      <c r="BX200" s="56"/>
    </row>
    <row r="201">
      <c r="A201" s="48"/>
      <c r="B201" s="48"/>
      <c r="C201" s="48"/>
      <c r="D201" s="48"/>
      <c r="E201" s="48"/>
      <c r="F201" s="48"/>
      <c r="G201" s="48"/>
      <c r="H201" s="48"/>
      <c r="I201" s="48"/>
      <c r="J201" s="48"/>
      <c r="K201" s="64"/>
      <c r="L201" s="64"/>
      <c r="M201" s="48"/>
      <c r="N201" s="48"/>
      <c r="O201" s="48"/>
      <c r="P201" s="48"/>
      <c r="Q201" s="48"/>
      <c r="R201" s="48"/>
      <c r="S201" s="60"/>
      <c r="T201" s="48"/>
      <c r="U201" s="48"/>
      <c r="V201" s="48"/>
      <c r="W201" s="48"/>
      <c r="X201" s="48"/>
      <c r="Y201" s="48"/>
      <c r="Z201" s="48"/>
      <c r="AA201" s="48"/>
      <c r="AB201" s="48"/>
      <c r="AC201" s="48"/>
      <c r="AD201" s="48"/>
      <c r="AE201" s="48"/>
      <c r="AF201" s="60"/>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56"/>
      <c r="BJ201" s="56"/>
      <c r="BK201" s="56"/>
      <c r="BL201" s="56"/>
      <c r="BM201" s="56"/>
      <c r="BN201" s="56"/>
      <c r="BO201" s="56"/>
      <c r="BP201" s="56"/>
      <c r="BQ201" s="56"/>
      <c r="BR201" s="56"/>
      <c r="BS201" s="56"/>
      <c r="BT201" s="56"/>
      <c r="BU201" s="56"/>
      <c r="BV201" s="56"/>
      <c r="BW201" s="56"/>
      <c r="BX201" s="56"/>
    </row>
    <row r="202">
      <c r="A202" s="48"/>
      <c r="B202" s="48"/>
      <c r="C202" s="48"/>
      <c r="D202" s="48"/>
      <c r="E202" s="48"/>
      <c r="F202" s="48"/>
      <c r="G202" s="48"/>
      <c r="H202" s="48"/>
      <c r="I202" s="48"/>
      <c r="J202" s="48"/>
      <c r="K202" s="64"/>
      <c r="L202" s="64"/>
      <c r="M202" s="48"/>
      <c r="N202" s="48"/>
      <c r="O202" s="48"/>
      <c r="P202" s="48"/>
      <c r="Q202" s="48"/>
      <c r="R202" s="48"/>
      <c r="S202" s="60"/>
      <c r="T202" s="48"/>
      <c r="U202" s="48"/>
      <c r="V202" s="48"/>
      <c r="W202" s="48"/>
      <c r="X202" s="48"/>
      <c r="Y202" s="48"/>
      <c r="Z202" s="48"/>
      <c r="AA202" s="48"/>
      <c r="AB202" s="48"/>
      <c r="AC202" s="48"/>
      <c r="AD202" s="48"/>
      <c r="AE202" s="48"/>
      <c r="AF202" s="60"/>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56"/>
      <c r="BJ202" s="56"/>
      <c r="BK202" s="56"/>
      <c r="BL202" s="56"/>
      <c r="BM202" s="56"/>
      <c r="BN202" s="56"/>
      <c r="BO202" s="56"/>
      <c r="BP202" s="56"/>
      <c r="BQ202" s="56"/>
      <c r="BR202" s="56"/>
      <c r="BS202" s="56"/>
      <c r="BT202" s="56"/>
      <c r="BU202" s="56"/>
      <c r="BV202" s="56"/>
      <c r="BW202" s="56"/>
      <c r="BX202" s="56"/>
    </row>
    <row r="203">
      <c r="A203" s="48"/>
      <c r="B203" s="48"/>
      <c r="C203" s="48"/>
      <c r="D203" s="48"/>
      <c r="E203" s="48"/>
      <c r="F203" s="48"/>
      <c r="G203" s="48"/>
      <c r="H203" s="48"/>
      <c r="I203" s="48"/>
      <c r="J203" s="48"/>
      <c r="K203" s="64"/>
      <c r="L203" s="64"/>
      <c r="M203" s="48"/>
      <c r="N203" s="48"/>
      <c r="O203" s="48"/>
      <c r="P203" s="48"/>
      <c r="Q203" s="48"/>
      <c r="R203" s="48"/>
      <c r="S203" s="60"/>
      <c r="T203" s="48"/>
      <c r="U203" s="48"/>
      <c r="V203" s="48"/>
      <c r="W203" s="48"/>
      <c r="X203" s="48"/>
      <c r="Y203" s="48"/>
      <c r="Z203" s="48"/>
      <c r="AA203" s="48"/>
      <c r="AB203" s="48"/>
      <c r="AC203" s="48"/>
      <c r="AD203" s="48"/>
      <c r="AE203" s="48"/>
      <c r="AF203" s="60"/>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56"/>
      <c r="BJ203" s="56"/>
      <c r="BK203" s="56"/>
      <c r="BL203" s="56"/>
      <c r="BM203" s="56"/>
      <c r="BN203" s="56"/>
      <c r="BO203" s="56"/>
      <c r="BP203" s="56"/>
      <c r="BQ203" s="56"/>
      <c r="BR203" s="56"/>
      <c r="BS203" s="56"/>
      <c r="BT203" s="56"/>
      <c r="BU203" s="56"/>
      <c r="BV203" s="56"/>
      <c r="BW203" s="56"/>
      <c r="BX203" s="56"/>
    </row>
    <row r="204">
      <c r="A204" s="48"/>
      <c r="B204" s="48"/>
      <c r="C204" s="48"/>
      <c r="D204" s="48"/>
      <c r="E204" s="48"/>
      <c r="F204" s="48"/>
      <c r="G204" s="48"/>
      <c r="H204" s="48"/>
      <c r="I204" s="48"/>
      <c r="J204" s="48"/>
      <c r="K204" s="64"/>
      <c r="L204" s="64"/>
      <c r="M204" s="48"/>
      <c r="N204" s="48"/>
      <c r="O204" s="48"/>
      <c r="P204" s="48"/>
      <c r="Q204" s="48"/>
      <c r="R204" s="48"/>
      <c r="S204" s="60"/>
      <c r="T204" s="48"/>
      <c r="U204" s="48"/>
      <c r="V204" s="48"/>
      <c r="W204" s="48"/>
      <c r="X204" s="48"/>
      <c r="Y204" s="48"/>
      <c r="Z204" s="48"/>
      <c r="AA204" s="48"/>
      <c r="AB204" s="48"/>
      <c r="AC204" s="48"/>
      <c r="AD204" s="48"/>
      <c r="AE204" s="48"/>
      <c r="AF204" s="60"/>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56"/>
      <c r="BJ204" s="56"/>
      <c r="BK204" s="56"/>
      <c r="BL204" s="56"/>
      <c r="BM204" s="56"/>
      <c r="BN204" s="56"/>
      <c r="BO204" s="56"/>
      <c r="BP204" s="56"/>
      <c r="BQ204" s="56"/>
      <c r="BR204" s="56"/>
      <c r="BS204" s="56"/>
      <c r="BT204" s="56"/>
      <c r="BU204" s="56"/>
      <c r="BV204" s="56"/>
      <c r="BW204" s="56"/>
      <c r="BX204" s="56"/>
    </row>
    <row r="205">
      <c r="A205" s="48"/>
      <c r="B205" s="48"/>
      <c r="C205" s="48"/>
      <c r="D205" s="48"/>
      <c r="E205" s="48"/>
      <c r="F205" s="48"/>
      <c r="G205" s="48"/>
      <c r="H205" s="48"/>
      <c r="I205" s="48"/>
      <c r="J205" s="48"/>
      <c r="K205" s="64"/>
      <c r="L205" s="64"/>
      <c r="M205" s="48"/>
      <c r="N205" s="48"/>
      <c r="O205" s="48"/>
      <c r="P205" s="48"/>
      <c r="Q205" s="48"/>
      <c r="R205" s="48"/>
      <c r="S205" s="60"/>
      <c r="T205" s="48"/>
      <c r="U205" s="48"/>
      <c r="V205" s="48"/>
      <c r="W205" s="48"/>
      <c r="X205" s="48"/>
      <c r="Y205" s="48"/>
      <c r="Z205" s="48"/>
      <c r="AA205" s="48"/>
      <c r="AB205" s="48"/>
      <c r="AC205" s="48"/>
      <c r="AD205" s="48"/>
      <c r="AE205" s="48"/>
      <c r="AF205" s="60"/>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56"/>
      <c r="BJ205" s="56"/>
      <c r="BK205" s="56"/>
      <c r="BL205" s="56"/>
      <c r="BM205" s="56"/>
      <c r="BN205" s="56"/>
      <c r="BO205" s="56"/>
      <c r="BP205" s="56"/>
      <c r="BQ205" s="56"/>
      <c r="BR205" s="56"/>
      <c r="BS205" s="56"/>
      <c r="BT205" s="56"/>
      <c r="BU205" s="56"/>
      <c r="BV205" s="56"/>
      <c r="BW205" s="56"/>
      <c r="BX205" s="56"/>
    </row>
    <row r="206">
      <c r="A206" s="48"/>
      <c r="B206" s="48"/>
      <c r="C206" s="48"/>
      <c r="D206" s="48"/>
      <c r="E206" s="48"/>
      <c r="F206" s="48"/>
      <c r="G206" s="48"/>
      <c r="H206" s="48"/>
      <c r="I206" s="48"/>
      <c r="J206" s="48"/>
      <c r="K206" s="64"/>
      <c r="L206" s="64"/>
      <c r="M206" s="48"/>
      <c r="N206" s="48"/>
      <c r="O206" s="48"/>
      <c r="P206" s="48"/>
      <c r="Q206" s="48"/>
      <c r="R206" s="48"/>
      <c r="S206" s="60"/>
      <c r="T206" s="48"/>
      <c r="U206" s="48"/>
      <c r="V206" s="48"/>
      <c r="W206" s="48"/>
      <c r="X206" s="48"/>
      <c r="Y206" s="48"/>
      <c r="Z206" s="48"/>
      <c r="AA206" s="48"/>
      <c r="AB206" s="48"/>
      <c r="AC206" s="48"/>
      <c r="AD206" s="48"/>
      <c r="AE206" s="48"/>
      <c r="AF206" s="60"/>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56"/>
      <c r="BJ206" s="56"/>
      <c r="BK206" s="56"/>
      <c r="BL206" s="56"/>
      <c r="BM206" s="56"/>
      <c r="BN206" s="56"/>
      <c r="BO206" s="56"/>
      <c r="BP206" s="56"/>
      <c r="BQ206" s="56"/>
      <c r="BR206" s="56"/>
      <c r="BS206" s="56"/>
      <c r="BT206" s="56"/>
      <c r="BU206" s="56"/>
      <c r="BV206" s="56"/>
      <c r="BW206" s="56"/>
      <c r="BX206" s="56"/>
    </row>
    <row r="207">
      <c r="A207" s="48"/>
      <c r="B207" s="48"/>
      <c r="C207" s="48"/>
      <c r="D207" s="48"/>
      <c r="E207" s="48"/>
      <c r="F207" s="48"/>
      <c r="G207" s="48"/>
      <c r="H207" s="48"/>
      <c r="I207" s="48"/>
      <c r="J207" s="48"/>
      <c r="K207" s="64"/>
      <c r="L207" s="64"/>
      <c r="M207" s="48"/>
      <c r="N207" s="48"/>
      <c r="O207" s="48"/>
      <c r="P207" s="48"/>
      <c r="Q207" s="48"/>
      <c r="R207" s="48"/>
      <c r="S207" s="60"/>
      <c r="T207" s="48"/>
      <c r="U207" s="48"/>
      <c r="V207" s="48"/>
      <c r="W207" s="48"/>
      <c r="X207" s="48"/>
      <c r="Y207" s="48"/>
      <c r="Z207" s="48"/>
      <c r="AA207" s="48"/>
      <c r="AB207" s="48"/>
      <c r="AC207" s="48"/>
      <c r="AD207" s="48"/>
      <c r="AE207" s="48"/>
      <c r="AF207" s="60"/>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56"/>
      <c r="BJ207" s="56"/>
      <c r="BK207" s="56"/>
      <c r="BL207" s="56"/>
      <c r="BM207" s="56"/>
      <c r="BN207" s="56"/>
      <c r="BO207" s="56"/>
      <c r="BP207" s="56"/>
      <c r="BQ207" s="56"/>
      <c r="BR207" s="56"/>
      <c r="BS207" s="56"/>
      <c r="BT207" s="56"/>
      <c r="BU207" s="56"/>
      <c r="BV207" s="56"/>
      <c r="BW207" s="56"/>
      <c r="BX207" s="56"/>
    </row>
    <row r="208">
      <c r="A208" s="48"/>
      <c r="B208" s="48"/>
      <c r="C208" s="48"/>
      <c r="D208" s="48"/>
      <c r="E208" s="48"/>
      <c r="F208" s="48"/>
      <c r="G208" s="48"/>
      <c r="H208" s="48"/>
      <c r="I208" s="48"/>
      <c r="J208" s="48"/>
      <c r="K208" s="64"/>
      <c r="L208" s="64"/>
      <c r="M208" s="48"/>
      <c r="N208" s="48"/>
      <c r="O208" s="48"/>
      <c r="P208" s="48"/>
      <c r="Q208" s="48"/>
      <c r="R208" s="48"/>
      <c r="S208" s="60"/>
      <c r="T208" s="48"/>
      <c r="U208" s="48"/>
      <c r="V208" s="48"/>
      <c r="W208" s="48"/>
      <c r="X208" s="48"/>
      <c r="Y208" s="48"/>
      <c r="Z208" s="48"/>
      <c r="AA208" s="48"/>
      <c r="AB208" s="48"/>
      <c r="AC208" s="48"/>
      <c r="AD208" s="48"/>
      <c r="AE208" s="48"/>
      <c r="AF208" s="60"/>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56"/>
      <c r="BJ208" s="56"/>
      <c r="BK208" s="56"/>
      <c r="BL208" s="56"/>
      <c r="BM208" s="56"/>
      <c r="BN208" s="56"/>
      <c r="BO208" s="56"/>
      <c r="BP208" s="56"/>
      <c r="BQ208" s="56"/>
      <c r="BR208" s="56"/>
      <c r="BS208" s="56"/>
      <c r="BT208" s="56"/>
      <c r="BU208" s="56"/>
      <c r="BV208" s="56"/>
      <c r="BW208" s="56"/>
      <c r="BX208" s="56"/>
    </row>
    <row r="209">
      <c r="A209" s="48"/>
      <c r="B209" s="48"/>
      <c r="C209" s="48"/>
      <c r="D209" s="48"/>
      <c r="E209" s="48"/>
      <c r="F209" s="48"/>
      <c r="G209" s="48"/>
      <c r="H209" s="48"/>
      <c r="I209" s="48"/>
      <c r="J209" s="48"/>
      <c r="K209" s="64"/>
      <c r="L209" s="64"/>
      <c r="M209" s="48"/>
      <c r="N209" s="48"/>
      <c r="O209" s="48"/>
      <c r="P209" s="48"/>
      <c r="Q209" s="48"/>
      <c r="R209" s="48"/>
      <c r="S209" s="60"/>
      <c r="T209" s="48"/>
      <c r="U209" s="48"/>
      <c r="V209" s="48"/>
      <c r="W209" s="48"/>
      <c r="X209" s="48"/>
      <c r="Y209" s="48"/>
      <c r="Z209" s="48"/>
      <c r="AA209" s="48"/>
      <c r="AB209" s="48"/>
      <c r="AC209" s="48"/>
      <c r="AD209" s="48"/>
      <c r="AE209" s="48"/>
      <c r="AF209" s="60"/>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56"/>
      <c r="BJ209" s="56"/>
      <c r="BK209" s="56"/>
      <c r="BL209" s="56"/>
      <c r="BM209" s="56"/>
      <c r="BN209" s="56"/>
      <c r="BO209" s="56"/>
      <c r="BP209" s="56"/>
      <c r="BQ209" s="56"/>
      <c r="BR209" s="56"/>
      <c r="BS209" s="56"/>
      <c r="BT209" s="56"/>
      <c r="BU209" s="56"/>
      <c r="BV209" s="56"/>
      <c r="BW209" s="56"/>
      <c r="BX209" s="56"/>
    </row>
    <row r="210">
      <c r="A210" s="48"/>
      <c r="B210" s="48"/>
      <c r="C210" s="48"/>
      <c r="D210" s="48"/>
      <c r="E210" s="48"/>
      <c r="F210" s="48"/>
      <c r="G210" s="48"/>
      <c r="H210" s="48"/>
      <c r="I210" s="48"/>
      <c r="J210" s="48"/>
      <c r="K210" s="64"/>
      <c r="L210" s="64"/>
      <c r="M210" s="48"/>
      <c r="N210" s="48"/>
      <c r="O210" s="48"/>
      <c r="P210" s="48"/>
      <c r="Q210" s="48"/>
      <c r="R210" s="48"/>
      <c r="S210" s="60"/>
      <c r="T210" s="48"/>
      <c r="U210" s="48"/>
      <c r="V210" s="48"/>
      <c r="W210" s="48"/>
      <c r="X210" s="48"/>
      <c r="Y210" s="48"/>
      <c r="Z210" s="48"/>
      <c r="AA210" s="48"/>
      <c r="AB210" s="48"/>
      <c r="AC210" s="48"/>
      <c r="AD210" s="48"/>
      <c r="AE210" s="48"/>
      <c r="AF210" s="60"/>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56"/>
      <c r="BJ210" s="56"/>
      <c r="BK210" s="56"/>
      <c r="BL210" s="56"/>
      <c r="BM210" s="56"/>
      <c r="BN210" s="56"/>
      <c r="BO210" s="56"/>
      <c r="BP210" s="56"/>
      <c r="BQ210" s="56"/>
      <c r="BR210" s="56"/>
      <c r="BS210" s="56"/>
      <c r="BT210" s="56"/>
      <c r="BU210" s="56"/>
      <c r="BV210" s="56"/>
      <c r="BW210" s="56"/>
      <c r="BX210" s="56"/>
    </row>
    <row r="211">
      <c r="A211" s="48"/>
      <c r="B211" s="48"/>
      <c r="C211" s="48"/>
      <c r="D211" s="48"/>
      <c r="E211" s="48"/>
      <c r="F211" s="48"/>
      <c r="G211" s="48"/>
      <c r="H211" s="48"/>
      <c r="I211" s="48"/>
      <c r="J211" s="48"/>
      <c r="K211" s="64"/>
      <c r="L211" s="64"/>
      <c r="M211" s="48"/>
      <c r="N211" s="48"/>
      <c r="O211" s="48"/>
      <c r="P211" s="48"/>
      <c r="Q211" s="48"/>
      <c r="R211" s="48"/>
      <c r="S211" s="60"/>
      <c r="T211" s="48"/>
      <c r="U211" s="48"/>
      <c r="V211" s="48"/>
      <c r="W211" s="48"/>
      <c r="X211" s="48"/>
      <c r="Y211" s="48"/>
      <c r="Z211" s="48"/>
      <c r="AA211" s="48"/>
      <c r="AB211" s="48"/>
      <c r="AC211" s="48"/>
      <c r="AD211" s="48"/>
      <c r="AE211" s="48"/>
      <c r="AF211" s="60"/>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56"/>
      <c r="BJ211" s="56"/>
      <c r="BK211" s="56"/>
      <c r="BL211" s="56"/>
      <c r="BM211" s="56"/>
      <c r="BN211" s="56"/>
      <c r="BO211" s="56"/>
      <c r="BP211" s="56"/>
      <c r="BQ211" s="56"/>
      <c r="BR211" s="56"/>
      <c r="BS211" s="56"/>
      <c r="BT211" s="56"/>
      <c r="BU211" s="56"/>
      <c r="BV211" s="56"/>
      <c r="BW211" s="56"/>
      <c r="BX211" s="56"/>
    </row>
    <row r="212">
      <c r="A212" s="48"/>
      <c r="B212" s="48"/>
      <c r="C212" s="48"/>
      <c r="D212" s="48"/>
      <c r="E212" s="48"/>
      <c r="F212" s="48"/>
      <c r="G212" s="48"/>
      <c r="H212" s="48"/>
      <c r="I212" s="48"/>
      <c r="J212" s="48"/>
      <c r="K212" s="64"/>
      <c r="L212" s="64"/>
      <c r="M212" s="48"/>
      <c r="N212" s="48"/>
      <c r="O212" s="48"/>
      <c r="P212" s="48"/>
      <c r="Q212" s="48"/>
      <c r="R212" s="48"/>
      <c r="S212" s="60"/>
      <c r="T212" s="48"/>
      <c r="U212" s="48"/>
      <c r="V212" s="48"/>
      <c r="W212" s="48"/>
      <c r="X212" s="48"/>
      <c r="Y212" s="48"/>
      <c r="Z212" s="48"/>
      <c r="AA212" s="48"/>
      <c r="AB212" s="48"/>
      <c r="AC212" s="48"/>
      <c r="AD212" s="48"/>
      <c r="AE212" s="48"/>
      <c r="AF212" s="60"/>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56"/>
      <c r="BJ212" s="56"/>
      <c r="BK212" s="56"/>
      <c r="BL212" s="56"/>
      <c r="BM212" s="56"/>
      <c r="BN212" s="56"/>
      <c r="BO212" s="56"/>
      <c r="BP212" s="56"/>
      <c r="BQ212" s="56"/>
      <c r="BR212" s="56"/>
      <c r="BS212" s="56"/>
      <c r="BT212" s="56"/>
      <c r="BU212" s="56"/>
      <c r="BV212" s="56"/>
      <c r="BW212" s="56"/>
      <c r="BX212" s="56"/>
    </row>
    <row r="213">
      <c r="A213" s="48"/>
      <c r="B213" s="48"/>
      <c r="C213" s="48"/>
      <c r="D213" s="48"/>
      <c r="E213" s="48"/>
      <c r="F213" s="48"/>
      <c r="G213" s="48"/>
      <c r="H213" s="48"/>
      <c r="I213" s="48"/>
      <c r="J213" s="48"/>
      <c r="K213" s="64"/>
      <c r="L213" s="64"/>
      <c r="M213" s="48"/>
      <c r="N213" s="48"/>
      <c r="O213" s="48"/>
      <c r="P213" s="48"/>
      <c r="Q213" s="48"/>
      <c r="R213" s="48"/>
      <c r="S213" s="60"/>
      <c r="T213" s="48"/>
      <c r="U213" s="48"/>
      <c r="V213" s="48"/>
      <c r="W213" s="48"/>
      <c r="X213" s="48"/>
      <c r="Y213" s="48"/>
      <c r="Z213" s="48"/>
      <c r="AA213" s="48"/>
      <c r="AB213" s="48"/>
      <c r="AC213" s="48"/>
      <c r="AD213" s="48"/>
      <c r="AE213" s="48"/>
      <c r="AF213" s="60"/>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56"/>
      <c r="BJ213" s="56"/>
      <c r="BK213" s="56"/>
      <c r="BL213" s="56"/>
      <c r="BM213" s="56"/>
      <c r="BN213" s="56"/>
      <c r="BO213" s="56"/>
      <c r="BP213" s="56"/>
      <c r="BQ213" s="56"/>
      <c r="BR213" s="56"/>
      <c r="BS213" s="56"/>
      <c r="BT213" s="56"/>
      <c r="BU213" s="56"/>
      <c r="BV213" s="56"/>
      <c r="BW213" s="56"/>
      <c r="BX213" s="56"/>
    </row>
    <row r="214">
      <c r="A214" s="48"/>
      <c r="B214" s="48"/>
      <c r="C214" s="48"/>
      <c r="D214" s="48"/>
      <c r="E214" s="48"/>
      <c r="F214" s="48"/>
      <c r="G214" s="48"/>
      <c r="H214" s="48"/>
      <c r="I214" s="48"/>
      <c r="J214" s="48"/>
      <c r="K214" s="64"/>
      <c r="L214" s="64"/>
      <c r="M214" s="48"/>
      <c r="N214" s="48"/>
      <c r="O214" s="48"/>
      <c r="P214" s="48"/>
      <c r="Q214" s="48"/>
      <c r="R214" s="48"/>
      <c r="S214" s="60"/>
      <c r="T214" s="48"/>
      <c r="U214" s="48"/>
      <c r="V214" s="48"/>
      <c r="W214" s="48"/>
      <c r="X214" s="48"/>
      <c r="Y214" s="48"/>
      <c r="Z214" s="48"/>
      <c r="AA214" s="48"/>
      <c r="AB214" s="48"/>
      <c r="AC214" s="48"/>
      <c r="AD214" s="48"/>
      <c r="AE214" s="48"/>
      <c r="AF214" s="60"/>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56"/>
      <c r="BJ214" s="56"/>
      <c r="BK214" s="56"/>
      <c r="BL214" s="56"/>
      <c r="BM214" s="56"/>
      <c r="BN214" s="56"/>
      <c r="BO214" s="56"/>
      <c r="BP214" s="56"/>
      <c r="BQ214" s="56"/>
      <c r="BR214" s="56"/>
      <c r="BS214" s="56"/>
      <c r="BT214" s="56"/>
      <c r="BU214" s="56"/>
      <c r="BV214" s="56"/>
      <c r="BW214" s="56"/>
      <c r="BX214" s="56"/>
    </row>
    <row r="215">
      <c r="A215" s="48"/>
      <c r="B215" s="48"/>
      <c r="C215" s="48"/>
      <c r="D215" s="48"/>
      <c r="E215" s="48"/>
      <c r="F215" s="48"/>
      <c r="G215" s="48"/>
      <c r="H215" s="48"/>
      <c r="I215" s="48"/>
      <c r="J215" s="48"/>
      <c r="K215" s="64"/>
      <c r="L215" s="64"/>
      <c r="M215" s="48"/>
      <c r="N215" s="48"/>
      <c r="O215" s="48"/>
      <c r="P215" s="48"/>
      <c r="Q215" s="48"/>
      <c r="R215" s="48"/>
      <c r="S215" s="60"/>
      <c r="T215" s="48"/>
      <c r="U215" s="48"/>
      <c r="V215" s="48"/>
      <c r="W215" s="48"/>
      <c r="X215" s="48"/>
      <c r="Y215" s="48"/>
      <c r="Z215" s="48"/>
      <c r="AA215" s="48"/>
      <c r="AB215" s="48"/>
      <c r="AC215" s="48"/>
      <c r="AD215" s="48"/>
      <c r="AE215" s="48"/>
      <c r="AF215" s="60"/>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56"/>
      <c r="BJ215" s="56"/>
      <c r="BK215" s="56"/>
      <c r="BL215" s="56"/>
      <c r="BM215" s="56"/>
      <c r="BN215" s="56"/>
      <c r="BO215" s="56"/>
      <c r="BP215" s="56"/>
      <c r="BQ215" s="56"/>
      <c r="BR215" s="56"/>
      <c r="BS215" s="56"/>
      <c r="BT215" s="56"/>
      <c r="BU215" s="56"/>
      <c r="BV215" s="56"/>
      <c r="BW215" s="56"/>
      <c r="BX215" s="56"/>
    </row>
    <row r="216">
      <c r="A216" s="48"/>
      <c r="B216" s="48"/>
      <c r="C216" s="48"/>
      <c r="D216" s="48"/>
      <c r="E216" s="48"/>
      <c r="F216" s="48"/>
      <c r="G216" s="48"/>
      <c r="H216" s="48"/>
      <c r="I216" s="48"/>
      <c r="J216" s="48"/>
      <c r="K216" s="64"/>
      <c r="L216" s="64"/>
      <c r="M216" s="48"/>
      <c r="N216" s="48"/>
      <c r="O216" s="48"/>
      <c r="P216" s="48"/>
      <c r="Q216" s="48"/>
      <c r="R216" s="48"/>
      <c r="S216" s="60"/>
      <c r="T216" s="48"/>
      <c r="U216" s="48"/>
      <c r="V216" s="48"/>
      <c r="W216" s="48"/>
      <c r="X216" s="48"/>
      <c r="Y216" s="48"/>
      <c r="Z216" s="48"/>
      <c r="AA216" s="48"/>
      <c r="AB216" s="48"/>
      <c r="AC216" s="48"/>
      <c r="AD216" s="48"/>
      <c r="AE216" s="48"/>
      <c r="AF216" s="60"/>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56"/>
      <c r="BJ216" s="56"/>
      <c r="BK216" s="56"/>
      <c r="BL216" s="56"/>
      <c r="BM216" s="56"/>
      <c r="BN216" s="56"/>
      <c r="BO216" s="56"/>
      <c r="BP216" s="56"/>
      <c r="BQ216" s="56"/>
      <c r="BR216" s="56"/>
      <c r="BS216" s="56"/>
      <c r="BT216" s="56"/>
      <c r="BU216" s="56"/>
      <c r="BV216" s="56"/>
      <c r="BW216" s="56"/>
      <c r="BX216" s="56"/>
    </row>
    <row r="217">
      <c r="A217" s="48"/>
      <c r="B217" s="48"/>
      <c r="C217" s="48"/>
      <c r="D217" s="48"/>
      <c r="E217" s="48"/>
      <c r="F217" s="48"/>
      <c r="G217" s="48"/>
      <c r="H217" s="48"/>
      <c r="I217" s="48"/>
      <c r="J217" s="48"/>
      <c r="K217" s="64"/>
      <c r="L217" s="64"/>
      <c r="M217" s="48"/>
      <c r="N217" s="48"/>
      <c r="O217" s="48"/>
      <c r="P217" s="48"/>
      <c r="Q217" s="48"/>
      <c r="R217" s="48"/>
      <c r="S217" s="60"/>
      <c r="T217" s="48"/>
      <c r="U217" s="48"/>
      <c r="V217" s="48"/>
      <c r="W217" s="48"/>
      <c r="X217" s="48"/>
      <c r="Y217" s="48"/>
      <c r="Z217" s="48"/>
      <c r="AA217" s="48"/>
      <c r="AB217" s="48"/>
      <c r="AC217" s="48"/>
      <c r="AD217" s="48"/>
      <c r="AE217" s="48"/>
      <c r="AF217" s="60"/>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56"/>
      <c r="BJ217" s="56"/>
      <c r="BK217" s="56"/>
      <c r="BL217" s="56"/>
      <c r="BM217" s="56"/>
      <c r="BN217" s="56"/>
      <c r="BO217" s="56"/>
      <c r="BP217" s="56"/>
      <c r="BQ217" s="56"/>
      <c r="BR217" s="56"/>
      <c r="BS217" s="56"/>
      <c r="BT217" s="56"/>
      <c r="BU217" s="56"/>
      <c r="BV217" s="56"/>
      <c r="BW217" s="56"/>
      <c r="BX217" s="56"/>
    </row>
    <row r="218">
      <c r="A218" s="48"/>
      <c r="B218" s="48"/>
      <c r="C218" s="48"/>
      <c r="D218" s="48"/>
      <c r="E218" s="48"/>
      <c r="F218" s="48"/>
      <c r="G218" s="48"/>
      <c r="H218" s="48"/>
      <c r="I218" s="48"/>
      <c r="J218" s="48"/>
      <c r="K218" s="64"/>
      <c r="L218" s="64"/>
      <c r="M218" s="48"/>
      <c r="N218" s="48"/>
      <c r="O218" s="48"/>
      <c r="P218" s="48"/>
      <c r="Q218" s="48"/>
      <c r="R218" s="48"/>
      <c r="S218" s="60"/>
      <c r="T218" s="48"/>
      <c r="U218" s="48"/>
      <c r="V218" s="48"/>
      <c r="W218" s="48"/>
      <c r="X218" s="48"/>
      <c r="Y218" s="48"/>
      <c r="Z218" s="48"/>
      <c r="AA218" s="48"/>
      <c r="AB218" s="48"/>
      <c r="AC218" s="48"/>
      <c r="AD218" s="48"/>
      <c r="AE218" s="48"/>
      <c r="AF218" s="60"/>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56"/>
      <c r="BJ218" s="56"/>
      <c r="BK218" s="56"/>
      <c r="BL218" s="56"/>
      <c r="BM218" s="56"/>
      <c r="BN218" s="56"/>
      <c r="BO218" s="56"/>
      <c r="BP218" s="56"/>
      <c r="BQ218" s="56"/>
      <c r="BR218" s="56"/>
      <c r="BS218" s="56"/>
      <c r="BT218" s="56"/>
      <c r="BU218" s="56"/>
      <c r="BV218" s="56"/>
      <c r="BW218" s="56"/>
      <c r="BX218" s="56"/>
    </row>
    <row r="219">
      <c r="A219" s="48"/>
      <c r="B219" s="48"/>
      <c r="C219" s="48"/>
      <c r="D219" s="48"/>
      <c r="E219" s="48"/>
      <c r="F219" s="48"/>
      <c r="G219" s="48"/>
      <c r="H219" s="48"/>
      <c r="I219" s="48"/>
      <c r="J219" s="48"/>
      <c r="K219" s="64"/>
      <c r="L219" s="64"/>
      <c r="M219" s="48"/>
      <c r="N219" s="48"/>
      <c r="O219" s="48"/>
      <c r="P219" s="48"/>
      <c r="Q219" s="48"/>
      <c r="R219" s="48"/>
      <c r="S219" s="60"/>
      <c r="T219" s="48"/>
      <c r="U219" s="48"/>
      <c r="V219" s="48"/>
      <c r="W219" s="48"/>
      <c r="X219" s="48"/>
      <c r="Y219" s="48"/>
      <c r="Z219" s="48"/>
      <c r="AA219" s="48"/>
      <c r="AB219" s="48"/>
      <c r="AC219" s="48"/>
      <c r="AD219" s="48"/>
      <c r="AE219" s="48"/>
      <c r="AF219" s="60"/>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56"/>
      <c r="BJ219" s="56"/>
      <c r="BK219" s="56"/>
      <c r="BL219" s="56"/>
      <c r="BM219" s="56"/>
      <c r="BN219" s="56"/>
      <c r="BO219" s="56"/>
      <c r="BP219" s="56"/>
      <c r="BQ219" s="56"/>
      <c r="BR219" s="56"/>
      <c r="BS219" s="56"/>
      <c r="BT219" s="56"/>
      <c r="BU219" s="56"/>
      <c r="BV219" s="56"/>
      <c r="BW219" s="56"/>
      <c r="BX219" s="56"/>
    </row>
    <row r="220">
      <c r="A220" s="48"/>
      <c r="B220" s="48"/>
      <c r="C220" s="48"/>
      <c r="D220" s="48"/>
      <c r="E220" s="48"/>
      <c r="F220" s="48"/>
      <c r="G220" s="48"/>
      <c r="H220" s="48"/>
      <c r="I220" s="48"/>
      <c r="J220" s="48"/>
      <c r="K220" s="64"/>
      <c r="L220" s="64"/>
      <c r="M220" s="48"/>
      <c r="N220" s="48"/>
      <c r="O220" s="48"/>
      <c r="P220" s="48"/>
      <c r="Q220" s="48"/>
      <c r="R220" s="48"/>
      <c r="S220" s="60"/>
      <c r="T220" s="48"/>
      <c r="U220" s="48"/>
      <c r="V220" s="48"/>
      <c r="W220" s="48"/>
      <c r="X220" s="48"/>
      <c r="Y220" s="48"/>
      <c r="Z220" s="48"/>
      <c r="AA220" s="48"/>
      <c r="AB220" s="48"/>
      <c r="AC220" s="48"/>
      <c r="AD220" s="48"/>
      <c r="AE220" s="48"/>
      <c r="AF220" s="60"/>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56"/>
      <c r="BJ220" s="56"/>
      <c r="BK220" s="56"/>
      <c r="BL220" s="56"/>
      <c r="BM220" s="56"/>
      <c r="BN220" s="56"/>
      <c r="BO220" s="56"/>
      <c r="BP220" s="56"/>
      <c r="BQ220" s="56"/>
      <c r="BR220" s="56"/>
      <c r="BS220" s="56"/>
      <c r="BT220" s="56"/>
      <c r="BU220" s="56"/>
      <c r="BV220" s="56"/>
      <c r="BW220" s="56"/>
      <c r="BX220" s="56"/>
    </row>
    <row r="221">
      <c r="A221" s="48"/>
      <c r="B221" s="48"/>
      <c r="C221" s="48"/>
      <c r="D221" s="48"/>
      <c r="E221" s="48"/>
      <c r="F221" s="48"/>
      <c r="G221" s="48"/>
      <c r="H221" s="48"/>
      <c r="I221" s="48"/>
      <c r="J221" s="48"/>
      <c r="K221" s="64"/>
      <c r="L221" s="64"/>
      <c r="M221" s="48"/>
      <c r="N221" s="48"/>
      <c r="O221" s="48"/>
      <c r="P221" s="48"/>
      <c r="Q221" s="48"/>
      <c r="R221" s="48"/>
      <c r="S221" s="60"/>
      <c r="T221" s="48"/>
      <c r="U221" s="48"/>
      <c r="V221" s="48"/>
      <c r="W221" s="48"/>
      <c r="X221" s="48"/>
      <c r="Y221" s="48"/>
      <c r="Z221" s="48"/>
      <c r="AA221" s="48"/>
      <c r="AB221" s="48"/>
      <c r="AC221" s="48"/>
      <c r="AD221" s="48"/>
      <c r="AE221" s="48"/>
      <c r="AF221" s="60"/>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56"/>
      <c r="BJ221" s="56"/>
      <c r="BK221" s="56"/>
      <c r="BL221" s="56"/>
      <c r="BM221" s="56"/>
      <c r="BN221" s="56"/>
      <c r="BO221" s="56"/>
      <c r="BP221" s="56"/>
      <c r="BQ221" s="56"/>
      <c r="BR221" s="56"/>
      <c r="BS221" s="56"/>
      <c r="BT221" s="56"/>
      <c r="BU221" s="56"/>
      <c r="BV221" s="56"/>
      <c r="BW221" s="56"/>
      <c r="BX221" s="56"/>
    </row>
    <row r="222">
      <c r="A222" s="48"/>
      <c r="B222" s="48"/>
      <c r="C222" s="48"/>
      <c r="D222" s="48"/>
      <c r="E222" s="48"/>
      <c r="F222" s="48"/>
      <c r="G222" s="48"/>
      <c r="H222" s="48"/>
      <c r="I222" s="48"/>
      <c r="J222" s="48"/>
      <c r="K222" s="64"/>
      <c r="L222" s="64"/>
      <c r="M222" s="48"/>
      <c r="N222" s="48"/>
      <c r="O222" s="48"/>
      <c r="P222" s="48"/>
      <c r="Q222" s="48"/>
      <c r="R222" s="48"/>
      <c r="S222" s="60"/>
      <c r="T222" s="48"/>
      <c r="U222" s="48"/>
      <c r="V222" s="48"/>
      <c r="W222" s="48"/>
      <c r="X222" s="48"/>
      <c r="Y222" s="48"/>
      <c r="Z222" s="48"/>
      <c r="AA222" s="48"/>
      <c r="AB222" s="48"/>
      <c r="AC222" s="48"/>
      <c r="AD222" s="48"/>
      <c r="AE222" s="48"/>
      <c r="AF222" s="60"/>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56"/>
      <c r="BJ222" s="56"/>
      <c r="BK222" s="56"/>
      <c r="BL222" s="56"/>
      <c r="BM222" s="56"/>
      <c r="BN222" s="56"/>
      <c r="BO222" s="56"/>
      <c r="BP222" s="56"/>
      <c r="BQ222" s="56"/>
      <c r="BR222" s="56"/>
      <c r="BS222" s="56"/>
      <c r="BT222" s="56"/>
      <c r="BU222" s="56"/>
      <c r="BV222" s="56"/>
      <c r="BW222" s="56"/>
      <c r="BX222" s="56"/>
    </row>
    <row r="223">
      <c r="A223" s="48"/>
      <c r="B223" s="48"/>
      <c r="C223" s="48"/>
      <c r="D223" s="48"/>
      <c r="E223" s="48"/>
      <c r="F223" s="48"/>
      <c r="G223" s="48"/>
      <c r="H223" s="48"/>
      <c r="I223" s="48"/>
      <c r="J223" s="48"/>
      <c r="K223" s="64"/>
      <c r="L223" s="64"/>
      <c r="M223" s="48"/>
      <c r="N223" s="48"/>
      <c r="O223" s="48"/>
      <c r="P223" s="48"/>
      <c r="Q223" s="48"/>
      <c r="R223" s="48"/>
      <c r="S223" s="60"/>
      <c r="T223" s="48"/>
      <c r="U223" s="48"/>
      <c r="V223" s="48"/>
      <c r="W223" s="48"/>
      <c r="X223" s="48"/>
      <c r="Y223" s="48"/>
      <c r="Z223" s="48"/>
      <c r="AA223" s="48"/>
      <c r="AB223" s="48"/>
      <c r="AC223" s="48"/>
      <c r="AD223" s="48"/>
      <c r="AE223" s="48"/>
      <c r="AF223" s="60"/>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56"/>
      <c r="BJ223" s="56"/>
      <c r="BK223" s="56"/>
      <c r="BL223" s="56"/>
      <c r="BM223" s="56"/>
      <c r="BN223" s="56"/>
      <c r="BO223" s="56"/>
      <c r="BP223" s="56"/>
      <c r="BQ223" s="56"/>
      <c r="BR223" s="56"/>
      <c r="BS223" s="56"/>
      <c r="BT223" s="56"/>
      <c r="BU223" s="56"/>
      <c r="BV223" s="56"/>
      <c r="BW223" s="56"/>
      <c r="BX223" s="56"/>
    </row>
    <row r="224">
      <c r="A224" s="48"/>
      <c r="B224" s="48"/>
      <c r="C224" s="48"/>
      <c r="D224" s="48"/>
      <c r="E224" s="48"/>
      <c r="F224" s="48"/>
      <c r="G224" s="48"/>
      <c r="H224" s="48"/>
      <c r="I224" s="48"/>
      <c r="J224" s="48"/>
      <c r="K224" s="64"/>
      <c r="L224" s="64"/>
      <c r="M224" s="48"/>
      <c r="N224" s="48"/>
      <c r="O224" s="48"/>
      <c r="P224" s="48"/>
      <c r="Q224" s="48"/>
      <c r="R224" s="48"/>
      <c r="S224" s="60"/>
      <c r="T224" s="48"/>
      <c r="U224" s="48"/>
      <c r="V224" s="48"/>
      <c r="W224" s="48"/>
      <c r="X224" s="48"/>
      <c r="Y224" s="48"/>
      <c r="Z224" s="48"/>
      <c r="AA224" s="48"/>
      <c r="AB224" s="48"/>
      <c r="AC224" s="48"/>
      <c r="AD224" s="48"/>
      <c r="AE224" s="48"/>
      <c r="AF224" s="60"/>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56"/>
      <c r="BJ224" s="56"/>
      <c r="BK224" s="56"/>
      <c r="BL224" s="56"/>
      <c r="BM224" s="56"/>
      <c r="BN224" s="56"/>
      <c r="BO224" s="56"/>
      <c r="BP224" s="56"/>
      <c r="BQ224" s="56"/>
      <c r="BR224" s="56"/>
      <c r="BS224" s="56"/>
      <c r="BT224" s="56"/>
      <c r="BU224" s="56"/>
      <c r="BV224" s="56"/>
      <c r="BW224" s="56"/>
      <c r="BX224" s="56"/>
    </row>
    <row r="225">
      <c r="A225" s="48"/>
      <c r="B225" s="48"/>
      <c r="C225" s="48"/>
      <c r="D225" s="48"/>
      <c r="E225" s="48"/>
      <c r="F225" s="48"/>
      <c r="G225" s="48"/>
      <c r="H225" s="48"/>
      <c r="I225" s="48"/>
      <c r="J225" s="48"/>
      <c r="K225" s="64"/>
      <c r="L225" s="64"/>
      <c r="M225" s="48"/>
      <c r="N225" s="48"/>
      <c r="O225" s="48"/>
      <c r="P225" s="48"/>
      <c r="Q225" s="48"/>
      <c r="R225" s="48"/>
      <c r="S225" s="60"/>
      <c r="T225" s="48"/>
      <c r="U225" s="48"/>
      <c r="V225" s="48"/>
      <c r="W225" s="48"/>
      <c r="X225" s="48"/>
      <c r="Y225" s="48"/>
      <c r="Z225" s="48"/>
      <c r="AA225" s="48"/>
      <c r="AB225" s="48"/>
      <c r="AC225" s="48"/>
      <c r="AD225" s="48"/>
      <c r="AE225" s="48"/>
      <c r="AF225" s="60"/>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56"/>
      <c r="BJ225" s="56"/>
      <c r="BK225" s="56"/>
      <c r="BL225" s="56"/>
      <c r="BM225" s="56"/>
      <c r="BN225" s="56"/>
      <c r="BO225" s="56"/>
      <c r="BP225" s="56"/>
      <c r="BQ225" s="56"/>
      <c r="BR225" s="56"/>
      <c r="BS225" s="56"/>
      <c r="BT225" s="56"/>
      <c r="BU225" s="56"/>
      <c r="BV225" s="56"/>
      <c r="BW225" s="56"/>
      <c r="BX225" s="56"/>
    </row>
    <row r="226">
      <c r="A226" s="48"/>
      <c r="B226" s="48"/>
      <c r="C226" s="48"/>
      <c r="D226" s="48"/>
      <c r="E226" s="48"/>
      <c r="F226" s="48"/>
      <c r="G226" s="48"/>
      <c r="H226" s="48"/>
      <c r="I226" s="48"/>
      <c r="J226" s="48"/>
      <c r="K226" s="64"/>
      <c r="L226" s="64"/>
      <c r="M226" s="48"/>
      <c r="N226" s="48"/>
      <c r="O226" s="48"/>
      <c r="P226" s="48"/>
      <c r="Q226" s="48"/>
      <c r="R226" s="48"/>
      <c r="S226" s="60"/>
      <c r="T226" s="48"/>
      <c r="U226" s="48"/>
      <c r="V226" s="48"/>
      <c r="W226" s="48"/>
      <c r="X226" s="48"/>
      <c r="Y226" s="48"/>
      <c r="Z226" s="48"/>
      <c r="AA226" s="48"/>
      <c r="AB226" s="48"/>
      <c r="AC226" s="48"/>
      <c r="AD226" s="48"/>
      <c r="AE226" s="48"/>
      <c r="AF226" s="60"/>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56"/>
      <c r="BJ226" s="56"/>
      <c r="BK226" s="56"/>
      <c r="BL226" s="56"/>
      <c r="BM226" s="56"/>
      <c r="BN226" s="56"/>
      <c r="BO226" s="56"/>
      <c r="BP226" s="56"/>
      <c r="BQ226" s="56"/>
      <c r="BR226" s="56"/>
      <c r="BS226" s="56"/>
      <c r="BT226" s="56"/>
      <c r="BU226" s="56"/>
      <c r="BV226" s="56"/>
      <c r="BW226" s="56"/>
      <c r="BX226" s="56"/>
    </row>
    <row r="227">
      <c r="A227" s="48"/>
      <c r="B227" s="48"/>
      <c r="C227" s="48"/>
      <c r="D227" s="48"/>
      <c r="E227" s="48"/>
      <c r="F227" s="48"/>
      <c r="G227" s="48"/>
      <c r="H227" s="48"/>
      <c r="I227" s="48"/>
      <c r="J227" s="48"/>
      <c r="K227" s="64"/>
      <c r="L227" s="64"/>
      <c r="M227" s="48"/>
      <c r="N227" s="48"/>
      <c r="O227" s="48"/>
      <c r="P227" s="48"/>
      <c r="Q227" s="48"/>
      <c r="R227" s="48"/>
      <c r="S227" s="60"/>
      <c r="T227" s="48"/>
      <c r="U227" s="48"/>
      <c r="V227" s="48"/>
      <c r="W227" s="48"/>
      <c r="X227" s="48"/>
      <c r="Y227" s="48"/>
      <c r="Z227" s="48"/>
      <c r="AA227" s="48"/>
      <c r="AB227" s="48"/>
      <c r="AC227" s="48"/>
      <c r="AD227" s="48"/>
      <c r="AE227" s="48"/>
      <c r="AF227" s="60"/>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56"/>
      <c r="BJ227" s="56"/>
      <c r="BK227" s="56"/>
      <c r="BL227" s="56"/>
      <c r="BM227" s="56"/>
      <c r="BN227" s="56"/>
      <c r="BO227" s="56"/>
      <c r="BP227" s="56"/>
      <c r="BQ227" s="56"/>
      <c r="BR227" s="56"/>
      <c r="BS227" s="56"/>
      <c r="BT227" s="56"/>
      <c r="BU227" s="56"/>
      <c r="BV227" s="56"/>
      <c r="BW227" s="56"/>
      <c r="BX227" s="56"/>
    </row>
    <row r="228">
      <c r="A228" s="48"/>
      <c r="B228" s="48"/>
      <c r="C228" s="48"/>
      <c r="D228" s="48"/>
      <c r="E228" s="48"/>
      <c r="F228" s="48"/>
      <c r="G228" s="48"/>
      <c r="H228" s="48"/>
      <c r="I228" s="48"/>
      <c r="J228" s="48"/>
      <c r="K228" s="64"/>
      <c r="L228" s="64"/>
      <c r="M228" s="48"/>
      <c r="N228" s="48"/>
      <c r="O228" s="48"/>
      <c r="P228" s="48"/>
      <c r="Q228" s="48"/>
      <c r="R228" s="48"/>
      <c r="S228" s="60"/>
      <c r="T228" s="48"/>
      <c r="U228" s="48"/>
      <c r="V228" s="48"/>
      <c r="W228" s="48"/>
      <c r="X228" s="48"/>
      <c r="Y228" s="48"/>
      <c r="Z228" s="48"/>
      <c r="AA228" s="48"/>
      <c r="AB228" s="48"/>
      <c r="AC228" s="48"/>
      <c r="AD228" s="48"/>
      <c r="AE228" s="48"/>
      <c r="AF228" s="60"/>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56"/>
      <c r="BJ228" s="56"/>
      <c r="BK228" s="56"/>
      <c r="BL228" s="56"/>
      <c r="BM228" s="56"/>
      <c r="BN228" s="56"/>
      <c r="BO228" s="56"/>
      <c r="BP228" s="56"/>
      <c r="BQ228" s="56"/>
      <c r="BR228" s="56"/>
      <c r="BS228" s="56"/>
      <c r="BT228" s="56"/>
      <c r="BU228" s="56"/>
      <c r="BV228" s="56"/>
      <c r="BW228" s="56"/>
      <c r="BX228" s="56"/>
    </row>
    <row r="229">
      <c r="A229" s="48"/>
      <c r="B229" s="48"/>
      <c r="C229" s="48"/>
      <c r="D229" s="48"/>
      <c r="E229" s="48"/>
      <c r="F229" s="48"/>
      <c r="G229" s="48"/>
      <c r="H229" s="48"/>
      <c r="I229" s="48"/>
      <c r="J229" s="48"/>
      <c r="K229" s="64"/>
      <c r="L229" s="64"/>
      <c r="M229" s="48"/>
      <c r="N229" s="48"/>
      <c r="O229" s="48"/>
      <c r="P229" s="48"/>
      <c r="Q229" s="48"/>
      <c r="R229" s="48"/>
      <c r="S229" s="60"/>
      <c r="T229" s="48"/>
      <c r="U229" s="48"/>
      <c r="V229" s="48"/>
      <c r="W229" s="48"/>
      <c r="X229" s="48"/>
      <c r="Y229" s="48"/>
      <c r="Z229" s="48"/>
      <c r="AA229" s="48"/>
      <c r="AB229" s="48"/>
      <c r="AC229" s="48"/>
      <c r="AD229" s="48"/>
      <c r="AE229" s="48"/>
      <c r="AF229" s="60"/>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56"/>
      <c r="BJ229" s="56"/>
      <c r="BK229" s="56"/>
      <c r="BL229" s="56"/>
      <c r="BM229" s="56"/>
      <c r="BN229" s="56"/>
      <c r="BO229" s="56"/>
      <c r="BP229" s="56"/>
      <c r="BQ229" s="56"/>
      <c r="BR229" s="56"/>
      <c r="BS229" s="56"/>
      <c r="BT229" s="56"/>
      <c r="BU229" s="56"/>
      <c r="BV229" s="56"/>
      <c r="BW229" s="56"/>
      <c r="BX229" s="56"/>
    </row>
    <row r="230">
      <c r="A230" s="48"/>
      <c r="B230" s="48"/>
      <c r="C230" s="48"/>
      <c r="D230" s="48"/>
      <c r="E230" s="48"/>
      <c r="F230" s="48"/>
      <c r="G230" s="48"/>
      <c r="H230" s="48"/>
      <c r="I230" s="48"/>
      <c r="J230" s="48"/>
      <c r="K230" s="64"/>
      <c r="L230" s="64"/>
      <c r="M230" s="48"/>
      <c r="N230" s="48"/>
      <c r="O230" s="48"/>
      <c r="P230" s="48"/>
      <c r="Q230" s="48"/>
      <c r="R230" s="48"/>
      <c r="S230" s="60"/>
      <c r="T230" s="48"/>
      <c r="U230" s="48"/>
      <c r="V230" s="48"/>
      <c r="W230" s="48"/>
      <c r="X230" s="48"/>
      <c r="Y230" s="48"/>
      <c r="Z230" s="48"/>
      <c r="AA230" s="48"/>
      <c r="AB230" s="48"/>
      <c r="AC230" s="48"/>
      <c r="AD230" s="48"/>
      <c r="AE230" s="48"/>
      <c r="AF230" s="60"/>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56"/>
      <c r="BJ230" s="56"/>
      <c r="BK230" s="56"/>
      <c r="BL230" s="56"/>
      <c r="BM230" s="56"/>
      <c r="BN230" s="56"/>
      <c r="BO230" s="56"/>
      <c r="BP230" s="56"/>
      <c r="BQ230" s="56"/>
      <c r="BR230" s="56"/>
      <c r="BS230" s="56"/>
      <c r="BT230" s="56"/>
      <c r="BU230" s="56"/>
      <c r="BV230" s="56"/>
      <c r="BW230" s="56"/>
      <c r="BX230" s="56"/>
    </row>
    <row r="231">
      <c r="A231" s="48"/>
      <c r="B231" s="48"/>
      <c r="C231" s="48"/>
      <c r="D231" s="48"/>
      <c r="E231" s="48"/>
      <c r="F231" s="48"/>
      <c r="G231" s="48"/>
      <c r="H231" s="48"/>
      <c r="I231" s="48"/>
      <c r="J231" s="48"/>
      <c r="K231" s="64"/>
      <c r="L231" s="64"/>
      <c r="M231" s="48"/>
      <c r="N231" s="48"/>
      <c r="O231" s="48"/>
      <c r="P231" s="48"/>
      <c r="Q231" s="48"/>
      <c r="R231" s="48"/>
      <c r="S231" s="60"/>
      <c r="T231" s="48"/>
      <c r="U231" s="48"/>
      <c r="V231" s="48"/>
      <c r="W231" s="48"/>
      <c r="X231" s="48"/>
      <c r="Y231" s="48"/>
      <c r="Z231" s="48"/>
      <c r="AA231" s="48"/>
      <c r="AB231" s="48"/>
      <c r="AC231" s="48"/>
      <c r="AD231" s="48"/>
      <c r="AE231" s="48"/>
      <c r="AF231" s="60"/>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56"/>
      <c r="BJ231" s="56"/>
      <c r="BK231" s="56"/>
      <c r="BL231" s="56"/>
      <c r="BM231" s="56"/>
      <c r="BN231" s="56"/>
      <c r="BO231" s="56"/>
      <c r="BP231" s="56"/>
      <c r="BQ231" s="56"/>
      <c r="BR231" s="56"/>
      <c r="BS231" s="56"/>
      <c r="BT231" s="56"/>
      <c r="BU231" s="56"/>
      <c r="BV231" s="56"/>
      <c r="BW231" s="56"/>
      <c r="BX231" s="56"/>
    </row>
    <row r="232">
      <c r="A232" s="48"/>
      <c r="B232" s="48"/>
      <c r="C232" s="48"/>
      <c r="D232" s="48"/>
      <c r="E232" s="48"/>
      <c r="F232" s="48"/>
      <c r="G232" s="48"/>
      <c r="H232" s="48"/>
      <c r="I232" s="48"/>
      <c r="J232" s="48"/>
      <c r="K232" s="64"/>
      <c r="L232" s="64"/>
      <c r="M232" s="48"/>
      <c r="N232" s="48"/>
      <c r="O232" s="48"/>
      <c r="P232" s="48"/>
      <c r="Q232" s="48"/>
      <c r="R232" s="48"/>
      <c r="S232" s="60"/>
      <c r="T232" s="48"/>
      <c r="U232" s="48"/>
      <c r="V232" s="48"/>
      <c r="W232" s="48"/>
      <c r="X232" s="48"/>
      <c r="Y232" s="48"/>
      <c r="Z232" s="48"/>
      <c r="AA232" s="48"/>
      <c r="AB232" s="48"/>
      <c r="AC232" s="48"/>
      <c r="AD232" s="48"/>
      <c r="AE232" s="48"/>
      <c r="AF232" s="60"/>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56"/>
      <c r="BJ232" s="56"/>
      <c r="BK232" s="56"/>
      <c r="BL232" s="56"/>
      <c r="BM232" s="56"/>
      <c r="BN232" s="56"/>
      <c r="BO232" s="56"/>
      <c r="BP232" s="56"/>
      <c r="BQ232" s="56"/>
      <c r="BR232" s="56"/>
      <c r="BS232" s="56"/>
      <c r="BT232" s="56"/>
      <c r="BU232" s="56"/>
      <c r="BV232" s="56"/>
      <c r="BW232" s="56"/>
      <c r="BX232" s="56"/>
    </row>
    <row r="233">
      <c r="A233" s="48"/>
      <c r="B233" s="48"/>
      <c r="C233" s="48"/>
      <c r="D233" s="48"/>
      <c r="E233" s="48"/>
      <c r="F233" s="48"/>
      <c r="G233" s="48"/>
      <c r="H233" s="48"/>
      <c r="I233" s="48"/>
      <c r="J233" s="48"/>
      <c r="K233" s="64"/>
      <c r="L233" s="64"/>
      <c r="M233" s="48"/>
      <c r="N233" s="48"/>
      <c r="O233" s="48"/>
      <c r="P233" s="48"/>
      <c r="Q233" s="48"/>
      <c r="R233" s="48"/>
      <c r="S233" s="60"/>
      <c r="T233" s="48"/>
      <c r="U233" s="48"/>
      <c r="V233" s="48"/>
      <c r="W233" s="48"/>
      <c r="X233" s="48"/>
      <c r="Y233" s="48"/>
      <c r="Z233" s="48"/>
      <c r="AA233" s="48"/>
      <c r="AB233" s="48"/>
      <c r="AC233" s="48"/>
      <c r="AD233" s="48"/>
      <c r="AE233" s="48"/>
      <c r="AF233" s="60"/>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56"/>
      <c r="BJ233" s="56"/>
      <c r="BK233" s="56"/>
      <c r="BL233" s="56"/>
      <c r="BM233" s="56"/>
      <c r="BN233" s="56"/>
      <c r="BO233" s="56"/>
      <c r="BP233" s="56"/>
      <c r="BQ233" s="56"/>
      <c r="BR233" s="56"/>
      <c r="BS233" s="56"/>
      <c r="BT233" s="56"/>
      <c r="BU233" s="56"/>
      <c r="BV233" s="56"/>
      <c r="BW233" s="56"/>
      <c r="BX233" s="56"/>
    </row>
    <row r="234">
      <c r="A234" s="48"/>
      <c r="B234" s="48"/>
      <c r="C234" s="48"/>
      <c r="D234" s="48"/>
      <c r="E234" s="48"/>
      <c r="F234" s="48"/>
      <c r="G234" s="48"/>
      <c r="H234" s="48"/>
      <c r="I234" s="48"/>
      <c r="J234" s="48"/>
      <c r="K234" s="64"/>
      <c r="L234" s="64"/>
      <c r="M234" s="48"/>
      <c r="N234" s="48"/>
      <c r="O234" s="48"/>
      <c r="P234" s="48"/>
      <c r="Q234" s="48"/>
      <c r="R234" s="48"/>
      <c r="S234" s="60"/>
      <c r="T234" s="48"/>
      <c r="U234" s="48"/>
      <c r="V234" s="48"/>
      <c r="W234" s="48"/>
      <c r="X234" s="48"/>
      <c r="Y234" s="48"/>
      <c r="Z234" s="48"/>
      <c r="AA234" s="48"/>
      <c r="AB234" s="48"/>
      <c r="AC234" s="48"/>
      <c r="AD234" s="48"/>
      <c r="AE234" s="48"/>
      <c r="AF234" s="60"/>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56"/>
      <c r="BJ234" s="56"/>
      <c r="BK234" s="56"/>
      <c r="BL234" s="56"/>
      <c r="BM234" s="56"/>
      <c r="BN234" s="56"/>
      <c r="BO234" s="56"/>
      <c r="BP234" s="56"/>
      <c r="BQ234" s="56"/>
      <c r="BR234" s="56"/>
      <c r="BS234" s="56"/>
      <c r="BT234" s="56"/>
      <c r="BU234" s="56"/>
      <c r="BV234" s="56"/>
      <c r="BW234" s="56"/>
      <c r="BX234" s="56"/>
    </row>
    <row r="235">
      <c r="A235" s="48"/>
      <c r="B235" s="48"/>
      <c r="C235" s="48"/>
      <c r="D235" s="48"/>
      <c r="E235" s="48"/>
      <c r="F235" s="48"/>
      <c r="G235" s="48"/>
      <c r="H235" s="48"/>
      <c r="I235" s="48"/>
      <c r="J235" s="48"/>
      <c r="K235" s="64"/>
      <c r="L235" s="64"/>
      <c r="M235" s="48"/>
      <c r="N235" s="48"/>
      <c r="O235" s="48"/>
      <c r="P235" s="48"/>
      <c r="Q235" s="48"/>
      <c r="R235" s="48"/>
      <c r="S235" s="60"/>
      <c r="T235" s="48"/>
      <c r="U235" s="48"/>
      <c r="V235" s="48"/>
      <c r="W235" s="48"/>
      <c r="X235" s="48"/>
      <c r="Y235" s="48"/>
      <c r="Z235" s="48"/>
      <c r="AA235" s="48"/>
      <c r="AB235" s="48"/>
      <c r="AC235" s="48"/>
      <c r="AD235" s="48"/>
      <c r="AE235" s="48"/>
      <c r="AF235" s="60"/>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56"/>
      <c r="BJ235" s="56"/>
      <c r="BK235" s="56"/>
      <c r="BL235" s="56"/>
      <c r="BM235" s="56"/>
      <c r="BN235" s="56"/>
      <c r="BO235" s="56"/>
      <c r="BP235" s="56"/>
      <c r="BQ235" s="56"/>
      <c r="BR235" s="56"/>
      <c r="BS235" s="56"/>
      <c r="BT235" s="56"/>
      <c r="BU235" s="56"/>
      <c r="BV235" s="56"/>
      <c r="BW235" s="56"/>
      <c r="BX235" s="56"/>
    </row>
    <row r="236">
      <c r="A236" s="48"/>
      <c r="B236" s="48"/>
      <c r="C236" s="48"/>
      <c r="D236" s="48"/>
      <c r="E236" s="48"/>
      <c r="F236" s="48"/>
      <c r="G236" s="48"/>
      <c r="H236" s="48"/>
      <c r="I236" s="48"/>
      <c r="J236" s="48"/>
      <c r="K236" s="64"/>
      <c r="L236" s="64"/>
      <c r="M236" s="48"/>
      <c r="N236" s="48"/>
      <c r="O236" s="48"/>
      <c r="P236" s="48"/>
      <c r="Q236" s="48"/>
      <c r="R236" s="48"/>
      <c r="S236" s="60"/>
      <c r="T236" s="48"/>
      <c r="U236" s="48"/>
      <c r="V236" s="48"/>
      <c r="W236" s="48"/>
      <c r="X236" s="48"/>
      <c r="Y236" s="48"/>
      <c r="Z236" s="48"/>
      <c r="AA236" s="48"/>
      <c r="AB236" s="48"/>
      <c r="AC236" s="48"/>
      <c r="AD236" s="48"/>
      <c r="AE236" s="48"/>
      <c r="AF236" s="60"/>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56"/>
      <c r="BJ236" s="56"/>
      <c r="BK236" s="56"/>
      <c r="BL236" s="56"/>
      <c r="BM236" s="56"/>
      <c r="BN236" s="56"/>
      <c r="BO236" s="56"/>
      <c r="BP236" s="56"/>
      <c r="BQ236" s="56"/>
      <c r="BR236" s="56"/>
      <c r="BS236" s="56"/>
      <c r="BT236" s="56"/>
      <c r="BU236" s="56"/>
      <c r="BV236" s="56"/>
      <c r="BW236" s="56"/>
      <c r="BX236" s="56"/>
    </row>
    <row r="237">
      <c r="A237" s="48"/>
      <c r="B237" s="48"/>
      <c r="C237" s="48"/>
      <c r="D237" s="48"/>
      <c r="E237" s="48"/>
      <c r="F237" s="48"/>
      <c r="G237" s="48"/>
      <c r="H237" s="48"/>
      <c r="I237" s="48"/>
      <c r="J237" s="48"/>
      <c r="K237" s="64"/>
      <c r="L237" s="64"/>
      <c r="M237" s="48"/>
      <c r="N237" s="48"/>
      <c r="O237" s="48"/>
      <c r="P237" s="48"/>
      <c r="Q237" s="48"/>
      <c r="R237" s="48"/>
      <c r="S237" s="60"/>
      <c r="T237" s="48"/>
      <c r="U237" s="48"/>
      <c r="V237" s="48"/>
      <c r="W237" s="48"/>
      <c r="X237" s="48"/>
      <c r="Y237" s="48"/>
      <c r="Z237" s="48"/>
      <c r="AA237" s="48"/>
      <c r="AB237" s="48"/>
      <c r="AC237" s="48"/>
      <c r="AD237" s="48"/>
      <c r="AE237" s="48"/>
      <c r="AF237" s="60"/>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56"/>
      <c r="BJ237" s="56"/>
      <c r="BK237" s="56"/>
      <c r="BL237" s="56"/>
      <c r="BM237" s="56"/>
      <c r="BN237" s="56"/>
      <c r="BO237" s="56"/>
      <c r="BP237" s="56"/>
      <c r="BQ237" s="56"/>
      <c r="BR237" s="56"/>
      <c r="BS237" s="56"/>
      <c r="BT237" s="56"/>
      <c r="BU237" s="56"/>
      <c r="BV237" s="56"/>
      <c r="BW237" s="56"/>
      <c r="BX237" s="56"/>
    </row>
    <row r="238">
      <c r="A238" s="48"/>
      <c r="B238" s="48"/>
      <c r="C238" s="48"/>
      <c r="D238" s="48"/>
      <c r="E238" s="48"/>
      <c r="F238" s="48"/>
      <c r="G238" s="48"/>
      <c r="H238" s="48"/>
      <c r="I238" s="48"/>
      <c r="J238" s="48"/>
      <c r="K238" s="64"/>
      <c r="L238" s="64"/>
      <c r="M238" s="48"/>
      <c r="N238" s="48"/>
      <c r="O238" s="48"/>
      <c r="P238" s="48"/>
      <c r="Q238" s="48"/>
      <c r="R238" s="48"/>
      <c r="S238" s="60"/>
      <c r="T238" s="48"/>
      <c r="U238" s="48"/>
      <c r="V238" s="48"/>
      <c r="W238" s="48"/>
      <c r="X238" s="48"/>
      <c r="Y238" s="48"/>
      <c r="Z238" s="48"/>
      <c r="AA238" s="48"/>
      <c r="AB238" s="48"/>
      <c r="AC238" s="48"/>
      <c r="AD238" s="48"/>
      <c r="AE238" s="48"/>
      <c r="AF238" s="60"/>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56"/>
      <c r="BJ238" s="56"/>
      <c r="BK238" s="56"/>
      <c r="BL238" s="56"/>
      <c r="BM238" s="56"/>
      <c r="BN238" s="56"/>
      <c r="BO238" s="56"/>
      <c r="BP238" s="56"/>
      <c r="BQ238" s="56"/>
      <c r="BR238" s="56"/>
      <c r="BS238" s="56"/>
      <c r="BT238" s="56"/>
      <c r="BU238" s="56"/>
      <c r="BV238" s="56"/>
      <c r="BW238" s="56"/>
      <c r="BX238" s="56"/>
    </row>
    <row r="239">
      <c r="A239" s="48"/>
      <c r="B239" s="48"/>
      <c r="C239" s="48"/>
      <c r="D239" s="48"/>
      <c r="E239" s="48"/>
      <c r="F239" s="48"/>
      <c r="G239" s="48"/>
      <c r="H239" s="48"/>
      <c r="I239" s="48"/>
      <c r="J239" s="48"/>
      <c r="K239" s="64"/>
      <c r="L239" s="64"/>
      <c r="M239" s="48"/>
      <c r="N239" s="48"/>
      <c r="O239" s="48"/>
      <c r="P239" s="48"/>
      <c r="Q239" s="48"/>
      <c r="R239" s="48"/>
      <c r="S239" s="60"/>
      <c r="T239" s="48"/>
      <c r="U239" s="48"/>
      <c r="V239" s="48"/>
      <c r="W239" s="48"/>
      <c r="X239" s="48"/>
      <c r="Y239" s="48"/>
      <c r="Z239" s="48"/>
      <c r="AA239" s="48"/>
      <c r="AB239" s="48"/>
      <c r="AC239" s="48"/>
      <c r="AD239" s="48"/>
      <c r="AE239" s="48"/>
      <c r="AF239" s="60"/>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56"/>
      <c r="BJ239" s="56"/>
      <c r="BK239" s="56"/>
      <c r="BL239" s="56"/>
      <c r="BM239" s="56"/>
      <c r="BN239" s="56"/>
      <c r="BO239" s="56"/>
      <c r="BP239" s="56"/>
      <c r="BQ239" s="56"/>
      <c r="BR239" s="56"/>
      <c r="BS239" s="56"/>
      <c r="BT239" s="56"/>
      <c r="BU239" s="56"/>
      <c r="BV239" s="56"/>
      <c r="BW239" s="56"/>
      <c r="BX239" s="56"/>
    </row>
    <row r="240">
      <c r="A240" s="48"/>
      <c r="B240" s="48"/>
      <c r="C240" s="48"/>
      <c r="D240" s="48"/>
      <c r="E240" s="48"/>
      <c r="F240" s="48"/>
      <c r="G240" s="48"/>
      <c r="H240" s="48"/>
      <c r="I240" s="48"/>
      <c r="J240" s="48"/>
      <c r="K240" s="64"/>
      <c r="L240" s="64"/>
      <c r="M240" s="48"/>
      <c r="N240" s="48"/>
      <c r="O240" s="48"/>
      <c r="P240" s="48"/>
      <c r="Q240" s="48"/>
      <c r="R240" s="48"/>
      <c r="S240" s="60"/>
      <c r="T240" s="48"/>
      <c r="U240" s="48"/>
      <c r="V240" s="48"/>
      <c r="W240" s="48"/>
      <c r="X240" s="48"/>
      <c r="Y240" s="48"/>
      <c r="Z240" s="48"/>
      <c r="AA240" s="48"/>
      <c r="AB240" s="48"/>
      <c r="AC240" s="48"/>
      <c r="AD240" s="48"/>
      <c r="AE240" s="48"/>
      <c r="AF240" s="60"/>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56"/>
      <c r="BJ240" s="56"/>
      <c r="BK240" s="56"/>
      <c r="BL240" s="56"/>
      <c r="BM240" s="56"/>
      <c r="BN240" s="56"/>
      <c r="BO240" s="56"/>
      <c r="BP240" s="56"/>
      <c r="BQ240" s="56"/>
      <c r="BR240" s="56"/>
      <c r="BS240" s="56"/>
      <c r="BT240" s="56"/>
      <c r="BU240" s="56"/>
      <c r="BV240" s="56"/>
      <c r="BW240" s="56"/>
      <c r="BX240" s="56"/>
    </row>
    <row r="241">
      <c r="A241" s="48"/>
      <c r="B241" s="48"/>
      <c r="C241" s="48"/>
      <c r="D241" s="48"/>
      <c r="E241" s="48"/>
      <c r="F241" s="48"/>
      <c r="G241" s="48"/>
      <c r="H241" s="48"/>
      <c r="I241" s="48"/>
      <c r="J241" s="48"/>
      <c r="K241" s="64"/>
      <c r="L241" s="64"/>
      <c r="M241" s="48"/>
      <c r="N241" s="48"/>
      <c r="O241" s="48"/>
      <c r="P241" s="48"/>
      <c r="Q241" s="48"/>
      <c r="R241" s="48"/>
      <c r="S241" s="60"/>
      <c r="T241" s="48"/>
      <c r="U241" s="48"/>
      <c r="V241" s="48"/>
      <c r="W241" s="48"/>
      <c r="X241" s="48"/>
      <c r="Y241" s="48"/>
      <c r="Z241" s="48"/>
      <c r="AA241" s="48"/>
      <c r="AB241" s="48"/>
      <c r="AC241" s="48"/>
      <c r="AD241" s="48"/>
      <c r="AE241" s="48"/>
      <c r="AF241" s="60"/>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56"/>
      <c r="BJ241" s="56"/>
      <c r="BK241" s="56"/>
      <c r="BL241" s="56"/>
      <c r="BM241" s="56"/>
      <c r="BN241" s="56"/>
      <c r="BO241" s="56"/>
      <c r="BP241" s="56"/>
      <c r="BQ241" s="56"/>
      <c r="BR241" s="56"/>
      <c r="BS241" s="56"/>
      <c r="BT241" s="56"/>
      <c r="BU241" s="56"/>
      <c r="BV241" s="56"/>
      <c r="BW241" s="56"/>
      <c r="BX241" s="56"/>
    </row>
    <row r="242">
      <c r="A242" s="48"/>
      <c r="B242" s="48"/>
      <c r="C242" s="48"/>
      <c r="D242" s="48"/>
      <c r="E242" s="48"/>
      <c r="F242" s="48"/>
      <c r="G242" s="48"/>
      <c r="H242" s="48"/>
      <c r="I242" s="48"/>
      <c r="J242" s="48"/>
      <c r="K242" s="64"/>
      <c r="L242" s="64"/>
      <c r="M242" s="48"/>
      <c r="N242" s="48"/>
      <c r="O242" s="48"/>
      <c r="P242" s="48"/>
      <c r="Q242" s="48"/>
      <c r="R242" s="48"/>
      <c r="S242" s="60"/>
      <c r="T242" s="48"/>
      <c r="U242" s="48"/>
      <c r="V242" s="48"/>
      <c r="W242" s="48"/>
      <c r="X242" s="48"/>
      <c r="Y242" s="48"/>
      <c r="Z242" s="48"/>
      <c r="AA242" s="48"/>
      <c r="AB242" s="48"/>
      <c r="AC242" s="48"/>
      <c r="AD242" s="48"/>
      <c r="AE242" s="48"/>
      <c r="AF242" s="60"/>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56"/>
      <c r="BJ242" s="56"/>
      <c r="BK242" s="56"/>
      <c r="BL242" s="56"/>
      <c r="BM242" s="56"/>
      <c r="BN242" s="56"/>
      <c r="BO242" s="56"/>
      <c r="BP242" s="56"/>
      <c r="BQ242" s="56"/>
      <c r="BR242" s="56"/>
      <c r="BS242" s="56"/>
      <c r="BT242" s="56"/>
      <c r="BU242" s="56"/>
      <c r="BV242" s="56"/>
      <c r="BW242" s="56"/>
      <c r="BX242" s="56"/>
    </row>
    <row r="243">
      <c r="A243" s="48"/>
      <c r="B243" s="48"/>
      <c r="C243" s="48"/>
      <c r="D243" s="48"/>
      <c r="E243" s="48"/>
      <c r="F243" s="48"/>
      <c r="G243" s="48"/>
      <c r="H243" s="48"/>
      <c r="I243" s="48"/>
      <c r="J243" s="48"/>
      <c r="K243" s="64"/>
      <c r="L243" s="64"/>
      <c r="M243" s="48"/>
      <c r="N243" s="48"/>
      <c r="O243" s="48"/>
      <c r="P243" s="48"/>
      <c r="Q243" s="48"/>
      <c r="R243" s="48"/>
      <c r="S243" s="60"/>
      <c r="T243" s="48"/>
      <c r="U243" s="48"/>
      <c r="V243" s="48"/>
      <c r="W243" s="48"/>
      <c r="X243" s="48"/>
      <c r="Y243" s="48"/>
      <c r="Z243" s="48"/>
      <c r="AA243" s="48"/>
      <c r="AB243" s="48"/>
      <c r="AC243" s="48"/>
      <c r="AD243" s="48"/>
      <c r="AE243" s="48"/>
      <c r="AF243" s="60"/>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56"/>
      <c r="BJ243" s="56"/>
      <c r="BK243" s="56"/>
      <c r="BL243" s="56"/>
      <c r="BM243" s="56"/>
      <c r="BN243" s="56"/>
      <c r="BO243" s="56"/>
      <c r="BP243" s="56"/>
      <c r="BQ243" s="56"/>
      <c r="BR243" s="56"/>
      <c r="BS243" s="56"/>
      <c r="BT243" s="56"/>
      <c r="BU243" s="56"/>
      <c r="BV243" s="56"/>
      <c r="BW243" s="56"/>
      <c r="BX243" s="56"/>
    </row>
    <row r="244">
      <c r="A244" s="48"/>
      <c r="B244" s="48"/>
      <c r="C244" s="48"/>
      <c r="D244" s="48"/>
      <c r="E244" s="48"/>
      <c r="F244" s="48"/>
      <c r="G244" s="48"/>
      <c r="H244" s="48"/>
      <c r="I244" s="48"/>
      <c r="J244" s="48"/>
      <c r="K244" s="64"/>
      <c r="L244" s="64"/>
      <c r="M244" s="48"/>
      <c r="N244" s="48"/>
      <c r="O244" s="48"/>
      <c r="P244" s="48"/>
      <c r="Q244" s="48"/>
      <c r="R244" s="48"/>
      <c r="S244" s="60"/>
      <c r="T244" s="48"/>
      <c r="U244" s="48"/>
      <c r="V244" s="48"/>
      <c r="W244" s="48"/>
      <c r="X244" s="48"/>
      <c r="Y244" s="48"/>
      <c r="Z244" s="48"/>
      <c r="AA244" s="48"/>
      <c r="AB244" s="48"/>
      <c r="AC244" s="48"/>
      <c r="AD244" s="48"/>
      <c r="AE244" s="48"/>
      <c r="AF244" s="60"/>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56"/>
      <c r="BJ244" s="56"/>
      <c r="BK244" s="56"/>
      <c r="BL244" s="56"/>
      <c r="BM244" s="56"/>
      <c r="BN244" s="56"/>
      <c r="BO244" s="56"/>
      <c r="BP244" s="56"/>
      <c r="BQ244" s="56"/>
      <c r="BR244" s="56"/>
      <c r="BS244" s="56"/>
      <c r="BT244" s="56"/>
      <c r="BU244" s="56"/>
      <c r="BV244" s="56"/>
      <c r="BW244" s="56"/>
      <c r="BX244" s="56"/>
    </row>
    <row r="245">
      <c r="A245" s="48"/>
      <c r="B245" s="48"/>
      <c r="C245" s="48"/>
      <c r="D245" s="48"/>
      <c r="E245" s="48"/>
      <c r="F245" s="48"/>
      <c r="G245" s="48"/>
      <c r="H245" s="48"/>
      <c r="I245" s="48"/>
      <c r="J245" s="48"/>
      <c r="K245" s="64"/>
      <c r="L245" s="64"/>
      <c r="M245" s="48"/>
      <c r="N245" s="48"/>
      <c r="O245" s="48"/>
      <c r="P245" s="48"/>
      <c r="Q245" s="48"/>
      <c r="R245" s="48"/>
      <c r="S245" s="60"/>
      <c r="T245" s="48"/>
      <c r="U245" s="48"/>
      <c r="V245" s="48"/>
      <c r="W245" s="48"/>
      <c r="X245" s="48"/>
      <c r="Y245" s="48"/>
      <c r="Z245" s="48"/>
      <c r="AA245" s="48"/>
      <c r="AB245" s="48"/>
      <c r="AC245" s="48"/>
      <c r="AD245" s="48"/>
      <c r="AE245" s="48"/>
      <c r="AF245" s="60"/>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56"/>
      <c r="BJ245" s="56"/>
      <c r="BK245" s="56"/>
      <c r="BL245" s="56"/>
      <c r="BM245" s="56"/>
      <c r="BN245" s="56"/>
      <c r="BO245" s="56"/>
      <c r="BP245" s="56"/>
      <c r="BQ245" s="56"/>
      <c r="BR245" s="56"/>
      <c r="BS245" s="56"/>
      <c r="BT245" s="56"/>
      <c r="BU245" s="56"/>
      <c r="BV245" s="56"/>
      <c r="BW245" s="56"/>
      <c r="BX245" s="56"/>
    </row>
    <row r="246">
      <c r="A246" s="48"/>
      <c r="B246" s="48"/>
      <c r="C246" s="48"/>
      <c r="D246" s="48"/>
      <c r="E246" s="48"/>
      <c r="F246" s="48"/>
      <c r="G246" s="48"/>
      <c r="H246" s="48"/>
      <c r="I246" s="48"/>
      <c r="J246" s="48"/>
      <c r="K246" s="64"/>
      <c r="L246" s="64"/>
      <c r="M246" s="48"/>
      <c r="N246" s="48"/>
      <c r="O246" s="48"/>
      <c r="P246" s="48"/>
      <c r="Q246" s="48"/>
      <c r="R246" s="48"/>
      <c r="S246" s="60"/>
      <c r="T246" s="48"/>
      <c r="U246" s="48"/>
      <c r="V246" s="48"/>
      <c r="W246" s="48"/>
      <c r="X246" s="48"/>
      <c r="Y246" s="48"/>
      <c r="Z246" s="48"/>
      <c r="AA246" s="48"/>
      <c r="AB246" s="48"/>
      <c r="AC246" s="48"/>
      <c r="AD246" s="48"/>
      <c r="AE246" s="48"/>
      <c r="AF246" s="60"/>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56"/>
      <c r="BJ246" s="56"/>
      <c r="BK246" s="56"/>
      <c r="BL246" s="56"/>
      <c r="BM246" s="56"/>
      <c r="BN246" s="56"/>
      <c r="BO246" s="56"/>
      <c r="BP246" s="56"/>
      <c r="BQ246" s="56"/>
      <c r="BR246" s="56"/>
      <c r="BS246" s="56"/>
      <c r="BT246" s="56"/>
      <c r="BU246" s="56"/>
      <c r="BV246" s="56"/>
      <c r="BW246" s="56"/>
      <c r="BX246" s="56"/>
    </row>
    <row r="247">
      <c r="A247" s="48"/>
      <c r="B247" s="48"/>
      <c r="C247" s="48"/>
      <c r="D247" s="48"/>
      <c r="E247" s="48"/>
      <c r="F247" s="48"/>
      <c r="G247" s="48"/>
      <c r="H247" s="48"/>
      <c r="I247" s="48"/>
      <c r="J247" s="48"/>
      <c r="K247" s="64"/>
      <c r="L247" s="64"/>
      <c r="M247" s="48"/>
      <c r="N247" s="48"/>
      <c r="O247" s="48"/>
      <c r="P247" s="48"/>
      <c r="Q247" s="48"/>
      <c r="R247" s="48"/>
      <c r="S247" s="60"/>
      <c r="T247" s="48"/>
      <c r="U247" s="48"/>
      <c r="V247" s="48"/>
      <c r="W247" s="48"/>
      <c r="X247" s="48"/>
      <c r="Y247" s="48"/>
      <c r="Z247" s="48"/>
      <c r="AA247" s="48"/>
      <c r="AB247" s="48"/>
      <c r="AC247" s="48"/>
      <c r="AD247" s="48"/>
      <c r="AE247" s="48"/>
      <c r="AF247" s="60"/>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56"/>
      <c r="BJ247" s="56"/>
      <c r="BK247" s="56"/>
      <c r="BL247" s="56"/>
      <c r="BM247" s="56"/>
      <c r="BN247" s="56"/>
      <c r="BO247" s="56"/>
      <c r="BP247" s="56"/>
      <c r="BQ247" s="56"/>
      <c r="BR247" s="56"/>
      <c r="BS247" s="56"/>
      <c r="BT247" s="56"/>
      <c r="BU247" s="56"/>
      <c r="BV247" s="56"/>
      <c r="BW247" s="56"/>
      <c r="BX247" s="56"/>
    </row>
    <row r="248">
      <c r="A248" s="48"/>
      <c r="B248" s="48"/>
      <c r="C248" s="48"/>
      <c r="D248" s="48"/>
      <c r="E248" s="48"/>
      <c r="F248" s="48"/>
      <c r="G248" s="48"/>
      <c r="H248" s="48"/>
      <c r="I248" s="48"/>
      <c r="J248" s="48"/>
      <c r="K248" s="64"/>
      <c r="L248" s="64"/>
      <c r="M248" s="48"/>
      <c r="N248" s="48"/>
      <c r="O248" s="48"/>
      <c r="P248" s="48"/>
      <c r="Q248" s="48"/>
      <c r="R248" s="48"/>
      <c r="S248" s="60"/>
      <c r="T248" s="48"/>
      <c r="U248" s="48"/>
      <c r="V248" s="48"/>
      <c r="W248" s="48"/>
      <c r="X248" s="48"/>
      <c r="Y248" s="48"/>
      <c r="Z248" s="48"/>
      <c r="AA248" s="48"/>
      <c r="AB248" s="48"/>
      <c r="AC248" s="48"/>
      <c r="AD248" s="48"/>
      <c r="AE248" s="48"/>
      <c r="AF248" s="60"/>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56"/>
      <c r="BJ248" s="56"/>
      <c r="BK248" s="56"/>
      <c r="BL248" s="56"/>
      <c r="BM248" s="56"/>
      <c r="BN248" s="56"/>
      <c r="BO248" s="56"/>
      <c r="BP248" s="56"/>
      <c r="BQ248" s="56"/>
      <c r="BR248" s="56"/>
      <c r="BS248" s="56"/>
      <c r="BT248" s="56"/>
      <c r="BU248" s="56"/>
      <c r="BV248" s="56"/>
      <c r="BW248" s="56"/>
      <c r="BX248" s="56"/>
    </row>
    <row r="249">
      <c r="A249" s="48"/>
      <c r="B249" s="48"/>
      <c r="C249" s="48"/>
      <c r="D249" s="48"/>
      <c r="E249" s="48"/>
      <c r="F249" s="48"/>
      <c r="G249" s="48"/>
      <c r="H249" s="48"/>
      <c r="I249" s="48"/>
      <c r="J249" s="48"/>
      <c r="K249" s="64"/>
      <c r="L249" s="64"/>
      <c r="M249" s="48"/>
      <c r="N249" s="48"/>
      <c r="O249" s="48"/>
      <c r="P249" s="48"/>
      <c r="Q249" s="48"/>
      <c r="R249" s="48"/>
      <c r="S249" s="60"/>
      <c r="T249" s="48"/>
      <c r="U249" s="48"/>
      <c r="V249" s="48"/>
      <c r="W249" s="48"/>
      <c r="X249" s="48"/>
      <c r="Y249" s="48"/>
      <c r="Z249" s="48"/>
      <c r="AA249" s="48"/>
      <c r="AB249" s="48"/>
      <c r="AC249" s="48"/>
      <c r="AD249" s="48"/>
      <c r="AE249" s="48"/>
      <c r="AF249" s="60"/>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56"/>
      <c r="BJ249" s="56"/>
      <c r="BK249" s="56"/>
      <c r="BL249" s="56"/>
      <c r="BM249" s="56"/>
      <c r="BN249" s="56"/>
      <c r="BO249" s="56"/>
      <c r="BP249" s="56"/>
      <c r="BQ249" s="56"/>
      <c r="BR249" s="56"/>
      <c r="BS249" s="56"/>
      <c r="BT249" s="56"/>
      <c r="BU249" s="56"/>
      <c r="BV249" s="56"/>
      <c r="BW249" s="56"/>
      <c r="BX249" s="56"/>
    </row>
    <row r="250">
      <c r="A250" s="48"/>
      <c r="B250" s="48"/>
      <c r="C250" s="48"/>
      <c r="D250" s="48"/>
      <c r="E250" s="48"/>
      <c r="F250" s="48"/>
      <c r="G250" s="48"/>
      <c r="H250" s="48"/>
      <c r="I250" s="48"/>
      <c r="J250" s="48"/>
      <c r="K250" s="64"/>
      <c r="L250" s="64"/>
      <c r="M250" s="48"/>
      <c r="N250" s="48"/>
      <c r="O250" s="48"/>
      <c r="P250" s="48"/>
      <c r="Q250" s="48"/>
      <c r="R250" s="48"/>
      <c r="S250" s="60"/>
      <c r="T250" s="48"/>
      <c r="U250" s="48"/>
      <c r="V250" s="48"/>
      <c r="W250" s="48"/>
      <c r="X250" s="48"/>
      <c r="Y250" s="48"/>
      <c r="Z250" s="48"/>
      <c r="AA250" s="48"/>
      <c r="AB250" s="48"/>
      <c r="AC250" s="48"/>
      <c r="AD250" s="48"/>
      <c r="AE250" s="48"/>
      <c r="AF250" s="60"/>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56"/>
      <c r="BJ250" s="56"/>
      <c r="BK250" s="56"/>
      <c r="BL250" s="56"/>
      <c r="BM250" s="56"/>
      <c r="BN250" s="56"/>
      <c r="BO250" s="56"/>
      <c r="BP250" s="56"/>
      <c r="BQ250" s="56"/>
      <c r="BR250" s="56"/>
      <c r="BS250" s="56"/>
      <c r="BT250" s="56"/>
      <c r="BU250" s="56"/>
      <c r="BV250" s="56"/>
      <c r="BW250" s="56"/>
      <c r="BX250" s="56"/>
    </row>
    <row r="251">
      <c r="A251" s="48"/>
      <c r="B251" s="48"/>
      <c r="C251" s="48"/>
      <c r="D251" s="48"/>
      <c r="E251" s="48"/>
      <c r="F251" s="48"/>
      <c r="G251" s="48"/>
      <c r="H251" s="48"/>
      <c r="I251" s="48"/>
      <c r="J251" s="48"/>
      <c r="K251" s="64"/>
      <c r="L251" s="64"/>
      <c r="M251" s="48"/>
      <c r="N251" s="48"/>
      <c r="O251" s="48"/>
      <c r="P251" s="48"/>
      <c r="Q251" s="48"/>
      <c r="R251" s="48"/>
      <c r="S251" s="60"/>
      <c r="T251" s="48"/>
      <c r="U251" s="48"/>
      <c r="V251" s="48"/>
      <c r="W251" s="48"/>
      <c r="X251" s="48"/>
      <c r="Y251" s="48"/>
      <c r="Z251" s="48"/>
      <c r="AA251" s="48"/>
      <c r="AB251" s="48"/>
      <c r="AC251" s="48"/>
      <c r="AD251" s="48"/>
      <c r="AE251" s="48"/>
      <c r="AF251" s="60"/>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56"/>
      <c r="BJ251" s="56"/>
      <c r="BK251" s="56"/>
      <c r="BL251" s="56"/>
      <c r="BM251" s="56"/>
      <c r="BN251" s="56"/>
      <c r="BO251" s="56"/>
      <c r="BP251" s="56"/>
      <c r="BQ251" s="56"/>
      <c r="BR251" s="56"/>
      <c r="BS251" s="56"/>
      <c r="BT251" s="56"/>
      <c r="BU251" s="56"/>
      <c r="BV251" s="56"/>
      <c r="BW251" s="56"/>
      <c r="BX251" s="56"/>
    </row>
    <row r="252">
      <c r="A252" s="48"/>
      <c r="B252" s="48"/>
      <c r="C252" s="48"/>
      <c r="D252" s="48"/>
      <c r="E252" s="48"/>
      <c r="F252" s="48"/>
      <c r="G252" s="48"/>
      <c r="H252" s="48"/>
      <c r="I252" s="48"/>
      <c r="J252" s="48"/>
      <c r="K252" s="64"/>
      <c r="L252" s="64"/>
      <c r="M252" s="48"/>
      <c r="N252" s="48"/>
      <c r="O252" s="48"/>
      <c r="P252" s="48"/>
      <c r="Q252" s="48"/>
      <c r="R252" s="48"/>
      <c r="S252" s="60"/>
      <c r="T252" s="48"/>
      <c r="U252" s="48"/>
      <c r="V252" s="48"/>
      <c r="W252" s="48"/>
      <c r="X252" s="48"/>
      <c r="Y252" s="48"/>
      <c r="Z252" s="48"/>
      <c r="AA252" s="48"/>
      <c r="AB252" s="48"/>
      <c r="AC252" s="48"/>
      <c r="AD252" s="48"/>
      <c r="AE252" s="48"/>
      <c r="AF252" s="60"/>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56"/>
      <c r="BJ252" s="56"/>
      <c r="BK252" s="56"/>
      <c r="BL252" s="56"/>
      <c r="BM252" s="56"/>
      <c r="BN252" s="56"/>
      <c r="BO252" s="56"/>
      <c r="BP252" s="56"/>
      <c r="BQ252" s="56"/>
      <c r="BR252" s="56"/>
      <c r="BS252" s="56"/>
      <c r="BT252" s="56"/>
      <c r="BU252" s="56"/>
      <c r="BV252" s="56"/>
      <c r="BW252" s="56"/>
      <c r="BX252" s="56"/>
    </row>
    <row r="253">
      <c r="A253" s="48"/>
      <c r="B253" s="48"/>
      <c r="C253" s="48"/>
      <c r="D253" s="48"/>
      <c r="E253" s="48"/>
      <c r="F253" s="48"/>
      <c r="G253" s="48"/>
      <c r="H253" s="48"/>
      <c r="I253" s="48"/>
      <c r="J253" s="48"/>
      <c r="K253" s="64"/>
      <c r="L253" s="64"/>
      <c r="M253" s="48"/>
      <c r="N253" s="48"/>
      <c r="O253" s="48"/>
      <c r="P253" s="48"/>
      <c r="Q253" s="48"/>
      <c r="R253" s="48"/>
      <c r="S253" s="60"/>
      <c r="T253" s="48"/>
      <c r="U253" s="48"/>
      <c r="V253" s="48"/>
      <c r="W253" s="48"/>
      <c r="X253" s="48"/>
      <c r="Y253" s="48"/>
      <c r="Z253" s="48"/>
      <c r="AA253" s="48"/>
      <c r="AB253" s="48"/>
      <c r="AC253" s="48"/>
      <c r="AD253" s="48"/>
      <c r="AE253" s="48"/>
      <c r="AF253" s="60"/>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56"/>
      <c r="BJ253" s="56"/>
      <c r="BK253" s="56"/>
      <c r="BL253" s="56"/>
      <c r="BM253" s="56"/>
      <c r="BN253" s="56"/>
      <c r="BO253" s="56"/>
      <c r="BP253" s="56"/>
      <c r="BQ253" s="56"/>
      <c r="BR253" s="56"/>
      <c r="BS253" s="56"/>
      <c r="BT253" s="56"/>
      <c r="BU253" s="56"/>
      <c r="BV253" s="56"/>
      <c r="BW253" s="56"/>
      <c r="BX253" s="56"/>
    </row>
    <row r="254">
      <c r="A254" s="48"/>
      <c r="B254" s="48"/>
      <c r="C254" s="48"/>
      <c r="D254" s="48"/>
      <c r="E254" s="48"/>
      <c r="F254" s="48"/>
      <c r="G254" s="48"/>
      <c r="H254" s="48"/>
      <c r="I254" s="48"/>
      <c r="J254" s="48"/>
      <c r="K254" s="64"/>
      <c r="L254" s="64"/>
      <c r="M254" s="48"/>
      <c r="N254" s="48"/>
      <c r="O254" s="48"/>
      <c r="P254" s="48"/>
      <c r="Q254" s="48"/>
      <c r="R254" s="48"/>
      <c r="S254" s="60"/>
      <c r="T254" s="48"/>
      <c r="U254" s="48"/>
      <c r="V254" s="48"/>
      <c r="W254" s="48"/>
      <c r="X254" s="48"/>
      <c r="Y254" s="48"/>
      <c r="Z254" s="48"/>
      <c r="AA254" s="48"/>
      <c r="AB254" s="48"/>
      <c r="AC254" s="48"/>
      <c r="AD254" s="48"/>
      <c r="AE254" s="48"/>
      <c r="AF254" s="60"/>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56"/>
      <c r="BJ254" s="56"/>
      <c r="BK254" s="56"/>
      <c r="BL254" s="56"/>
      <c r="BM254" s="56"/>
      <c r="BN254" s="56"/>
      <c r="BO254" s="56"/>
      <c r="BP254" s="56"/>
      <c r="BQ254" s="56"/>
      <c r="BR254" s="56"/>
      <c r="BS254" s="56"/>
      <c r="BT254" s="56"/>
      <c r="BU254" s="56"/>
      <c r="BV254" s="56"/>
      <c r="BW254" s="56"/>
      <c r="BX254" s="56"/>
    </row>
    <row r="255">
      <c r="A255" s="48"/>
      <c r="B255" s="48"/>
      <c r="C255" s="48"/>
      <c r="D255" s="48"/>
      <c r="E255" s="48"/>
      <c r="F255" s="48"/>
      <c r="G255" s="48"/>
      <c r="H255" s="48"/>
      <c r="I255" s="48"/>
      <c r="J255" s="48"/>
      <c r="K255" s="64"/>
      <c r="L255" s="64"/>
      <c r="M255" s="48"/>
      <c r="N255" s="48"/>
      <c r="O255" s="48"/>
      <c r="P255" s="48"/>
      <c r="Q255" s="48"/>
      <c r="R255" s="48"/>
      <c r="S255" s="60"/>
      <c r="T255" s="48"/>
      <c r="U255" s="48"/>
      <c r="V255" s="48"/>
      <c r="W255" s="48"/>
      <c r="X255" s="48"/>
      <c r="Y255" s="48"/>
      <c r="Z255" s="48"/>
      <c r="AA255" s="48"/>
      <c r="AB255" s="48"/>
      <c r="AC255" s="48"/>
      <c r="AD255" s="48"/>
      <c r="AE255" s="48"/>
      <c r="AF255" s="60"/>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56"/>
      <c r="BJ255" s="56"/>
      <c r="BK255" s="56"/>
      <c r="BL255" s="56"/>
      <c r="BM255" s="56"/>
      <c r="BN255" s="56"/>
      <c r="BO255" s="56"/>
      <c r="BP255" s="56"/>
      <c r="BQ255" s="56"/>
      <c r="BR255" s="56"/>
      <c r="BS255" s="56"/>
      <c r="BT255" s="56"/>
      <c r="BU255" s="56"/>
      <c r="BV255" s="56"/>
      <c r="BW255" s="56"/>
      <c r="BX255" s="56"/>
    </row>
    <row r="256">
      <c r="A256" s="48"/>
      <c r="B256" s="48"/>
      <c r="C256" s="48"/>
      <c r="D256" s="48"/>
      <c r="E256" s="48"/>
      <c r="F256" s="48"/>
      <c r="G256" s="48"/>
      <c r="H256" s="48"/>
      <c r="I256" s="48"/>
      <c r="J256" s="48"/>
      <c r="K256" s="64"/>
      <c r="L256" s="64"/>
      <c r="M256" s="48"/>
      <c r="N256" s="48"/>
      <c r="O256" s="48"/>
      <c r="P256" s="48"/>
      <c r="Q256" s="48"/>
      <c r="R256" s="48"/>
      <c r="S256" s="60"/>
      <c r="T256" s="48"/>
      <c r="U256" s="48"/>
      <c r="V256" s="48"/>
      <c r="W256" s="48"/>
      <c r="X256" s="48"/>
      <c r="Y256" s="48"/>
      <c r="Z256" s="48"/>
      <c r="AA256" s="48"/>
      <c r="AB256" s="48"/>
      <c r="AC256" s="48"/>
      <c r="AD256" s="48"/>
      <c r="AE256" s="48"/>
      <c r="AF256" s="60"/>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56"/>
      <c r="BJ256" s="56"/>
      <c r="BK256" s="56"/>
      <c r="BL256" s="56"/>
      <c r="BM256" s="56"/>
      <c r="BN256" s="56"/>
      <c r="BO256" s="56"/>
      <c r="BP256" s="56"/>
      <c r="BQ256" s="56"/>
      <c r="BR256" s="56"/>
      <c r="BS256" s="56"/>
      <c r="BT256" s="56"/>
      <c r="BU256" s="56"/>
      <c r="BV256" s="56"/>
      <c r="BW256" s="56"/>
      <c r="BX256" s="56"/>
    </row>
    <row r="257">
      <c r="A257" s="48"/>
      <c r="B257" s="48"/>
      <c r="C257" s="48"/>
      <c r="D257" s="48"/>
      <c r="E257" s="48"/>
      <c r="F257" s="48"/>
      <c r="G257" s="48"/>
      <c r="H257" s="48"/>
      <c r="I257" s="48"/>
      <c r="J257" s="48"/>
      <c r="K257" s="64"/>
      <c r="L257" s="64"/>
      <c r="M257" s="48"/>
      <c r="N257" s="48"/>
      <c r="O257" s="48"/>
      <c r="P257" s="48"/>
      <c r="Q257" s="48"/>
      <c r="R257" s="48"/>
      <c r="S257" s="60"/>
      <c r="T257" s="48"/>
      <c r="U257" s="48"/>
      <c r="V257" s="48"/>
      <c r="W257" s="48"/>
      <c r="X257" s="48"/>
      <c r="Y257" s="48"/>
      <c r="Z257" s="48"/>
      <c r="AA257" s="48"/>
      <c r="AB257" s="48"/>
      <c r="AC257" s="48"/>
      <c r="AD257" s="48"/>
      <c r="AE257" s="48"/>
      <c r="AF257" s="60"/>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56"/>
      <c r="BJ257" s="56"/>
      <c r="BK257" s="56"/>
      <c r="BL257" s="56"/>
      <c r="BM257" s="56"/>
      <c r="BN257" s="56"/>
      <c r="BO257" s="56"/>
      <c r="BP257" s="56"/>
      <c r="BQ257" s="56"/>
      <c r="BR257" s="56"/>
      <c r="BS257" s="56"/>
      <c r="BT257" s="56"/>
      <c r="BU257" s="56"/>
      <c r="BV257" s="56"/>
      <c r="BW257" s="56"/>
      <c r="BX257" s="56"/>
    </row>
    <row r="258">
      <c r="A258" s="48"/>
      <c r="B258" s="48"/>
      <c r="C258" s="48"/>
      <c r="D258" s="48"/>
      <c r="E258" s="48"/>
      <c r="F258" s="48"/>
      <c r="G258" s="48"/>
      <c r="H258" s="48"/>
      <c r="I258" s="48"/>
      <c r="J258" s="48"/>
      <c r="K258" s="64"/>
      <c r="L258" s="64"/>
      <c r="M258" s="48"/>
      <c r="N258" s="48"/>
      <c r="O258" s="48"/>
      <c r="P258" s="48"/>
      <c r="Q258" s="48"/>
      <c r="R258" s="48"/>
      <c r="S258" s="60"/>
      <c r="T258" s="48"/>
      <c r="U258" s="48"/>
      <c r="V258" s="48"/>
      <c r="W258" s="48"/>
      <c r="X258" s="48"/>
      <c r="Y258" s="48"/>
      <c r="Z258" s="48"/>
      <c r="AA258" s="48"/>
      <c r="AB258" s="48"/>
      <c r="AC258" s="48"/>
      <c r="AD258" s="48"/>
      <c r="AE258" s="48"/>
      <c r="AF258" s="60"/>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56"/>
      <c r="BJ258" s="56"/>
      <c r="BK258" s="56"/>
      <c r="BL258" s="56"/>
      <c r="BM258" s="56"/>
      <c r="BN258" s="56"/>
      <c r="BO258" s="56"/>
      <c r="BP258" s="56"/>
      <c r="BQ258" s="56"/>
      <c r="BR258" s="56"/>
      <c r="BS258" s="56"/>
      <c r="BT258" s="56"/>
      <c r="BU258" s="56"/>
      <c r="BV258" s="56"/>
      <c r="BW258" s="56"/>
      <c r="BX258" s="56"/>
    </row>
    <row r="259">
      <c r="A259" s="48"/>
      <c r="B259" s="48"/>
      <c r="C259" s="48"/>
      <c r="D259" s="48"/>
      <c r="E259" s="48"/>
      <c r="F259" s="48"/>
      <c r="G259" s="48"/>
      <c r="H259" s="48"/>
      <c r="I259" s="48"/>
      <c r="J259" s="48"/>
      <c r="K259" s="64"/>
      <c r="L259" s="64"/>
      <c r="M259" s="48"/>
      <c r="N259" s="48"/>
      <c r="O259" s="48"/>
      <c r="P259" s="48"/>
      <c r="Q259" s="48"/>
      <c r="R259" s="48"/>
      <c r="S259" s="60"/>
      <c r="T259" s="48"/>
      <c r="U259" s="48"/>
      <c r="V259" s="48"/>
      <c r="W259" s="48"/>
      <c r="X259" s="48"/>
      <c r="Y259" s="48"/>
      <c r="Z259" s="48"/>
      <c r="AA259" s="48"/>
      <c r="AB259" s="48"/>
      <c r="AC259" s="48"/>
      <c r="AD259" s="48"/>
      <c r="AE259" s="48"/>
      <c r="AF259" s="60"/>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56"/>
      <c r="BJ259" s="56"/>
      <c r="BK259" s="56"/>
      <c r="BL259" s="56"/>
      <c r="BM259" s="56"/>
      <c r="BN259" s="56"/>
      <c r="BO259" s="56"/>
      <c r="BP259" s="56"/>
      <c r="BQ259" s="56"/>
      <c r="BR259" s="56"/>
      <c r="BS259" s="56"/>
      <c r="BT259" s="56"/>
      <c r="BU259" s="56"/>
      <c r="BV259" s="56"/>
      <c r="BW259" s="56"/>
      <c r="BX259" s="56"/>
    </row>
    <row r="260">
      <c r="A260" s="48"/>
      <c r="B260" s="48"/>
      <c r="C260" s="48"/>
      <c r="D260" s="48"/>
      <c r="E260" s="48"/>
      <c r="F260" s="48"/>
      <c r="G260" s="48"/>
      <c r="H260" s="48"/>
      <c r="I260" s="48"/>
      <c r="J260" s="48"/>
      <c r="K260" s="64"/>
      <c r="L260" s="64"/>
      <c r="M260" s="48"/>
      <c r="N260" s="48"/>
      <c r="O260" s="48"/>
      <c r="P260" s="48"/>
      <c r="Q260" s="48"/>
      <c r="R260" s="48"/>
      <c r="S260" s="60"/>
      <c r="T260" s="48"/>
      <c r="U260" s="48"/>
      <c r="V260" s="48"/>
      <c r="W260" s="48"/>
      <c r="X260" s="48"/>
      <c r="Y260" s="48"/>
      <c r="Z260" s="48"/>
      <c r="AA260" s="48"/>
      <c r="AB260" s="48"/>
      <c r="AC260" s="48"/>
      <c r="AD260" s="48"/>
      <c r="AE260" s="48"/>
      <c r="AF260" s="60"/>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56"/>
      <c r="BJ260" s="56"/>
      <c r="BK260" s="56"/>
      <c r="BL260" s="56"/>
      <c r="BM260" s="56"/>
      <c r="BN260" s="56"/>
      <c r="BO260" s="56"/>
      <c r="BP260" s="56"/>
      <c r="BQ260" s="56"/>
      <c r="BR260" s="56"/>
      <c r="BS260" s="56"/>
      <c r="BT260" s="56"/>
      <c r="BU260" s="56"/>
      <c r="BV260" s="56"/>
      <c r="BW260" s="56"/>
      <c r="BX260" s="56"/>
    </row>
    <row r="261">
      <c r="A261" s="48"/>
      <c r="B261" s="48"/>
      <c r="C261" s="48"/>
      <c r="D261" s="48"/>
      <c r="E261" s="48"/>
      <c r="F261" s="48"/>
      <c r="G261" s="48"/>
      <c r="H261" s="48"/>
      <c r="I261" s="48"/>
      <c r="J261" s="48"/>
      <c r="K261" s="64"/>
      <c r="L261" s="64"/>
      <c r="M261" s="48"/>
      <c r="N261" s="48"/>
      <c r="O261" s="48"/>
      <c r="P261" s="48"/>
      <c r="Q261" s="48"/>
      <c r="R261" s="48"/>
      <c r="S261" s="60"/>
      <c r="T261" s="48"/>
      <c r="U261" s="48"/>
      <c r="V261" s="48"/>
      <c r="W261" s="48"/>
      <c r="X261" s="48"/>
      <c r="Y261" s="48"/>
      <c r="Z261" s="48"/>
      <c r="AA261" s="48"/>
      <c r="AB261" s="48"/>
      <c r="AC261" s="48"/>
      <c r="AD261" s="48"/>
      <c r="AE261" s="48"/>
      <c r="AF261" s="60"/>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56"/>
      <c r="BJ261" s="56"/>
      <c r="BK261" s="56"/>
      <c r="BL261" s="56"/>
      <c r="BM261" s="56"/>
      <c r="BN261" s="56"/>
      <c r="BO261" s="56"/>
      <c r="BP261" s="56"/>
      <c r="BQ261" s="56"/>
      <c r="BR261" s="56"/>
      <c r="BS261" s="56"/>
      <c r="BT261" s="56"/>
      <c r="BU261" s="56"/>
      <c r="BV261" s="56"/>
      <c r="BW261" s="56"/>
      <c r="BX261" s="56"/>
    </row>
    <row r="262">
      <c r="A262" s="48"/>
      <c r="B262" s="48"/>
      <c r="C262" s="48"/>
      <c r="D262" s="48"/>
      <c r="E262" s="48"/>
      <c r="F262" s="48"/>
      <c r="G262" s="48"/>
      <c r="H262" s="48"/>
      <c r="I262" s="48"/>
      <c r="J262" s="48"/>
      <c r="K262" s="64"/>
      <c r="L262" s="64"/>
      <c r="M262" s="48"/>
      <c r="N262" s="48"/>
      <c r="O262" s="48"/>
      <c r="P262" s="48"/>
      <c r="Q262" s="48"/>
      <c r="R262" s="48"/>
      <c r="S262" s="60"/>
      <c r="T262" s="48"/>
      <c r="U262" s="48"/>
      <c r="V262" s="48"/>
      <c r="W262" s="48"/>
      <c r="X262" s="48"/>
      <c r="Y262" s="48"/>
      <c r="Z262" s="48"/>
      <c r="AA262" s="48"/>
      <c r="AB262" s="48"/>
      <c r="AC262" s="48"/>
      <c r="AD262" s="48"/>
      <c r="AE262" s="48"/>
      <c r="AF262" s="60"/>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56"/>
      <c r="BJ262" s="56"/>
      <c r="BK262" s="56"/>
      <c r="BL262" s="56"/>
      <c r="BM262" s="56"/>
      <c r="BN262" s="56"/>
      <c r="BO262" s="56"/>
      <c r="BP262" s="56"/>
      <c r="BQ262" s="56"/>
      <c r="BR262" s="56"/>
      <c r="BS262" s="56"/>
      <c r="BT262" s="56"/>
      <c r="BU262" s="56"/>
      <c r="BV262" s="56"/>
      <c r="BW262" s="56"/>
      <c r="BX262" s="56"/>
    </row>
    <row r="263">
      <c r="A263" s="48"/>
      <c r="B263" s="48"/>
      <c r="C263" s="48"/>
      <c r="D263" s="48"/>
      <c r="E263" s="48"/>
      <c r="F263" s="48"/>
      <c r="G263" s="48"/>
      <c r="H263" s="48"/>
      <c r="I263" s="48"/>
      <c r="J263" s="48"/>
      <c r="K263" s="64"/>
      <c r="L263" s="64"/>
      <c r="M263" s="48"/>
      <c r="N263" s="48"/>
      <c r="O263" s="48"/>
      <c r="P263" s="48"/>
      <c r="Q263" s="48"/>
      <c r="R263" s="48"/>
      <c r="S263" s="60"/>
      <c r="T263" s="48"/>
      <c r="U263" s="48"/>
      <c r="V263" s="48"/>
      <c r="W263" s="48"/>
      <c r="X263" s="48"/>
      <c r="Y263" s="48"/>
      <c r="Z263" s="48"/>
      <c r="AA263" s="48"/>
      <c r="AB263" s="48"/>
      <c r="AC263" s="48"/>
      <c r="AD263" s="48"/>
      <c r="AE263" s="48"/>
      <c r="AF263" s="60"/>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56"/>
      <c r="BJ263" s="56"/>
      <c r="BK263" s="56"/>
      <c r="BL263" s="56"/>
      <c r="BM263" s="56"/>
      <c r="BN263" s="56"/>
      <c r="BO263" s="56"/>
      <c r="BP263" s="56"/>
      <c r="BQ263" s="56"/>
      <c r="BR263" s="56"/>
      <c r="BS263" s="56"/>
      <c r="BT263" s="56"/>
      <c r="BU263" s="56"/>
      <c r="BV263" s="56"/>
      <c r="BW263" s="56"/>
      <c r="BX263" s="56"/>
    </row>
    <row r="264">
      <c r="A264" s="48"/>
      <c r="B264" s="48"/>
      <c r="C264" s="48"/>
      <c r="D264" s="48"/>
      <c r="E264" s="48"/>
      <c r="F264" s="48"/>
      <c r="G264" s="48"/>
      <c r="H264" s="48"/>
      <c r="I264" s="48"/>
      <c r="J264" s="48"/>
      <c r="K264" s="64"/>
      <c r="L264" s="64"/>
      <c r="M264" s="48"/>
      <c r="N264" s="48"/>
      <c r="O264" s="48"/>
      <c r="P264" s="48"/>
      <c r="Q264" s="48"/>
      <c r="R264" s="48"/>
      <c r="S264" s="60"/>
      <c r="T264" s="48"/>
      <c r="U264" s="48"/>
      <c r="V264" s="48"/>
      <c r="W264" s="48"/>
      <c r="X264" s="48"/>
      <c r="Y264" s="48"/>
      <c r="Z264" s="48"/>
      <c r="AA264" s="48"/>
      <c r="AB264" s="48"/>
      <c r="AC264" s="48"/>
      <c r="AD264" s="48"/>
      <c r="AE264" s="48"/>
      <c r="AF264" s="60"/>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56"/>
      <c r="BJ264" s="56"/>
      <c r="BK264" s="56"/>
      <c r="BL264" s="56"/>
      <c r="BM264" s="56"/>
      <c r="BN264" s="56"/>
      <c r="BO264" s="56"/>
      <c r="BP264" s="56"/>
      <c r="BQ264" s="56"/>
      <c r="BR264" s="56"/>
      <c r="BS264" s="56"/>
      <c r="BT264" s="56"/>
      <c r="BU264" s="56"/>
      <c r="BV264" s="56"/>
      <c r="BW264" s="56"/>
      <c r="BX264" s="56"/>
    </row>
    <row r="265">
      <c r="A265" s="48"/>
      <c r="B265" s="48"/>
      <c r="C265" s="48"/>
      <c r="D265" s="48"/>
      <c r="E265" s="48"/>
      <c r="F265" s="48"/>
      <c r="G265" s="48"/>
      <c r="H265" s="48"/>
      <c r="I265" s="48"/>
      <c r="J265" s="48"/>
      <c r="K265" s="64"/>
      <c r="L265" s="64"/>
      <c r="M265" s="48"/>
      <c r="N265" s="48"/>
      <c r="O265" s="48"/>
      <c r="P265" s="48"/>
      <c r="Q265" s="48"/>
      <c r="R265" s="48"/>
      <c r="S265" s="60"/>
      <c r="T265" s="48"/>
      <c r="U265" s="48"/>
      <c r="V265" s="48"/>
      <c r="W265" s="48"/>
      <c r="X265" s="48"/>
      <c r="Y265" s="48"/>
      <c r="Z265" s="48"/>
      <c r="AA265" s="48"/>
      <c r="AB265" s="48"/>
      <c r="AC265" s="48"/>
      <c r="AD265" s="48"/>
      <c r="AE265" s="48"/>
      <c r="AF265" s="60"/>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56"/>
      <c r="BJ265" s="56"/>
      <c r="BK265" s="56"/>
      <c r="BL265" s="56"/>
      <c r="BM265" s="56"/>
      <c r="BN265" s="56"/>
      <c r="BO265" s="56"/>
      <c r="BP265" s="56"/>
      <c r="BQ265" s="56"/>
      <c r="BR265" s="56"/>
      <c r="BS265" s="56"/>
      <c r="BT265" s="56"/>
      <c r="BU265" s="56"/>
      <c r="BV265" s="56"/>
      <c r="BW265" s="56"/>
      <c r="BX265" s="56"/>
    </row>
    <row r="266">
      <c r="A266" s="48"/>
      <c r="B266" s="48"/>
      <c r="C266" s="48"/>
      <c r="D266" s="48"/>
      <c r="E266" s="48"/>
      <c r="F266" s="48"/>
      <c r="G266" s="48"/>
      <c r="H266" s="48"/>
      <c r="I266" s="48"/>
      <c r="J266" s="48"/>
      <c r="K266" s="64"/>
      <c r="L266" s="64"/>
      <c r="M266" s="48"/>
      <c r="N266" s="48"/>
      <c r="O266" s="48"/>
      <c r="P266" s="48"/>
      <c r="Q266" s="48"/>
      <c r="R266" s="48"/>
      <c r="S266" s="60"/>
      <c r="T266" s="48"/>
      <c r="U266" s="48"/>
      <c r="V266" s="48"/>
      <c r="W266" s="48"/>
      <c r="X266" s="48"/>
      <c r="Y266" s="48"/>
      <c r="Z266" s="48"/>
      <c r="AA266" s="48"/>
      <c r="AB266" s="48"/>
      <c r="AC266" s="48"/>
      <c r="AD266" s="48"/>
      <c r="AE266" s="48"/>
      <c r="AF266" s="60"/>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56"/>
      <c r="BJ266" s="56"/>
      <c r="BK266" s="56"/>
      <c r="BL266" s="56"/>
      <c r="BM266" s="56"/>
      <c r="BN266" s="56"/>
      <c r="BO266" s="56"/>
      <c r="BP266" s="56"/>
      <c r="BQ266" s="56"/>
      <c r="BR266" s="56"/>
      <c r="BS266" s="56"/>
      <c r="BT266" s="56"/>
      <c r="BU266" s="56"/>
      <c r="BV266" s="56"/>
      <c r="BW266" s="56"/>
      <c r="BX266" s="56"/>
    </row>
    <row r="267">
      <c r="A267" s="48"/>
      <c r="B267" s="48"/>
      <c r="C267" s="48"/>
      <c r="D267" s="48"/>
      <c r="E267" s="48"/>
      <c r="F267" s="48"/>
      <c r="G267" s="48"/>
      <c r="H267" s="48"/>
      <c r="I267" s="48"/>
      <c r="J267" s="48"/>
      <c r="K267" s="64"/>
      <c r="L267" s="64"/>
      <c r="M267" s="48"/>
      <c r="N267" s="48"/>
      <c r="O267" s="48"/>
      <c r="P267" s="48"/>
      <c r="Q267" s="48"/>
      <c r="R267" s="48"/>
      <c r="S267" s="60"/>
      <c r="T267" s="48"/>
      <c r="U267" s="48"/>
      <c r="V267" s="48"/>
      <c r="W267" s="48"/>
      <c r="X267" s="48"/>
      <c r="Y267" s="48"/>
      <c r="Z267" s="48"/>
      <c r="AA267" s="48"/>
      <c r="AB267" s="48"/>
      <c r="AC267" s="48"/>
      <c r="AD267" s="48"/>
      <c r="AE267" s="48"/>
      <c r="AF267" s="60"/>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56"/>
      <c r="BJ267" s="56"/>
      <c r="BK267" s="56"/>
      <c r="BL267" s="56"/>
      <c r="BM267" s="56"/>
      <c r="BN267" s="56"/>
      <c r="BO267" s="56"/>
      <c r="BP267" s="56"/>
      <c r="BQ267" s="56"/>
      <c r="BR267" s="56"/>
      <c r="BS267" s="56"/>
      <c r="BT267" s="56"/>
      <c r="BU267" s="56"/>
      <c r="BV267" s="56"/>
      <c r="BW267" s="56"/>
      <c r="BX267" s="56"/>
    </row>
    <row r="268">
      <c r="A268" s="48"/>
      <c r="B268" s="48"/>
      <c r="C268" s="48"/>
      <c r="D268" s="48"/>
      <c r="E268" s="48"/>
      <c r="F268" s="48"/>
      <c r="G268" s="48"/>
      <c r="H268" s="48"/>
      <c r="I268" s="48"/>
      <c r="J268" s="48"/>
      <c r="K268" s="64"/>
      <c r="L268" s="64"/>
      <c r="M268" s="48"/>
      <c r="N268" s="48"/>
      <c r="O268" s="48"/>
      <c r="P268" s="48"/>
      <c r="Q268" s="48"/>
      <c r="R268" s="48"/>
      <c r="S268" s="60"/>
      <c r="T268" s="48"/>
      <c r="U268" s="48"/>
      <c r="V268" s="48"/>
      <c r="W268" s="48"/>
      <c r="X268" s="48"/>
      <c r="Y268" s="48"/>
      <c r="Z268" s="48"/>
      <c r="AA268" s="48"/>
      <c r="AB268" s="48"/>
      <c r="AC268" s="48"/>
      <c r="AD268" s="48"/>
      <c r="AE268" s="48"/>
      <c r="AF268" s="60"/>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56"/>
      <c r="BJ268" s="56"/>
      <c r="BK268" s="56"/>
      <c r="BL268" s="56"/>
      <c r="BM268" s="56"/>
      <c r="BN268" s="56"/>
      <c r="BO268" s="56"/>
      <c r="BP268" s="56"/>
      <c r="BQ268" s="56"/>
      <c r="BR268" s="56"/>
      <c r="BS268" s="56"/>
      <c r="BT268" s="56"/>
      <c r="BU268" s="56"/>
      <c r="BV268" s="56"/>
      <c r="BW268" s="56"/>
      <c r="BX268" s="56"/>
    </row>
    <row r="269">
      <c r="A269" s="48"/>
      <c r="B269" s="48"/>
      <c r="C269" s="48"/>
      <c r="D269" s="48"/>
      <c r="E269" s="48"/>
      <c r="F269" s="48"/>
      <c r="G269" s="48"/>
      <c r="H269" s="48"/>
      <c r="I269" s="48"/>
      <c r="J269" s="48"/>
      <c r="K269" s="64"/>
      <c r="L269" s="64"/>
      <c r="M269" s="48"/>
      <c r="N269" s="48"/>
      <c r="O269" s="48"/>
      <c r="P269" s="48"/>
      <c r="Q269" s="48"/>
      <c r="R269" s="48"/>
      <c r="S269" s="60"/>
      <c r="T269" s="48"/>
      <c r="U269" s="48"/>
      <c r="V269" s="48"/>
      <c r="W269" s="48"/>
      <c r="X269" s="48"/>
      <c r="Y269" s="48"/>
      <c r="Z269" s="48"/>
      <c r="AA269" s="48"/>
      <c r="AB269" s="48"/>
      <c r="AC269" s="48"/>
      <c r="AD269" s="48"/>
      <c r="AE269" s="48"/>
      <c r="AF269" s="60"/>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56"/>
      <c r="BJ269" s="56"/>
      <c r="BK269" s="56"/>
      <c r="BL269" s="56"/>
      <c r="BM269" s="56"/>
      <c r="BN269" s="56"/>
      <c r="BO269" s="56"/>
      <c r="BP269" s="56"/>
      <c r="BQ269" s="56"/>
      <c r="BR269" s="56"/>
      <c r="BS269" s="56"/>
      <c r="BT269" s="56"/>
      <c r="BU269" s="56"/>
      <c r="BV269" s="56"/>
      <c r="BW269" s="56"/>
      <c r="BX269" s="56"/>
    </row>
    <row r="270">
      <c r="A270" s="48"/>
      <c r="B270" s="48"/>
      <c r="C270" s="48"/>
      <c r="D270" s="48"/>
      <c r="E270" s="48"/>
      <c r="F270" s="48"/>
      <c r="G270" s="48"/>
      <c r="H270" s="48"/>
      <c r="I270" s="48"/>
      <c r="J270" s="48"/>
      <c r="K270" s="64"/>
      <c r="L270" s="64"/>
      <c r="M270" s="48"/>
      <c r="N270" s="48"/>
      <c r="O270" s="48"/>
      <c r="P270" s="48"/>
      <c r="Q270" s="48"/>
      <c r="R270" s="48"/>
      <c r="S270" s="60"/>
      <c r="T270" s="48"/>
      <c r="U270" s="48"/>
      <c r="V270" s="48"/>
      <c r="W270" s="48"/>
      <c r="X270" s="48"/>
      <c r="Y270" s="48"/>
      <c r="Z270" s="48"/>
      <c r="AA270" s="48"/>
      <c r="AB270" s="48"/>
      <c r="AC270" s="48"/>
      <c r="AD270" s="48"/>
      <c r="AE270" s="48"/>
      <c r="AF270" s="60"/>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56"/>
      <c r="BJ270" s="56"/>
      <c r="BK270" s="56"/>
      <c r="BL270" s="56"/>
      <c r="BM270" s="56"/>
      <c r="BN270" s="56"/>
      <c r="BO270" s="56"/>
      <c r="BP270" s="56"/>
      <c r="BQ270" s="56"/>
      <c r="BR270" s="56"/>
      <c r="BS270" s="56"/>
      <c r="BT270" s="56"/>
      <c r="BU270" s="56"/>
      <c r="BV270" s="56"/>
      <c r="BW270" s="56"/>
      <c r="BX270" s="56"/>
    </row>
    <row r="271">
      <c r="A271" s="48"/>
      <c r="B271" s="48"/>
      <c r="C271" s="48"/>
      <c r="D271" s="48"/>
      <c r="E271" s="48"/>
      <c r="F271" s="48"/>
      <c r="G271" s="48"/>
      <c r="H271" s="48"/>
      <c r="I271" s="48"/>
      <c r="J271" s="48"/>
      <c r="K271" s="64"/>
      <c r="L271" s="64"/>
      <c r="M271" s="48"/>
      <c r="N271" s="48"/>
      <c r="O271" s="48"/>
      <c r="P271" s="48"/>
      <c r="Q271" s="48"/>
      <c r="R271" s="48"/>
      <c r="S271" s="60"/>
      <c r="T271" s="48"/>
      <c r="U271" s="48"/>
      <c r="V271" s="48"/>
      <c r="W271" s="48"/>
      <c r="X271" s="48"/>
      <c r="Y271" s="48"/>
      <c r="Z271" s="48"/>
      <c r="AA271" s="48"/>
      <c r="AB271" s="48"/>
      <c r="AC271" s="48"/>
      <c r="AD271" s="48"/>
      <c r="AE271" s="48"/>
      <c r="AF271" s="60"/>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56"/>
      <c r="BJ271" s="56"/>
      <c r="BK271" s="56"/>
      <c r="BL271" s="56"/>
      <c r="BM271" s="56"/>
      <c r="BN271" s="56"/>
      <c r="BO271" s="56"/>
      <c r="BP271" s="56"/>
      <c r="BQ271" s="56"/>
      <c r="BR271" s="56"/>
      <c r="BS271" s="56"/>
      <c r="BT271" s="56"/>
      <c r="BU271" s="56"/>
      <c r="BV271" s="56"/>
      <c r="BW271" s="56"/>
      <c r="BX271" s="56"/>
    </row>
    <row r="272">
      <c r="A272" s="48"/>
      <c r="B272" s="48"/>
      <c r="C272" s="48"/>
      <c r="D272" s="48"/>
      <c r="E272" s="48"/>
      <c r="F272" s="48"/>
      <c r="G272" s="48"/>
      <c r="H272" s="48"/>
      <c r="I272" s="48"/>
      <c r="J272" s="48"/>
      <c r="K272" s="64"/>
      <c r="L272" s="64"/>
      <c r="M272" s="48"/>
      <c r="N272" s="48"/>
      <c r="O272" s="48"/>
      <c r="P272" s="48"/>
      <c r="Q272" s="48"/>
      <c r="R272" s="48"/>
      <c r="S272" s="60"/>
      <c r="T272" s="48"/>
      <c r="U272" s="48"/>
      <c r="V272" s="48"/>
      <c r="W272" s="48"/>
      <c r="X272" s="48"/>
      <c r="Y272" s="48"/>
      <c r="Z272" s="48"/>
      <c r="AA272" s="48"/>
      <c r="AB272" s="48"/>
      <c r="AC272" s="48"/>
      <c r="AD272" s="48"/>
      <c r="AE272" s="48"/>
      <c r="AF272" s="60"/>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56"/>
      <c r="BJ272" s="56"/>
      <c r="BK272" s="56"/>
      <c r="BL272" s="56"/>
      <c r="BM272" s="56"/>
      <c r="BN272" s="56"/>
      <c r="BO272" s="56"/>
      <c r="BP272" s="56"/>
      <c r="BQ272" s="56"/>
      <c r="BR272" s="56"/>
      <c r="BS272" s="56"/>
      <c r="BT272" s="56"/>
      <c r="BU272" s="56"/>
      <c r="BV272" s="56"/>
      <c r="BW272" s="56"/>
      <c r="BX272" s="56"/>
    </row>
    <row r="273">
      <c r="A273" s="48"/>
      <c r="B273" s="48"/>
      <c r="C273" s="48"/>
      <c r="D273" s="48"/>
      <c r="E273" s="48"/>
      <c r="F273" s="48"/>
      <c r="G273" s="48"/>
      <c r="H273" s="48"/>
      <c r="I273" s="48"/>
      <c r="J273" s="48"/>
      <c r="K273" s="64"/>
      <c r="L273" s="64"/>
      <c r="M273" s="48"/>
      <c r="N273" s="48"/>
      <c r="O273" s="48"/>
      <c r="P273" s="48"/>
      <c r="Q273" s="48"/>
      <c r="R273" s="48"/>
      <c r="S273" s="60"/>
      <c r="T273" s="48"/>
      <c r="U273" s="48"/>
      <c r="V273" s="48"/>
      <c r="W273" s="48"/>
      <c r="X273" s="48"/>
      <c r="Y273" s="48"/>
      <c r="Z273" s="48"/>
      <c r="AA273" s="48"/>
      <c r="AB273" s="48"/>
      <c r="AC273" s="48"/>
      <c r="AD273" s="48"/>
      <c r="AE273" s="48"/>
      <c r="AF273" s="60"/>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56"/>
      <c r="BJ273" s="56"/>
      <c r="BK273" s="56"/>
      <c r="BL273" s="56"/>
      <c r="BM273" s="56"/>
      <c r="BN273" s="56"/>
      <c r="BO273" s="56"/>
      <c r="BP273" s="56"/>
      <c r="BQ273" s="56"/>
      <c r="BR273" s="56"/>
      <c r="BS273" s="56"/>
      <c r="BT273" s="56"/>
      <c r="BU273" s="56"/>
      <c r="BV273" s="56"/>
      <c r="BW273" s="56"/>
      <c r="BX273" s="56"/>
    </row>
    <row r="274">
      <c r="A274" s="48"/>
      <c r="B274" s="48"/>
      <c r="C274" s="48"/>
      <c r="D274" s="48"/>
      <c r="E274" s="48"/>
      <c r="F274" s="48"/>
      <c r="G274" s="48"/>
      <c r="H274" s="48"/>
      <c r="I274" s="48"/>
      <c r="J274" s="48"/>
      <c r="K274" s="64"/>
      <c r="L274" s="64"/>
      <c r="M274" s="48"/>
      <c r="N274" s="48"/>
      <c r="O274" s="48"/>
      <c r="P274" s="48"/>
      <c r="Q274" s="48"/>
      <c r="R274" s="48"/>
      <c r="S274" s="60"/>
      <c r="T274" s="48"/>
      <c r="U274" s="48"/>
      <c r="V274" s="48"/>
      <c r="W274" s="48"/>
      <c r="X274" s="48"/>
      <c r="Y274" s="48"/>
      <c r="Z274" s="48"/>
      <c r="AA274" s="48"/>
      <c r="AB274" s="48"/>
      <c r="AC274" s="48"/>
      <c r="AD274" s="48"/>
      <c r="AE274" s="48"/>
      <c r="AF274" s="60"/>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56"/>
      <c r="BJ274" s="56"/>
      <c r="BK274" s="56"/>
      <c r="BL274" s="56"/>
      <c r="BM274" s="56"/>
      <c r="BN274" s="56"/>
      <c r="BO274" s="56"/>
      <c r="BP274" s="56"/>
      <c r="BQ274" s="56"/>
      <c r="BR274" s="56"/>
      <c r="BS274" s="56"/>
      <c r="BT274" s="56"/>
      <c r="BU274" s="56"/>
      <c r="BV274" s="56"/>
      <c r="BW274" s="56"/>
      <c r="BX274" s="56"/>
    </row>
    <row r="275">
      <c r="A275" s="48"/>
      <c r="B275" s="48"/>
      <c r="C275" s="48"/>
      <c r="D275" s="48"/>
      <c r="E275" s="48"/>
      <c r="F275" s="48"/>
      <c r="G275" s="48"/>
      <c r="H275" s="48"/>
      <c r="I275" s="48"/>
      <c r="J275" s="48"/>
      <c r="K275" s="64"/>
      <c r="L275" s="64"/>
      <c r="M275" s="48"/>
      <c r="N275" s="48"/>
      <c r="O275" s="48"/>
      <c r="P275" s="48"/>
      <c r="Q275" s="48"/>
      <c r="R275" s="48"/>
      <c r="S275" s="60"/>
      <c r="T275" s="48"/>
      <c r="U275" s="48"/>
      <c r="V275" s="48"/>
      <c r="W275" s="48"/>
      <c r="X275" s="48"/>
      <c r="Y275" s="48"/>
      <c r="Z275" s="48"/>
      <c r="AA275" s="48"/>
      <c r="AB275" s="48"/>
      <c r="AC275" s="48"/>
      <c r="AD275" s="48"/>
      <c r="AE275" s="48"/>
      <c r="AF275" s="60"/>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56"/>
      <c r="BJ275" s="56"/>
      <c r="BK275" s="56"/>
      <c r="BL275" s="56"/>
      <c r="BM275" s="56"/>
      <c r="BN275" s="56"/>
      <c r="BO275" s="56"/>
      <c r="BP275" s="56"/>
      <c r="BQ275" s="56"/>
      <c r="BR275" s="56"/>
      <c r="BS275" s="56"/>
      <c r="BT275" s="56"/>
      <c r="BU275" s="56"/>
      <c r="BV275" s="56"/>
      <c r="BW275" s="56"/>
      <c r="BX275" s="56"/>
    </row>
    <row r="276">
      <c r="A276" s="48"/>
      <c r="B276" s="48"/>
      <c r="C276" s="48"/>
      <c r="D276" s="48"/>
      <c r="E276" s="48"/>
      <c r="F276" s="48"/>
      <c r="G276" s="48"/>
      <c r="H276" s="48"/>
      <c r="I276" s="48"/>
      <c r="J276" s="48"/>
      <c r="K276" s="64"/>
      <c r="L276" s="64"/>
      <c r="M276" s="48"/>
      <c r="N276" s="48"/>
      <c r="O276" s="48"/>
      <c r="P276" s="48"/>
      <c r="Q276" s="48"/>
      <c r="R276" s="48"/>
      <c r="S276" s="60"/>
      <c r="T276" s="48"/>
      <c r="U276" s="48"/>
      <c r="V276" s="48"/>
      <c r="W276" s="48"/>
      <c r="X276" s="48"/>
      <c r="Y276" s="48"/>
      <c r="Z276" s="48"/>
      <c r="AA276" s="48"/>
      <c r="AB276" s="48"/>
      <c r="AC276" s="48"/>
      <c r="AD276" s="48"/>
      <c r="AE276" s="48"/>
      <c r="AF276" s="60"/>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56"/>
      <c r="BJ276" s="56"/>
      <c r="BK276" s="56"/>
      <c r="BL276" s="56"/>
      <c r="BM276" s="56"/>
      <c r="BN276" s="56"/>
      <c r="BO276" s="56"/>
      <c r="BP276" s="56"/>
      <c r="BQ276" s="56"/>
      <c r="BR276" s="56"/>
      <c r="BS276" s="56"/>
      <c r="BT276" s="56"/>
      <c r="BU276" s="56"/>
      <c r="BV276" s="56"/>
      <c r="BW276" s="56"/>
      <c r="BX276" s="56"/>
    </row>
    <row r="277">
      <c r="A277" s="48"/>
      <c r="B277" s="48"/>
      <c r="C277" s="48"/>
      <c r="D277" s="48"/>
      <c r="E277" s="48"/>
      <c r="F277" s="48"/>
      <c r="G277" s="48"/>
      <c r="H277" s="48"/>
      <c r="I277" s="48"/>
      <c r="J277" s="48"/>
      <c r="K277" s="64"/>
      <c r="L277" s="64"/>
      <c r="M277" s="48"/>
      <c r="N277" s="48"/>
      <c r="O277" s="48"/>
      <c r="P277" s="48"/>
      <c r="Q277" s="48"/>
      <c r="R277" s="48"/>
      <c r="S277" s="60"/>
      <c r="T277" s="48"/>
      <c r="U277" s="48"/>
      <c r="V277" s="48"/>
      <c r="W277" s="48"/>
      <c r="X277" s="48"/>
      <c r="Y277" s="48"/>
      <c r="Z277" s="48"/>
      <c r="AA277" s="48"/>
      <c r="AB277" s="48"/>
      <c r="AC277" s="48"/>
      <c r="AD277" s="48"/>
      <c r="AE277" s="48"/>
      <c r="AF277" s="60"/>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56"/>
      <c r="BJ277" s="56"/>
      <c r="BK277" s="56"/>
      <c r="BL277" s="56"/>
      <c r="BM277" s="56"/>
      <c r="BN277" s="56"/>
      <c r="BO277" s="56"/>
      <c r="BP277" s="56"/>
      <c r="BQ277" s="56"/>
      <c r="BR277" s="56"/>
      <c r="BS277" s="56"/>
      <c r="BT277" s="56"/>
      <c r="BU277" s="56"/>
      <c r="BV277" s="56"/>
      <c r="BW277" s="56"/>
      <c r="BX277" s="56"/>
    </row>
    <row r="278">
      <c r="A278" s="48"/>
      <c r="B278" s="48"/>
      <c r="C278" s="48"/>
      <c r="D278" s="48"/>
      <c r="E278" s="48"/>
      <c r="F278" s="48"/>
      <c r="G278" s="48"/>
      <c r="H278" s="48"/>
      <c r="I278" s="48"/>
      <c r="J278" s="48"/>
      <c r="K278" s="64"/>
      <c r="L278" s="64"/>
      <c r="M278" s="48"/>
      <c r="N278" s="48"/>
      <c r="O278" s="48"/>
      <c r="P278" s="48"/>
      <c r="Q278" s="48"/>
      <c r="R278" s="48"/>
      <c r="S278" s="60"/>
      <c r="T278" s="48"/>
      <c r="U278" s="48"/>
      <c r="V278" s="48"/>
      <c r="W278" s="48"/>
      <c r="X278" s="48"/>
      <c r="Y278" s="48"/>
      <c r="Z278" s="48"/>
      <c r="AA278" s="48"/>
      <c r="AB278" s="48"/>
      <c r="AC278" s="48"/>
      <c r="AD278" s="48"/>
      <c r="AE278" s="48"/>
      <c r="AF278" s="60"/>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56"/>
      <c r="BJ278" s="56"/>
      <c r="BK278" s="56"/>
      <c r="BL278" s="56"/>
      <c r="BM278" s="56"/>
      <c r="BN278" s="56"/>
      <c r="BO278" s="56"/>
      <c r="BP278" s="56"/>
      <c r="BQ278" s="56"/>
      <c r="BR278" s="56"/>
      <c r="BS278" s="56"/>
      <c r="BT278" s="56"/>
      <c r="BU278" s="56"/>
      <c r="BV278" s="56"/>
      <c r="BW278" s="56"/>
      <c r="BX278" s="56"/>
    </row>
    <row r="279">
      <c r="A279" s="48"/>
      <c r="B279" s="48"/>
      <c r="C279" s="48"/>
      <c r="D279" s="48"/>
      <c r="E279" s="48"/>
      <c r="F279" s="48"/>
      <c r="G279" s="48"/>
      <c r="H279" s="48"/>
      <c r="I279" s="48"/>
      <c r="J279" s="48"/>
      <c r="K279" s="64"/>
      <c r="L279" s="64"/>
      <c r="M279" s="48"/>
      <c r="N279" s="48"/>
      <c r="O279" s="48"/>
      <c r="P279" s="48"/>
      <c r="Q279" s="48"/>
      <c r="R279" s="48"/>
      <c r="S279" s="60"/>
      <c r="T279" s="48"/>
      <c r="U279" s="48"/>
      <c r="V279" s="48"/>
      <c r="W279" s="48"/>
      <c r="X279" s="48"/>
      <c r="Y279" s="48"/>
      <c r="Z279" s="48"/>
      <c r="AA279" s="48"/>
      <c r="AB279" s="48"/>
      <c r="AC279" s="48"/>
      <c r="AD279" s="48"/>
      <c r="AE279" s="48"/>
      <c r="AF279" s="60"/>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56"/>
      <c r="BJ279" s="56"/>
      <c r="BK279" s="56"/>
      <c r="BL279" s="56"/>
      <c r="BM279" s="56"/>
      <c r="BN279" s="56"/>
      <c r="BO279" s="56"/>
      <c r="BP279" s="56"/>
      <c r="BQ279" s="56"/>
      <c r="BR279" s="56"/>
      <c r="BS279" s="56"/>
      <c r="BT279" s="56"/>
      <c r="BU279" s="56"/>
      <c r="BV279" s="56"/>
      <c r="BW279" s="56"/>
      <c r="BX279" s="56"/>
    </row>
    <row r="280">
      <c r="A280" s="48"/>
      <c r="B280" s="48"/>
      <c r="C280" s="48"/>
      <c r="D280" s="48"/>
      <c r="E280" s="48"/>
      <c r="F280" s="48"/>
      <c r="G280" s="48"/>
      <c r="H280" s="48"/>
      <c r="I280" s="48"/>
      <c r="J280" s="48"/>
      <c r="K280" s="64"/>
      <c r="L280" s="64"/>
      <c r="M280" s="48"/>
      <c r="N280" s="48"/>
      <c r="O280" s="48"/>
      <c r="P280" s="48"/>
      <c r="Q280" s="48"/>
      <c r="R280" s="48"/>
      <c r="S280" s="60"/>
      <c r="T280" s="48"/>
      <c r="U280" s="48"/>
      <c r="V280" s="48"/>
      <c r="W280" s="48"/>
      <c r="X280" s="48"/>
      <c r="Y280" s="48"/>
      <c r="Z280" s="48"/>
      <c r="AA280" s="48"/>
      <c r="AB280" s="48"/>
      <c r="AC280" s="48"/>
      <c r="AD280" s="48"/>
      <c r="AE280" s="48"/>
      <c r="AF280" s="60"/>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56"/>
      <c r="BJ280" s="56"/>
      <c r="BK280" s="56"/>
      <c r="BL280" s="56"/>
      <c r="BM280" s="56"/>
      <c r="BN280" s="56"/>
      <c r="BO280" s="56"/>
      <c r="BP280" s="56"/>
      <c r="BQ280" s="56"/>
      <c r="BR280" s="56"/>
      <c r="BS280" s="56"/>
      <c r="BT280" s="56"/>
      <c r="BU280" s="56"/>
      <c r="BV280" s="56"/>
      <c r="BW280" s="56"/>
      <c r="BX280" s="56"/>
    </row>
    <row r="281">
      <c r="A281" s="48"/>
      <c r="B281" s="48"/>
      <c r="C281" s="48"/>
      <c r="D281" s="48"/>
      <c r="E281" s="48"/>
      <c r="F281" s="48"/>
      <c r="G281" s="48"/>
      <c r="H281" s="48"/>
      <c r="I281" s="48"/>
      <c r="J281" s="48"/>
      <c r="K281" s="64"/>
      <c r="L281" s="64"/>
      <c r="M281" s="48"/>
      <c r="N281" s="48"/>
      <c r="O281" s="48"/>
      <c r="P281" s="48"/>
      <c r="Q281" s="48"/>
      <c r="R281" s="48"/>
      <c r="S281" s="60"/>
      <c r="T281" s="48"/>
      <c r="U281" s="48"/>
      <c r="V281" s="48"/>
      <c r="W281" s="48"/>
      <c r="X281" s="48"/>
      <c r="Y281" s="48"/>
      <c r="Z281" s="48"/>
      <c r="AA281" s="48"/>
      <c r="AB281" s="48"/>
      <c r="AC281" s="48"/>
      <c r="AD281" s="48"/>
      <c r="AE281" s="48"/>
      <c r="AF281" s="60"/>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56"/>
      <c r="BJ281" s="56"/>
      <c r="BK281" s="56"/>
      <c r="BL281" s="56"/>
      <c r="BM281" s="56"/>
      <c r="BN281" s="56"/>
      <c r="BO281" s="56"/>
      <c r="BP281" s="56"/>
      <c r="BQ281" s="56"/>
      <c r="BR281" s="56"/>
      <c r="BS281" s="56"/>
      <c r="BT281" s="56"/>
      <c r="BU281" s="56"/>
      <c r="BV281" s="56"/>
      <c r="BW281" s="56"/>
      <c r="BX281" s="56"/>
    </row>
    <row r="282">
      <c r="A282" s="48"/>
      <c r="B282" s="48"/>
      <c r="C282" s="48"/>
      <c r="D282" s="48"/>
      <c r="E282" s="48"/>
      <c r="F282" s="48"/>
      <c r="G282" s="48"/>
      <c r="H282" s="48"/>
      <c r="I282" s="48"/>
      <c r="J282" s="48"/>
      <c r="K282" s="64"/>
      <c r="L282" s="64"/>
      <c r="M282" s="48"/>
      <c r="N282" s="48"/>
      <c r="O282" s="48"/>
      <c r="P282" s="48"/>
      <c r="Q282" s="48"/>
      <c r="R282" s="48"/>
      <c r="S282" s="60"/>
      <c r="T282" s="48"/>
      <c r="U282" s="48"/>
      <c r="V282" s="48"/>
      <c r="W282" s="48"/>
      <c r="X282" s="48"/>
      <c r="Y282" s="48"/>
      <c r="Z282" s="48"/>
      <c r="AA282" s="48"/>
      <c r="AB282" s="48"/>
      <c r="AC282" s="48"/>
      <c r="AD282" s="48"/>
      <c r="AE282" s="48"/>
      <c r="AF282" s="60"/>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56"/>
      <c r="BJ282" s="56"/>
      <c r="BK282" s="56"/>
      <c r="BL282" s="56"/>
      <c r="BM282" s="56"/>
      <c r="BN282" s="56"/>
      <c r="BO282" s="56"/>
      <c r="BP282" s="56"/>
      <c r="BQ282" s="56"/>
      <c r="BR282" s="56"/>
      <c r="BS282" s="56"/>
      <c r="BT282" s="56"/>
      <c r="BU282" s="56"/>
      <c r="BV282" s="56"/>
      <c r="BW282" s="56"/>
      <c r="BX282" s="56"/>
    </row>
    <row r="283">
      <c r="A283" s="48"/>
      <c r="B283" s="48"/>
      <c r="C283" s="48"/>
      <c r="D283" s="48"/>
      <c r="E283" s="48"/>
      <c r="F283" s="48"/>
      <c r="G283" s="48"/>
      <c r="H283" s="48"/>
      <c r="I283" s="48"/>
      <c r="J283" s="48"/>
      <c r="K283" s="64"/>
      <c r="L283" s="64"/>
      <c r="M283" s="48"/>
      <c r="N283" s="48"/>
      <c r="O283" s="48"/>
      <c r="P283" s="48"/>
      <c r="Q283" s="48"/>
      <c r="R283" s="48"/>
      <c r="S283" s="60"/>
      <c r="T283" s="48"/>
      <c r="U283" s="48"/>
      <c r="V283" s="48"/>
      <c r="W283" s="48"/>
      <c r="X283" s="48"/>
      <c r="Y283" s="48"/>
      <c r="Z283" s="48"/>
      <c r="AA283" s="48"/>
      <c r="AB283" s="48"/>
      <c r="AC283" s="48"/>
      <c r="AD283" s="48"/>
      <c r="AE283" s="48"/>
      <c r="AF283" s="60"/>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56"/>
      <c r="BJ283" s="56"/>
      <c r="BK283" s="56"/>
      <c r="BL283" s="56"/>
      <c r="BM283" s="56"/>
      <c r="BN283" s="56"/>
      <c r="BO283" s="56"/>
      <c r="BP283" s="56"/>
      <c r="BQ283" s="56"/>
      <c r="BR283" s="56"/>
      <c r="BS283" s="56"/>
      <c r="BT283" s="56"/>
      <c r="BU283" s="56"/>
      <c r="BV283" s="56"/>
      <c r="BW283" s="56"/>
      <c r="BX283" s="56"/>
    </row>
    <row r="284">
      <c r="A284" s="48"/>
      <c r="B284" s="48"/>
      <c r="C284" s="48"/>
      <c r="D284" s="48"/>
      <c r="E284" s="48"/>
      <c r="F284" s="48"/>
      <c r="G284" s="48"/>
      <c r="H284" s="48"/>
      <c r="I284" s="48"/>
      <c r="J284" s="48"/>
      <c r="K284" s="64"/>
      <c r="L284" s="64"/>
      <c r="M284" s="48"/>
      <c r="N284" s="48"/>
      <c r="O284" s="48"/>
      <c r="P284" s="48"/>
      <c r="Q284" s="48"/>
      <c r="R284" s="48"/>
      <c r="S284" s="60"/>
      <c r="T284" s="48"/>
      <c r="U284" s="48"/>
      <c r="V284" s="48"/>
      <c r="W284" s="48"/>
      <c r="X284" s="48"/>
      <c r="Y284" s="48"/>
      <c r="Z284" s="48"/>
      <c r="AA284" s="48"/>
      <c r="AB284" s="48"/>
      <c r="AC284" s="48"/>
      <c r="AD284" s="48"/>
      <c r="AE284" s="48"/>
      <c r="AF284" s="60"/>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56"/>
      <c r="BJ284" s="56"/>
      <c r="BK284" s="56"/>
      <c r="BL284" s="56"/>
      <c r="BM284" s="56"/>
      <c r="BN284" s="56"/>
      <c r="BO284" s="56"/>
      <c r="BP284" s="56"/>
      <c r="BQ284" s="56"/>
      <c r="BR284" s="56"/>
      <c r="BS284" s="56"/>
      <c r="BT284" s="56"/>
      <c r="BU284" s="56"/>
      <c r="BV284" s="56"/>
      <c r="BW284" s="56"/>
      <c r="BX284" s="56"/>
    </row>
    <row r="285">
      <c r="A285" s="48"/>
      <c r="B285" s="48"/>
      <c r="C285" s="48"/>
      <c r="D285" s="48"/>
      <c r="E285" s="48"/>
      <c r="F285" s="48"/>
      <c r="G285" s="48"/>
      <c r="H285" s="48"/>
      <c r="I285" s="48"/>
      <c r="J285" s="48"/>
      <c r="K285" s="64"/>
      <c r="L285" s="64"/>
      <c r="M285" s="48"/>
      <c r="N285" s="48"/>
      <c r="O285" s="48"/>
      <c r="P285" s="48"/>
      <c r="Q285" s="48"/>
      <c r="R285" s="48"/>
      <c r="S285" s="60"/>
      <c r="T285" s="48"/>
      <c r="U285" s="48"/>
      <c r="V285" s="48"/>
      <c r="W285" s="48"/>
      <c r="X285" s="48"/>
      <c r="Y285" s="48"/>
      <c r="Z285" s="48"/>
      <c r="AA285" s="48"/>
      <c r="AB285" s="48"/>
      <c r="AC285" s="48"/>
      <c r="AD285" s="48"/>
      <c r="AE285" s="48"/>
      <c r="AF285" s="60"/>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56"/>
      <c r="BJ285" s="56"/>
      <c r="BK285" s="56"/>
      <c r="BL285" s="56"/>
      <c r="BM285" s="56"/>
      <c r="BN285" s="56"/>
      <c r="BO285" s="56"/>
      <c r="BP285" s="56"/>
      <c r="BQ285" s="56"/>
      <c r="BR285" s="56"/>
      <c r="BS285" s="56"/>
      <c r="BT285" s="56"/>
      <c r="BU285" s="56"/>
      <c r="BV285" s="56"/>
      <c r="BW285" s="56"/>
      <c r="BX285" s="56"/>
    </row>
    <row r="286">
      <c r="A286" s="48"/>
      <c r="B286" s="48"/>
      <c r="C286" s="48"/>
      <c r="D286" s="48"/>
      <c r="E286" s="48"/>
      <c r="F286" s="48"/>
      <c r="G286" s="48"/>
      <c r="H286" s="48"/>
      <c r="I286" s="48"/>
      <c r="J286" s="48"/>
      <c r="K286" s="64"/>
      <c r="L286" s="64"/>
      <c r="M286" s="48"/>
      <c r="N286" s="48"/>
      <c r="O286" s="48"/>
      <c r="P286" s="48"/>
      <c r="Q286" s="48"/>
      <c r="R286" s="48"/>
      <c r="S286" s="60"/>
      <c r="T286" s="48"/>
      <c r="U286" s="48"/>
      <c r="V286" s="48"/>
      <c r="W286" s="48"/>
      <c r="X286" s="48"/>
      <c r="Y286" s="48"/>
      <c r="Z286" s="48"/>
      <c r="AA286" s="48"/>
      <c r="AB286" s="48"/>
      <c r="AC286" s="48"/>
      <c r="AD286" s="48"/>
      <c r="AE286" s="48"/>
      <c r="AF286" s="60"/>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56"/>
      <c r="BJ286" s="56"/>
      <c r="BK286" s="56"/>
      <c r="BL286" s="56"/>
      <c r="BM286" s="56"/>
      <c r="BN286" s="56"/>
      <c r="BO286" s="56"/>
      <c r="BP286" s="56"/>
      <c r="BQ286" s="56"/>
      <c r="BR286" s="56"/>
      <c r="BS286" s="56"/>
      <c r="BT286" s="56"/>
      <c r="BU286" s="56"/>
      <c r="BV286" s="56"/>
      <c r="BW286" s="56"/>
      <c r="BX286" s="56"/>
    </row>
    <row r="287">
      <c r="A287" s="48"/>
      <c r="B287" s="48"/>
      <c r="C287" s="48"/>
      <c r="D287" s="48"/>
      <c r="E287" s="48"/>
      <c r="F287" s="48"/>
      <c r="G287" s="48"/>
      <c r="H287" s="48"/>
      <c r="I287" s="48"/>
      <c r="J287" s="48"/>
      <c r="K287" s="64"/>
      <c r="L287" s="64"/>
      <c r="M287" s="48"/>
      <c r="N287" s="48"/>
      <c r="O287" s="48"/>
      <c r="P287" s="48"/>
      <c r="Q287" s="48"/>
      <c r="R287" s="48"/>
      <c r="S287" s="60"/>
      <c r="T287" s="48"/>
      <c r="U287" s="48"/>
      <c r="V287" s="48"/>
      <c r="W287" s="48"/>
      <c r="X287" s="48"/>
      <c r="Y287" s="48"/>
      <c r="Z287" s="48"/>
      <c r="AA287" s="48"/>
      <c r="AB287" s="48"/>
      <c r="AC287" s="48"/>
      <c r="AD287" s="48"/>
      <c r="AE287" s="48"/>
      <c r="AF287" s="60"/>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56"/>
      <c r="BJ287" s="56"/>
      <c r="BK287" s="56"/>
      <c r="BL287" s="56"/>
      <c r="BM287" s="56"/>
      <c r="BN287" s="56"/>
      <c r="BO287" s="56"/>
      <c r="BP287" s="56"/>
      <c r="BQ287" s="56"/>
      <c r="BR287" s="56"/>
      <c r="BS287" s="56"/>
      <c r="BT287" s="56"/>
      <c r="BU287" s="56"/>
      <c r="BV287" s="56"/>
      <c r="BW287" s="56"/>
      <c r="BX287" s="56"/>
    </row>
    <row r="288">
      <c r="A288" s="48"/>
      <c r="B288" s="48"/>
      <c r="C288" s="48"/>
      <c r="D288" s="48"/>
      <c r="E288" s="48"/>
      <c r="F288" s="48"/>
      <c r="G288" s="48"/>
      <c r="H288" s="48"/>
      <c r="I288" s="48"/>
      <c r="J288" s="48"/>
      <c r="K288" s="64"/>
      <c r="L288" s="64"/>
      <c r="M288" s="48"/>
      <c r="N288" s="48"/>
      <c r="O288" s="48"/>
      <c r="P288" s="48"/>
      <c r="Q288" s="48"/>
      <c r="R288" s="48"/>
      <c r="S288" s="60"/>
      <c r="T288" s="48"/>
      <c r="U288" s="48"/>
      <c r="V288" s="48"/>
      <c r="W288" s="48"/>
      <c r="X288" s="48"/>
      <c r="Y288" s="48"/>
      <c r="Z288" s="48"/>
      <c r="AA288" s="48"/>
      <c r="AB288" s="48"/>
      <c r="AC288" s="48"/>
      <c r="AD288" s="48"/>
      <c r="AE288" s="48"/>
      <c r="AF288" s="60"/>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56"/>
      <c r="BJ288" s="56"/>
      <c r="BK288" s="56"/>
      <c r="BL288" s="56"/>
      <c r="BM288" s="56"/>
      <c r="BN288" s="56"/>
      <c r="BO288" s="56"/>
      <c r="BP288" s="56"/>
      <c r="BQ288" s="56"/>
      <c r="BR288" s="56"/>
      <c r="BS288" s="56"/>
      <c r="BT288" s="56"/>
      <c r="BU288" s="56"/>
      <c r="BV288" s="56"/>
      <c r="BW288" s="56"/>
      <c r="BX288" s="56"/>
    </row>
    <row r="289">
      <c r="A289" s="48"/>
      <c r="B289" s="48"/>
      <c r="C289" s="48"/>
      <c r="D289" s="48"/>
      <c r="E289" s="48"/>
      <c r="F289" s="48"/>
      <c r="G289" s="48"/>
      <c r="H289" s="48"/>
      <c r="I289" s="48"/>
      <c r="J289" s="48"/>
      <c r="K289" s="64"/>
      <c r="L289" s="64"/>
      <c r="M289" s="48"/>
      <c r="N289" s="48"/>
      <c r="O289" s="48"/>
      <c r="P289" s="48"/>
      <c r="Q289" s="48"/>
      <c r="R289" s="48"/>
      <c r="S289" s="60"/>
      <c r="T289" s="48"/>
      <c r="U289" s="48"/>
      <c r="V289" s="48"/>
      <c r="W289" s="48"/>
      <c r="X289" s="48"/>
      <c r="Y289" s="48"/>
      <c r="Z289" s="48"/>
      <c r="AA289" s="48"/>
      <c r="AB289" s="48"/>
      <c r="AC289" s="48"/>
      <c r="AD289" s="48"/>
      <c r="AE289" s="48"/>
      <c r="AF289" s="60"/>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56"/>
      <c r="BJ289" s="56"/>
      <c r="BK289" s="56"/>
      <c r="BL289" s="56"/>
      <c r="BM289" s="56"/>
      <c r="BN289" s="56"/>
      <c r="BO289" s="56"/>
      <c r="BP289" s="56"/>
      <c r="BQ289" s="56"/>
      <c r="BR289" s="56"/>
      <c r="BS289" s="56"/>
      <c r="BT289" s="56"/>
      <c r="BU289" s="56"/>
      <c r="BV289" s="56"/>
      <c r="BW289" s="56"/>
      <c r="BX289" s="56"/>
    </row>
    <row r="290">
      <c r="A290" s="48"/>
      <c r="B290" s="48"/>
      <c r="C290" s="48"/>
      <c r="D290" s="48"/>
      <c r="E290" s="48"/>
      <c r="F290" s="48"/>
      <c r="G290" s="48"/>
      <c r="H290" s="48"/>
      <c r="I290" s="48"/>
      <c r="J290" s="48"/>
      <c r="K290" s="64"/>
      <c r="L290" s="64"/>
      <c r="M290" s="48"/>
      <c r="N290" s="48"/>
      <c r="O290" s="48"/>
      <c r="P290" s="48"/>
      <c r="Q290" s="48"/>
      <c r="R290" s="48"/>
      <c r="S290" s="60"/>
      <c r="T290" s="48"/>
      <c r="U290" s="48"/>
      <c r="V290" s="48"/>
      <c r="W290" s="48"/>
      <c r="X290" s="48"/>
      <c r="Y290" s="48"/>
      <c r="Z290" s="48"/>
      <c r="AA290" s="48"/>
      <c r="AB290" s="48"/>
      <c r="AC290" s="48"/>
      <c r="AD290" s="48"/>
      <c r="AE290" s="48"/>
      <c r="AF290" s="60"/>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56"/>
      <c r="BJ290" s="56"/>
      <c r="BK290" s="56"/>
      <c r="BL290" s="56"/>
      <c r="BM290" s="56"/>
      <c r="BN290" s="56"/>
      <c r="BO290" s="56"/>
      <c r="BP290" s="56"/>
      <c r="BQ290" s="56"/>
      <c r="BR290" s="56"/>
      <c r="BS290" s="56"/>
      <c r="BT290" s="56"/>
      <c r="BU290" s="56"/>
      <c r="BV290" s="56"/>
      <c r="BW290" s="56"/>
      <c r="BX290" s="56"/>
    </row>
    <row r="291">
      <c r="A291" s="48"/>
      <c r="B291" s="48"/>
      <c r="C291" s="48"/>
      <c r="D291" s="48"/>
      <c r="E291" s="48"/>
      <c r="F291" s="48"/>
      <c r="G291" s="48"/>
      <c r="H291" s="48"/>
      <c r="I291" s="48"/>
      <c r="J291" s="48"/>
      <c r="K291" s="64"/>
      <c r="L291" s="64"/>
      <c r="M291" s="48"/>
      <c r="N291" s="48"/>
      <c r="O291" s="48"/>
      <c r="P291" s="48"/>
      <c r="Q291" s="48"/>
      <c r="R291" s="48"/>
      <c r="S291" s="60"/>
      <c r="T291" s="48"/>
      <c r="U291" s="48"/>
      <c r="V291" s="48"/>
      <c r="W291" s="48"/>
      <c r="X291" s="48"/>
      <c r="Y291" s="48"/>
      <c r="Z291" s="48"/>
      <c r="AA291" s="48"/>
      <c r="AB291" s="48"/>
      <c r="AC291" s="48"/>
      <c r="AD291" s="48"/>
      <c r="AE291" s="48"/>
      <c r="AF291" s="60"/>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56"/>
      <c r="BJ291" s="56"/>
      <c r="BK291" s="56"/>
      <c r="BL291" s="56"/>
      <c r="BM291" s="56"/>
      <c r="BN291" s="56"/>
      <c r="BO291" s="56"/>
      <c r="BP291" s="56"/>
      <c r="BQ291" s="56"/>
      <c r="BR291" s="56"/>
      <c r="BS291" s="56"/>
      <c r="BT291" s="56"/>
      <c r="BU291" s="56"/>
      <c r="BV291" s="56"/>
      <c r="BW291" s="56"/>
      <c r="BX291" s="56"/>
    </row>
    <row r="292">
      <c r="A292" s="48"/>
      <c r="B292" s="48"/>
      <c r="C292" s="48"/>
      <c r="D292" s="48"/>
      <c r="E292" s="48"/>
      <c r="F292" s="48"/>
      <c r="G292" s="48"/>
      <c r="H292" s="48"/>
      <c r="I292" s="48"/>
      <c r="J292" s="48"/>
      <c r="K292" s="64"/>
      <c r="L292" s="64"/>
      <c r="M292" s="48"/>
      <c r="N292" s="48"/>
      <c r="O292" s="48"/>
      <c r="P292" s="48"/>
      <c r="Q292" s="48"/>
      <c r="R292" s="48"/>
      <c r="S292" s="60"/>
      <c r="T292" s="48"/>
      <c r="U292" s="48"/>
      <c r="V292" s="48"/>
      <c r="W292" s="48"/>
      <c r="X292" s="48"/>
      <c r="Y292" s="48"/>
      <c r="Z292" s="48"/>
      <c r="AA292" s="48"/>
      <c r="AB292" s="48"/>
      <c r="AC292" s="48"/>
      <c r="AD292" s="48"/>
      <c r="AE292" s="48"/>
      <c r="AF292" s="60"/>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56"/>
      <c r="BJ292" s="56"/>
      <c r="BK292" s="56"/>
      <c r="BL292" s="56"/>
      <c r="BM292" s="56"/>
      <c r="BN292" s="56"/>
      <c r="BO292" s="56"/>
      <c r="BP292" s="56"/>
      <c r="BQ292" s="56"/>
      <c r="BR292" s="56"/>
      <c r="BS292" s="56"/>
      <c r="BT292" s="56"/>
      <c r="BU292" s="56"/>
      <c r="BV292" s="56"/>
      <c r="BW292" s="56"/>
      <c r="BX292" s="56"/>
    </row>
    <row r="293">
      <c r="A293" s="48"/>
      <c r="B293" s="48"/>
      <c r="C293" s="48"/>
      <c r="D293" s="48"/>
      <c r="E293" s="48"/>
      <c r="F293" s="48"/>
      <c r="G293" s="48"/>
      <c r="H293" s="48"/>
      <c r="I293" s="48"/>
      <c r="J293" s="48"/>
      <c r="K293" s="64"/>
      <c r="L293" s="64"/>
      <c r="M293" s="48"/>
      <c r="N293" s="48"/>
      <c r="O293" s="48"/>
      <c r="P293" s="48"/>
      <c r="Q293" s="48"/>
      <c r="R293" s="48"/>
      <c r="S293" s="60"/>
      <c r="T293" s="48"/>
      <c r="U293" s="48"/>
      <c r="V293" s="48"/>
      <c r="W293" s="48"/>
      <c r="X293" s="48"/>
      <c r="Y293" s="48"/>
      <c r="Z293" s="48"/>
      <c r="AA293" s="48"/>
      <c r="AB293" s="48"/>
      <c r="AC293" s="48"/>
      <c r="AD293" s="48"/>
      <c r="AE293" s="48"/>
      <c r="AF293" s="60"/>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56"/>
      <c r="BJ293" s="56"/>
      <c r="BK293" s="56"/>
      <c r="BL293" s="56"/>
      <c r="BM293" s="56"/>
      <c r="BN293" s="56"/>
      <c r="BO293" s="56"/>
      <c r="BP293" s="56"/>
      <c r="BQ293" s="56"/>
      <c r="BR293" s="56"/>
      <c r="BS293" s="56"/>
      <c r="BT293" s="56"/>
      <c r="BU293" s="56"/>
      <c r="BV293" s="56"/>
      <c r="BW293" s="56"/>
      <c r="BX293" s="56"/>
    </row>
    <row r="294">
      <c r="A294" s="48"/>
      <c r="B294" s="48"/>
      <c r="C294" s="48"/>
      <c r="D294" s="48"/>
      <c r="E294" s="48"/>
      <c r="F294" s="48"/>
      <c r="G294" s="48"/>
      <c r="H294" s="48"/>
      <c r="I294" s="48"/>
      <c r="J294" s="48"/>
      <c r="K294" s="64"/>
      <c r="L294" s="64"/>
      <c r="M294" s="48"/>
      <c r="N294" s="48"/>
      <c r="O294" s="48"/>
      <c r="P294" s="48"/>
      <c r="Q294" s="48"/>
      <c r="R294" s="48"/>
      <c r="S294" s="60"/>
      <c r="T294" s="48"/>
      <c r="U294" s="48"/>
      <c r="V294" s="48"/>
      <c r="W294" s="48"/>
      <c r="X294" s="48"/>
      <c r="Y294" s="48"/>
      <c r="Z294" s="48"/>
      <c r="AA294" s="48"/>
      <c r="AB294" s="48"/>
      <c r="AC294" s="48"/>
      <c r="AD294" s="48"/>
      <c r="AE294" s="48"/>
      <c r="AF294" s="60"/>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56"/>
      <c r="BJ294" s="56"/>
      <c r="BK294" s="56"/>
      <c r="BL294" s="56"/>
      <c r="BM294" s="56"/>
      <c r="BN294" s="56"/>
      <c r="BO294" s="56"/>
      <c r="BP294" s="56"/>
      <c r="BQ294" s="56"/>
      <c r="BR294" s="56"/>
      <c r="BS294" s="56"/>
      <c r="BT294" s="56"/>
      <c r="BU294" s="56"/>
      <c r="BV294" s="56"/>
      <c r="BW294" s="56"/>
      <c r="BX294" s="56"/>
    </row>
    <row r="295">
      <c r="A295" s="48"/>
      <c r="B295" s="48"/>
      <c r="C295" s="48"/>
      <c r="D295" s="48"/>
      <c r="E295" s="48"/>
      <c r="F295" s="48"/>
      <c r="G295" s="48"/>
      <c r="H295" s="48"/>
      <c r="I295" s="48"/>
      <c r="J295" s="48"/>
      <c r="K295" s="64"/>
      <c r="L295" s="64"/>
      <c r="M295" s="48"/>
      <c r="N295" s="48"/>
      <c r="O295" s="48"/>
      <c r="P295" s="48"/>
      <c r="Q295" s="48"/>
      <c r="R295" s="48"/>
      <c r="S295" s="60"/>
      <c r="T295" s="48"/>
      <c r="U295" s="48"/>
      <c r="V295" s="48"/>
      <c r="W295" s="48"/>
      <c r="X295" s="48"/>
      <c r="Y295" s="48"/>
      <c r="Z295" s="48"/>
      <c r="AA295" s="48"/>
      <c r="AB295" s="48"/>
      <c r="AC295" s="48"/>
      <c r="AD295" s="48"/>
      <c r="AE295" s="48"/>
      <c r="AF295" s="60"/>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56"/>
      <c r="BJ295" s="56"/>
      <c r="BK295" s="56"/>
      <c r="BL295" s="56"/>
      <c r="BM295" s="56"/>
      <c r="BN295" s="56"/>
      <c r="BO295" s="56"/>
      <c r="BP295" s="56"/>
      <c r="BQ295" s="56"/>
      <c r="BR295" s="56"/>
      <c r="BS295" s="56"/>
      <c r="BT295" s="56"/>
      <c r="BU295" s="56"/>
      <c r="BV295" s="56"/>
      <c r="BW295" s="56"/>
      <c r="BX295" s="56"/>
    </row>
    <row r="296">
      <c r="A296" s="48"/>
      <c r="B296" s="48"/>
      <c r="C296" s="48"/>
      <c r="D296" s="48"/>
      <c r="E296" s="48"/>
      <c r="F296" s="48"/>
      <c r="G296" s="48"/>
      <c r="H296" s="48"/>
      <c r="I296" s="48"/>
      <c r="J296" s="48"/>
      <c r="K296" s="64"/>
      <c r="L296" s="64"/>
      <c r="M296" s="48"/>
      <c r="N296" s="48"/>
      <c r="O296" s="48"/>
      <c r="P296" s="48"/>
      <c r="Q296" s="48"/>
      <c r="R296" s="48"/>
      <c r="S296" s="60"/>
      <c r="T296" s="48"/>
      <c r="U296" s="48"/>
      <c r="V296" s="48"/>
      <c r="W296" s="48"/>
      <c r="X296" s="48"/>
      <c r="Y296" s="48"/>
      <c r="Z296" s="48"/>
      <c r="AA296" s="48"/>
      <c r="AB296" s="48"/>
      <c r="AC296" s="48"/>
      <c r="AD296" s="48"/>
      <c r="AE296" s="48"/>
      <c r="AF296" s="60"/>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56"/>
      <c r="BJ296" s="56"/>
      <c r="BK296" s="56"/>
      <c r="BL296" s="56"/>
      <c r="BM296" s="56"/>
      <c r="BN296" s="56"/>
      <c r="BO296" s="56"/>
      <c r="BP296" s="56"/>
      <c r="BQ296" s="56"/>
      <c r="BR296" s="56"/>
      <c r="BS296" s="56"/>
      <c r="BT296" s="56"/>
      <c r="BU296" s="56"/>
      <c r="BV296" s="56"/>
      <c r="BW296" s="56"/>
      <c r="BX296" s="56"/>
    </row>
    <row r="297">
      <c r="A297" s="48"/>
      <c r="B297" s="48"/>
      <c r="C297" s="48"/>
      <c r="D297" s="48"/>
      <c r="E297" s="48"/>
      <c r="F297" s="48"/>
      <c r="G297" s="48"/>
      <c r="H297" s="48"/>
      <c r="I297" s="48"/>
      <c r="J297" s="48"/>
      <c r="K297" s="64"/>
      <c r="L297" s="64"/>
      <c r="M297" s="48"/>
      <c r="N297" s="48"/>
      <c r="O297" s="48"/>
      <c r="P297" s="48"/>
      <c r="Q297" s="48"/>
      <c r="R297" s="48"/>
      <c r="S297" s="60"/>
      <c r="T297" s="48"/>
      <c r="U297" s="48"/>
      <c r="V297" s="48"/>
      <c r="W297" s="48"/>
      <c r="X297" s="48"/>
      <c r="Y297" s="48"/>
      <c r="Z297" s="48"/>
      <c r="AA297" s="48"/>
      <c r="AB297" s="48"/>
      <c r="AC297" s="48"/>
      <c r="AD297" s="48"/>
      <c r="AE297" s="48"/>
      <c r="AF297" s="60"/>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56"/>
      <c r="BJ297" s="56"/>
      <c r="BK297" s="56"/>
      <c r="BL297" s="56"/>
      <c r="BM297" s="56"/>
      <c r="BN297" s="56"/>
      <c r="BO297" s="56"/>
      <c r="BP297" s="56"/>
      <c r="BQ297" s="56"/>
      <c r="BR297" s="56"/>
      <c r="BS297" s="56"/>
      <c r="BT297" s="56"/>
      <c r="BU297" s="56"/>
      <c r="BV297" s="56"/>
      <c r="BW297" s="56"/>
      <c r="BX297" s="56"/>
    </row>
    <row r="298">
      <c r="A298" s="48"/>
      <c r="B298" s="48"/>
      <c r="C298" s="48"/>
      <c r="D298" s="48"/>
      <c r="E298" s="48"/>
      <c r="F298" s="48"/>
      <c r="G298" s="48"/>
      <c r="H298" s="48"/>
      <c r="I298" s="48"/>
      <c r="J298" s="48"/>
      <c r="K298" s="64"/>
      <c r="L298" s="64"/>
      <c r="M298" s="48"/>
      <c r="N298" s="48"/>
      <c r="O298" s="48"/>
      <c r="P298" s="48"/>
      <c r="Q298" s="48"/>
      <c r="R298" s="48"/>
      <c r="S298" s="60"/>
      <c r="T298" s="48"/>
      <c r="U298" s="48"/>
      <c r="V298" s="48"/>
      <c r="W298" s="48"/>
      <c r="X298" s="48"/>
      <c r="Y298" s="48"/>
      <c r="Z298" s="48"/>
      <c r="AA298" s="48"/>
      <c r="AB298" s="48"/>
      <c r="AC298" s="48"/>
      <c r="AD298" s="48"/>
      <c r="AE298" s="48"/>
      <c r="AF298" s="60"/>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56"/>
      <c r="BJ298" s="56"/>
      <c r="BK298" s="56"/>
      <c r="BL298" s="56"/>
      <c r="BM298" s="56"/>
      <c r="BN298" s="56"/>
      <c r="BO298" s="56"/>
      <c r="BP298" s="56"/>
      <c r="BQ298" s="56"/>
      <c r="BR298" s="56"/>
      <c r="BS298" s="56"/>
      <c r="BT298" s="56"/>
      <c r="BU298" s="56"/>
      <c r="BV298" s="56"/>
      <c r="BW298" s="56"/>
      <c r="BX298" s="56"/>
    </row>
    <row r="299">
      <c r="A299" s="48"/>
      <c r="B299" s="48"/>
      <c r="C299" s="48"/>
      <c r="D299" s="48"/>
      <c r="E299" s="48"/>
      <c r="F299" s="48"/>
      <c r="G299" s="48"/>
      <c r="H299" s="48"/>
      <c r="I299" s="48"/>
      <c r="J299" s="48"/>
      <c r="K299" s="64"/>
      <c r="L299" s="64"/>
      <c r="M299" s="48"/>
      <c r="N299" s="48"/>
      <c r="O299" s="48"/>
      <c r="P299" s="48"/>
      <c r="Q299" s="48"/>
      <c r="R299" s="48"/>
      <c r="S299" s="60"/>
      <c r="T299" s="48"/>
      <c r="U299" s="48"/>
      <c r="V299" s="48"/>
      <c r="W299" s="48"/>
      <c r="X299" s="48"/>
      <c r="Y299" s="48"/>
      <c r="Z299" s="48"/>
      <c r="AA299" s="48"/>
      <c r="AB299" s="48"/>
      <c r="AC299" s="48"/>
      <c r="AD299" s="48"/>
      <c r="AE299" s="48"/>
      <c r="AF299" s="60"/>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56"/>
      <c r="BJ299" s="56"/>
      <c r="BK299" s="56"/>
      <c r="BL299" s="56"/>
      <c r="BM299" s="56"/>
      <c r="BN299" s="56"/>
      <c r="BO299" s="56"/>
      <c r="BP299" s="56"/>
      <c r="BQ299" s="56"/>
      <c r="BR299" s="56"/>
      <c r="BS299" s="56"/>
      <c r="BT299" s="56"/>
      <c r="BU299" s="56"/>
      <c r="BV299" s="56"/>
      <c r="BW299" s="56"/>
      <c r="BX299" s="56"/>
    </row>
    <row r="300">
      <c r="A300" s="48"/>
      <c r="B300" s="48"/>
      <c r="C300" s="48"/>
      <c r="D300" s="48"/>
      <c r="E300" s="48"/>
      <c r="F300" s="48"/>
      <c r="G300" s="48"/>
      <c r="H300" s="48"/>
      <c r="I300" s="48"/>
      <c r="J300" s="48"/>
      <c r="K300" s="64"/>
      <c r="L300" s="64"/>
      <c r="M300" s="48"/>
      <c r="N300" s="48"/>
      <c r="O300" s="48"/>
      <c r="P300" s="48"/>
      <c r="Q300" s="48"/>
      <c r="R300" s="48"/>
      <c r="S300" s="60"/>
      <c r="T300" s="48"/>
      <c r="U300" s="48"/>
      <c r="V300" s="48"/>
      <c r="W300" s="48"/>
      <c r="X300" s="48"/>
      <c r="Y300" s="48"/>
      <c r="Z300" s="48"/>
      <c r="AA300" s="48"/>
      <c r="AB300" s="48"/>
      <c r="AC300" s="48"/>
      <c r="AD300" s="48"/>
      <c r="AE300" s="48"/>
      <c r="AF300" s="60"/>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56"/>
      <c r="BJ300" s="56"/>
      <c r="BK300" s="56"/>
      <c r="BL300" s="56"/>
      <c r="BM300" s="56"/>
      <c r="BN300" s="56"/>
      <c r="BO300" s="56"/>
      <c r="BP300" s="56"/>
      <c r="BQ300" s="56"/>
      <c r="BR300" s="56"/>
      <c r="BS300" s="56"/>
      <c r="BT300" s="56"/>
      <c r="BU300" s="56"/>
      <c r="BV300" s="56"/>
      <c r="BW300" s="56"/>
      <c r="BX300" s="56"/>
    </row>
    <row r="301">
      <c r="A301" s="48"/>
      <c r="B301" s="48"/>
      <c r="C301" s="48"/>
      <c r="D301" s="48"/>
      <c r="E301" s="48"/>
      <c r="F301" s="48"/>
      <c r="G301" s="48"/>
      <c r="H301" s="48"/>
      <c r="I301" s="48"/>
      <c r="J301" s="48"/>
      <c r="K301" s="64"/>
      <c r="L301" s="64"/>
      <c r="M301" s="48"/>
      <c r="N301" s="48"/>
      <c r="O301" s="48"/>
      <c r="P301" s="48"/>
      <c r="Q301" s="48"/>
      <c r="R301" s="48"/>
      <c r="S301" s="60"/>
      <c r="T301" s="48"/>
      <c r="U301" s="48"/>
      <c r="V301" s="48"/>
      <c r="W301" s="48"/>
      <c r="X301" s="48"/>
      <c r="Y301" s="48"/>
      <c r="Z301" s="48"/>
      <c r="AA301" s="48"/>
      <c r="AB301" s="48"/>
      <c r="AC301" s="48"/>
      <c r="AD301" s="48"/>
      <c r="AE301" s="48"/>
      <c r="AF301" s="60"/>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56"/>
      <c r="BJ301" s="56"/>
      <c r="BK301" s="56"/>
      <c r="BL301" s="56"/>
      <c r="BM301" s="56"/>
      <c r="BN301" s="56"/>
      <c r="BO301" s="56"/>
      <c r="BP301" s="56"/>
      <c r="BQ301" s="56"/>
      <c r="BR301" s="56"/>
      <c r="BS301" s="56"/>
      <c r="BT301" s="56"/>
      <c r="BU301" s="56"/>
      <c r="BV301" s="56"/>
      <c r="BW301" s="56"/>
      <c r="BX301" s="56"/>
    </row>
    <row r="302">
      <c r="A302" s="48"/>
      <c r="B302" s="48"/>
      <c r="C302" s="48"/>
      <c r="D302" s="48"/>
      <c r="E302" s="48"/>
      <c r="F302" s="48"/>
      <c r="G302" s="48"/>
      <c r="H302" s="48"/>
      <c r="I302" s="48"/>
      <c r="J302" s="48"/>
      <c r="K302" s="64"/>
      <c r="L302" s="64"/>
      <c r="M302" s="48"/>
      <c r="N302" s="48"/>
      <c r="O302" s="48"/>
      <c r="P302" s="48"/>
      <c r="Q302" s="48"/>
      <c r="R302" s="48"/>
      <c r="S302" s="60"/>
      <c r="T302" s="48"/>
      <c r="U302" s="48"/>
      <c r="V302" s="48"/>
      <c r="W302" s="48"/>
      <c r="X302" s="48"/>
      <c r="Y302" s="48"/>
      <c r="Z302" s="48"/>
      <c r="AA302" s="48"/>
      <c r="AB302" s="48"/>
      <c r="AC302" s="48"/>
      <c r="AD302" s="48"/>
      <c r="AE302" s="48"/>
      <c r="AF302" s="60"/>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56"/>
      <c r="BJ302" s="56"/>
      <c r="BK302" s="56"/>
      <c r="BL302" s="56"/>
      <c r="BM302" s="56"/>
      <c r="BN302" s="56"/>
      <c r="BO302" s="56"/>
      <c r="BP302" s="56"/>
      <c r="BQ302" s="56"/>
      <c r="BR302" s="56"/>
      <c r="BS302" s="56"/>
      <c r="BT302" s="56"/>
      <c r="BU302" s="56"/>
      <c r="BV302" s="56"/>
      <c r="BW302" s="56"/>
      <c r="BX302" s="56"/>
    </row>
    <row r="303">
      <c r="A303" s="48"/>
      <c r="B303" s="48"/>
      <c r="C303" s="48"/>
      <c r="D303" s="48"/>
      <c r="E303" s="48"/>
      <c r="F303" s="48"/>
      <c r="G303" s="48"/>
      <c r="H303" s="48"/>
      <c r="I303" s="48"/>
      <c r="J303" s="48"/>
      <c r="K303" s="64"/>
      <c r="L303" s="64"/>
      <c r="M303" s="48"/>
      <c r="N303" s="48"/>
      <c r="O303" s="48"/>
      <c r="P303" s="48"/>
      <c r="Q303" s="48"/>
      <c r="R303" s="48"/>
      <c r="S303" s="60"/>
      <c r="T303" s="48"/>
      <c r="U303" s="48"/>
      <c r="V303" s="48"/>
      <c r="W303" s="48"/>
      <c r="X303" s="48"/>
      <c r="Y303" s="48"/>
      <c r="Z303" s="48"/>
      <c r="AA303" s="48"/>
      <c r="AB303" s="48"/>
      <c r="AC303" s="48"/>
      <c r="AD303" s="48"/>
      <c r="AE303" s="48"/>
      <c r="AF303" s="60"/>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56"/>
      <c r="BJ303" s="56"/>
      <c r="BK303" s="56"/>
      <c r="BL303" s="56"/>
      <c r="BM303" s="56"/>
      <c r="BN303" s="56"/>
      <c r="BO303" s="56"/>
      <c r="BP303" s="56"/>
      <c r="BQ303" s="56"/>
      <c r="BR303" s="56"/>
      <c r="BS303" s="56"/>
      <c r="BT303" s="56"/>
      <c r="BU303" s="56"/>
      <c r="BV303" s="56"/>
      <c r="BW303" s="56"/>
      <c r="BX303" s="56"/>
    </row>
    <row r="304">
      <c r="A304" s="48"/>
      <c r="B304" s="48"/>
      <c r="C304" s="48"/>
      <c r="D304" s="48"/>
      <c r="E304" s="48"/>
      <c r="F304" s="48"/>
      <c r="G304" s="48"/>
      <c r="H304" s="48"/>
      <c r="I304" s="48"/>
      <c r="J304" s="48"/>
      <c r="K304" s="64"/>
      <c r="L304" s="64"/>
      <c r="M304" s="48"/>
      <c r="N304" s="48"/>
      <c r="O304" s="48"/>
      <c r="P304" s="48"/>
      <c r="Q304" s="48"/>
      <c r="R304" s="48"/>
      <c r="S304" s="60"/>
      <c r="T304" s="48"/>
      <c r="U304" s="48"/>
      <c r="V304" s="48"/>
      <c r="W304" s="48"/>
      <c r="X304" s="48"/>
      <c r="Y304" s="48"/>
      <c r="Z304" s="48"/>
      <c r="AA304" s="48"/>
      <c r="AB304" s="48"/>
      <c r="AC304" s="48"/>
      <c r="AD304" s="48"/>
      <c r="AE304" s="48"/>
      <c r="AF304" s="60"/>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56"/>
      <c r="BJ304" s="56"/>
      <c r="BK304" s="56"/>
      <c r="BL304" s="56"/>
      <c r="BM304" s="56"/>
      <c r="BN304" s="56"/>
      <c r="BO304" s="56"/>
      <c r="BP304" s="56"/>
      <c r="BQ304" s="56"/>
      <c r="BR304" s="56"/>
      <c r="BS304" s="56"/>
      <c r="BT304" s="56"/>
      <c r="BU304" s="56"/>
      <c r="BV304" s="56"/>
      <c r="BW304" s="56"/>
      <c r="BX304" s="56"/>
    </row>
    <row r="305">
      <c r="A305" s="48"/>
      <c r="B305" s="48"/>
      <c r="C305" s="48"/>
      <c r="D305" s="48"/>
      <c r="E305" s="48"/>
      <c r="F305" s="48"/>
      <c r="G305" s="48"/>
      <c r="H305" s="48"/>
      <c r="I305" s="48"/>
      <c r="J305" s="48"/>
      <c r="K305" s="64"/>
      <c r="L305" s="64"/>
      <c r="M305" s="48"/>
      <c r="N305" s="48"/>
      <c r="O305" s="48"/>
      <c r="P305" s="48"/>
      <c r="Q305" s="48"/>
      <c r="R305" s="48"/>
      <c r="S305" s="60"/>
      <c r="T305" s="48"/>
      <c r="U305" s="48"/>
      <c r="V305" s="48"/>
      <c r="W305" s="48"/>
      <c r="X305" s="48"/>
      <c r="Y305" s="48"/>
      <c r="Z305" s="48"/>
      <c r="AA305" s="48"/>
      <c r="AB305" s="48"/>
      <c r="AC305" s="48"/>
      <c r="AD305" s="48"/>
      <c r="AE305" s="48"/>
      <c r="AF305" s="60"/>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56"/>
      <c r="BJ305" s="56"/>
      <c r="BK305" s="56"/>
      <c r="BL305" s="56"/>
      <c r="BM305" s="56"/>
      <c r="BN305" s="56"/>
      <c r="BO305" s="56"/>
      <c r="BP305" s="56"/>
      <c r="BQ305" s="56"/>
      <c r="BR305" s="56"/>
      <c r="BS305" s="56"/>
      <c r="BT305" s="56"/>
      <c r="BU305" s="56"/>
      <c r="BV305" s="56"/>
      <c r="BW305" s="56"/>
      <c r="BX305" s="56"/>
    </row>
    <row r="306">
      <c r="A306" s="48"/>
      <c r="B306" s="48"/>
      <c r="C306" s="48"/>
      <c r="D306" s="48"/>
      <c r="E306" s="48"/>
      <c r="F306" s="48"/>
      <c r="G306" s="48"/>
      <c r="H306" s="48"/>
      <c r="I306" s="48"/>
      <c r="J306" s="48"/>
      <c r="K306" s="64"/>
      <c r="L306" s="64"/>
      <c r="M306" s="48"/>
      <c r="N306" s="48"/>
      <c r="O306" s="48"/>
      <c r="P306" s="48"/>
      <c r="Q306" s="48"/>
      <c r="R306" s="48"/>
      <c r="S306" s="60"/>
      <c r="T306" s="48"/>
      <c r="U306" s="48"/>
      <c r="V306" s="48"/>
      <c r="W306" s="48"/>
      <c r="X306" s="48"/>
      <c r="Y306" s="48"/>
      <c r="Z306" s="48"/>
      <c r="AA306" s="48"/>
      <c r="AB306" s="48"/>
      <c r="AC306" s="48"/>
      <c r="AD306" s="48"/>
      <c r="AE306" s="48"/>
      <c r="AF306" s="60"/>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56"/>
      <c r="BJ306" s="56"/>
      <c r="BK306" s="56"/>
      <c r="BL306" s="56"/>
      <c r="BM306" s="56"/>
      <c r="BN306" s="56"/>
      <c r="BO306" s="56"/>
      <c r="BP306" s="56"/>
      <c r="BQ306" s="56"/>
      <c r="BR306" s="56"/>
      <c r="BS306" s="56"/>
      <c r="BT306" s="56"/>
      <c r="BU306" s="56"/>
      <c r="BV306" s="56"/>
      <c r="BW306" s="56"/>
      <c r="BX306" s="56"/>
    </row>
    <row r="307">
      <c r="A307" s="48"/>
      <c r="B307" s="48"/>
      <c r="C307" s="48"/>
      <c r="D307" s="48"/>
      <c r="E307" s="48"/>
      <c r="F307" s="48"/>
      <c r="G307" s="48"/>
      <c r="H307" s="48"/>
      <c r="I307" s="48"/>
      <c r="J307" s="48"/>
      <c r="K307" s="64"/>
      <c r="L307" s="64"/>
      <c r="M307" s="48"/>
      <c r="N307" s="48"/>
      <c r="O307" s="48"/>
      <c r="P307" s="48"/>
      <c r="Q307" s="48"/>
      <c r="R307" s="48"/>
      <c r="S307" s="60"/>
      <c r="T307" s="48"/>
      <c r="U307" s="48"/>
      <c r="V307" s="48"/>
      <c r="W307" s="48"/>
      <c r="X307" s="48"/>
      <c r="Y307" s="48"/>
      <c r="Z307" s="48"/>
      <c r="AA307" s="48"/>
      <c r="AB307" s="48"/>
      <c r="AC307" s="48"/>
      <c r="AD307" s="48"/>
      <c r="AE307" s="48"/>
      <c r="AF307" s="60"/>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56"/>
      <c r="BJ307" s="56"/>
      <c r="BK307" s="56"/>
      <c r="BL307" s="56"/>
      <c r="BM307" s="56"/>
      <c r="BN307" s="56"/>
      <c r="BO307" s="56"/>
      <c r="BP307" s="56"/>
      <c r="BQ307" s="56"/>
      <c r="BR307" s="56"/>
      <c r="BS307" s="56"/>
      <c r="BT307" s="56"/>
      <c r="BU307" s="56"/>
      <c r="BV307" s="56"/>
      <c r="BW307" s="56"/>
      <c r="BX307" s="56"/>
    </row>
    <row r="308">
      <c r="A308" s="48"/>
      <c r="B308" s="48"/>
      <c r="C308" s="48"/>
      <c r="D308" s="48"/>
      <c r="E308" s="48"/>
      <c r="F308" s="48"/>
      <c r="G308" s="48"/>
      <c r="H308" s="48"/>
      <c r="I308" s="48"/>
      <c r="J308" s="48"/>
      <c r="K308" s="64"/>
      <c r="L308" s="64"/>
      <c r="M308" s="48"/>
      <c r="N308" s="48"/>
      <c r="O308" s="48"/>
      <c r="P308" s="48"/>
      <c r="Q308" s="48"/>
      <c r="R308" s="48"/>
      <c r="S308" s="60"/>
      <c r="T308" s="48"/>
      <c r="U308" s="48"/>
      <c r="V308" s="48"/>
      <c r="W308" s="48"/>
      <c r="X308" s="48"/>
      <c r="Y308" s="48"/>
      <c r="Z308" s="48"/>
      <c r="AA308" s="48"/>
      <c r="AB308" s="48"/>
      <c r="AC308" s="48"/>
      <c r="AD308" s="48"/>
      <c r="AE308" s="48"/>
      <c r="AF308" s="60"/>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56"/>
      <c r="BJ308" s="56"/>
      <c r="BK308" s="56"/>
      <c r="BL308" s="56"/>
      <c r="BM308" s="56"/>
      <c r="BN308" s="56"/>
      <c r="BO308" s="56"/>
      <c r="BP308" s="56"/>
      <c r="BQ308" s="56"/>
      <c r="BR308" s="56"/>
      <c r="BS308" s="56"/>
      <c r="BT308" s="56"/>
      <c r="BU308" s="56"/>
      <c r="BV308" s="56"/>
      <c r="BW308" s="56"/>
      <c r="BX308" s="56"/>
    </row>
    <row r="309">
      <c r="A309" s="48"/>
      <c r="B309" s="48"/>
      <c r="C309" s="48"/>
      <c r="D309" s="48"/>
      <c r="E309" s="48"/>
      <c r="F309" s="48"/>
      <c r="G309" s="48"/>
      <c r="H309" s="48"/>
      <c r="I309" s="48"/>
      <c r="J309" s="48"/>
      <c r="K309" s="64"/>
      <c r="L309" s="64"/>
      <c r="M309" s="48"/>
      <c r="N309" s="48"/>
      <c r="O309" s="48"/>
      <c r="P309" s="48"/>
      <c r="Q309" s="48"/>
      <c r="R309" s="48"/>
      <c r="S309" s="60"/>
      <c r="T309" s="48"/>
      <c r="U309" s="48"/>
      <c r="V309" s="48"/>
      <c r="W309" s="48"/>
      <c r="X309" s="48"/>
      <c r="Y309" s="48"/>
      <c r="Z309" s="48"/>
      <c r="AA309" s="48"/>
      <c r="AB309" s="48"/>
      <c r="AC309" s="48"/>
      <c r="AD309" s="48"/>
      <c r="AE309" s="48"/>
      <c r="AF309" s="60"/>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56"/>
      <c r="BJ309" s="56"/>
      <c r="BK309" s="56"/>
      <c r="BL309" s="56"/>
      <c r="BM309" s="56"/>
      <c r="BN309" s="56"/>
      <c r="BO309" s="56"/>
      <c r="BP309" s="56"/>
      <c r="BQ309" s="56"/>
      <c r="BR309" s="56"/>
      <c r="BS309" s="56"/>
      <c r="BT309" s="56"/>
      <c r="BU309" s="56"/>
      <c r="BV309" s="56"/>
      <c r="BW309" s="56"/>
      <c r="BX309" s="56"/>
    </row>
    <row r="310">
      <c r="A310" s="48"/>
      <c r="B310" s="48"/>
      <c r="C310" s="48"/>
      <c r="D310" s="48"/>
      <c r="E310" s="48"/>
      <c r="F310" s="48"/>
      <c r="G310" s="48"/>
      <c r="H310" s="48"/>
      <c r="I310" s="48"/>
      <c r="J310" s="48"/>
      <c r="K310" s="64"/>
      <c r="L310" s="64"/>
      <c r="M310" s="48"/>
      <c r="N310" s="48"/>
      <c r="O310" s="48"/>
      <c r="P310" s="48"/>
      <c r="Q310" s="48"/>
      <c r="R310" s="48"/>
      <c r="S310" s="60"/>
      <c r="T310" s="48"/>
      <c r="U310" s="48"/>
      <c r="V310" s="48"/>
      <c r="W310" s="48"/>
      <c r="X310" s="48"/>
      <c r="Y310" s="48"/>
      <c r="Z310" s="48"/>
      <c r="AA310" s="48"/>
      <c r="AB310" s="48"/>
      <c r="AC310" s="48"/>
      <c r="AD310" s="48"/>
      <c r="AE310" s="48"/>
      <c r="AF310" s="60"/>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56"/>
      <c r="BJ310" s="56"/>
      <c r="BK310" s="56"/>
      <c r="BL310" s="56"/>
      <c r="BM310" s="56"/>
      <c r="BN310" s="56"/>
      <c r="BO310" s="56"/>
      <c r="BP310" s="56"/>
      <c r="BQ310" s="56"/>
      <c r="BR310" s="56"/>
      <c r="BS310" s="56"/>
      <c r="BT310" s="56"/>
      <c r="BU310" s="56"/>
      <c r="BV310" s="56"/>
      <c r="BW310" s="56"/>
      <c r="BX310" s="56"/>
    </row>
    <row r="311">
      <c r="A311" s="48"/>
      <c r="B311" s="48"/>
      <c r="C311" s="48"/>
      <c r="D311" s="48"/>
      <c r="E311" s="48"/>
      <c r="F311" s="48"/>
      <c r="G311" s="48"/>
      <c r="H311" s="48"/>
      <c r="I311" s="48"/>
      <c r="J311" s="48"/>
      <c r="K311" s="64"/>
      <c r="L311" s="64"/>
      <c r="M311" s="48"/>
      <c r="N311" s="48"/>
      <c r="O311" s="48"/>
      <c r="P311" s="48"/>
      <c r="Q311" s="48"/>
      <c r="R311" s="48"/>
      <c r="S311" s="60"/>
      <c r="T311" s="48"/>
      <c r="U311" s="48"/>
      <c r="V311" s="48"/>
      <c r="W311" s="48"/>
      <c r="X311" s="48"/>
      <c r="Y311" s="48"/>
      <c r="Z311" s="48"/>
      <c r="AA311" s="48"/>
      <c r="AB311" s="48"/>
      <c r="AC311" s="48"/>
      <c r="AD311" s="48"/>
      <c r="AE311" s="48"/>
      <c r="AF311" s="60"/>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56"/>
      <c r="BJ311" s="56"/>
      <c r="BK311" s="56"/>
      <c r="BL311" s="56"/>
      <c r="BM311" s="56"/>
      <c r="BN311" s="56"/>
      <c r="BO311" s="56"/>
      <c r="BP311" s="56"/>
      <c r="BQ311" s="56"/>
      <c r="BR311" s="56"/>
      <c r="BS311" s="56"/>
      <c r="BT311" s="56"/>
      <c r="BU311" s="56"/>
      <c r="BV311" s="56"/>
      <c r="BW311" s="56"/>
      <c r="BX311" s="56"/>
    </row>
    <row r="312">
      <c r="A312" s="48"/>
      <c r="B312" s="48"/>
      <c r="C312" s="48"/>
      <c r="D312" s="48"/>
      <c r="E312" s="48"/>
      <c r="F312" s="48"/>
      <c r="G312" s="48"/>
      <c r="H312" s="48"/>
      <c r="I312" s="48"/>
      <c r="J312" s="48"/>
      <c r="K312" s="64"/>
      <c r="L312" s="64"/>
      <c r="M312" s="48"/>
      <c r="N312" s="48"/>
      <c r="O312" s="48"/>
      <c r="P312" s="48"/>
      <c r="Q312" s="48"/>
      <c r="R312" s="48"/>
      <c r="S312" s="60"/>
      <c r="T312" s="48"/>
      <c r="U312" s="48"/>
      <c r="V312" s="48"/>
      <c r="W312" s="48"/>
      <c r="X312" s="48"/>
      <c r="Y312" s="48"/>
      <c r="Z312" s="48"/>
      <c r="AA312" s="48"/>
      <c r="AB312" s="48"/>
      <c r="AC312" s="48"/>
      <c r="AD312" s="48"/>
      <c r="AE312" s="48"/>
      <c r="AF312" s="60"/>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56"/>
      <c r="BJ312" s="56"/>
      <c r="BK312" s="56"/>
      <c r="BL312" s="56"/>
      <c r="BM312" s="56"/>
      <c r="BN312" s="56"/>
      <c r="BO312" s="56"/>
      <c r="BP312" s="56"/>
      <c r="BQ312" s="56"/>
      <c r="BR312" s="56"/>
      <c r="BS312" s="56"/>
      <c r="BT312" s="56"/>
      <c r="BU312" s="56"/>
      <c r="BV312" s="56"/>
      <c r="BW312" s="56"/>
      <c r="BX312" s="56"/>
    </row>
    <row r="313">
      <c r="A313" s="48"/>
      <c r="B313" s="48"/>
      <c r="C313" s="48"/>
      <c r="D313" s="48"/>
      <c r="E313" s="48"/>
      <c r="F313" s="48"/>
      <c r="G313" s="48"/>
      <c r="H313" s="48"/>
      <c r="I313" s="48"/>
      <c r="J313" s="48"/>
      <c r="K313" s="64"/>
      <c r="L313" s="64"/>
      <c r="M313" s="48"/>
      <c r="N313" s="48"/>
      <c r="O313" s="48"/>
      <c r="P313" s="48"/>
      <c r="Q313" s="48"/>
      <c r="R313" s="48"/>
      <c r="S313" s="60"/>
      <c r="T313" s="48"/>
      <c r="U313" s="48"/>
      <c r="V313" s="48"/>
      <c r="W313" s="48"/>
      <c r="X313" s="48"/>
      <c r="Y313" s="48"/>
      <c r="Z313" s="48"/>
      <c r="AA313" s="48"/>
      <c r="AB313" s="48"/>
      <c r="AC313" s="48"/>
      <c r="AD313" s="48"/>
      <c r="AE313" s="48"/>
      <c r="AF313" s="60"/>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56"/>
      <c r="BJ313" s="56"/>
      <c r="BK313" s="56"/>
      <c r="BL313" s="56"/>
      <c r="BM313" s="56"/>
      <c r="BN313" s="56"/>
      <c r="BO313" s="56"/>
      <c r="BP313" s="56"/>
      <c r="BQ313" s="56"/>
      <c r="BR313" s="56"/>
      <c r="BS313" s="56"/>
      <c r="BT313" s="56"/>
      <c r="BU313" s="56"/>
      <c r="BV313" s="56"/>
      <c r="BW313" s="56"/>
      <c r="BX313" s="56"/>
    </row>
    <row r="314">
      <c r="A314" s="48"/>
      <c r="B314" s="48"/>
      <c r="C314" s="48"/>
      <c r="D314" s="48"/>
      <c r="E314" s="48"/>
      <c r="F314" s="48"/>
      <c r="G314" s="48"/>
      <c r="H314" s="48"/>
      <c r="I314" s="48"/>
      <c r="J314" s="48"/>
      <c r="K314" s="64"/>
      <c r="L314" s="64"/>
      <c r="M314" s="48"/>
      <c r="N314" s="48"/>
      <c r="O314" s="48"/>
      <c r="P314" s="48"/>
      <c r="Q314" s="48"/>
      <c r="R314" s="48"/>
      <c r="S314" s="60"/>
      <c r="T314" s="48"/>
      <c r="U314" s="48"/>
      <c r="V314" s="48"/>
      <c r="W314" s="48"/>
      <c r="X314" s="48"/>
      <c r="Y314" s="48"/>
      <c r="Z314" s="48"/>
      <c r="AA314" s="48"/>
      <c r="AB314" s="48"/>
      <c r="AC314" s="48"/>
      <c r="AD314" s="48"/>
      <c r="AE314" s="48"/>
      <c r="AF314" s="60"/>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56"/>
      <c r="BJ314" s="56"/>
      <c r="BK314" s="56"/>
      <c r="BL314" s="56"/>
      <c r="BM314" s="56"/>
      <c r="BN314" s="56"/>
      <c r="BO314" s="56"/>
      <c r="BP314" s="56"/>
      <c r="BQ314" s="56"/>
      <c r="BR314" s="56"/>
      <c r="BS314" s="56"/>
      <c r="BT314" s="56"/>
      <c r="BU314" s="56"/>
      <c r="BV314" s="56"/>
      <c r="BW314" s="56"/>
      <c r="BX314" s="56"/>
    </row>
    <row r="315">
      <c r="A315" s="48"/>
      <c r="B315" s="48"/>
      <c r="C315" s="48"/>
      <c r="D315" s="48"/>
      <c r="E315" s="48"/>
      <c r="F315" s="48"/>
      <c r="G315" s="48"/>
      <c r="H315" s="48"/>
      <c r="I315" s="48"/>
      <c r="J315" s="48"/>
      <c r="K315" s="64"/>
      <c r="L315" s="64"/>
      <c r="M315" s="48"/>
      <c r="N315" s="48"/>
      <c r="O315" s="48"/>
      <c r="P315" s="48"/>
      <c r="Q315" s="48"/>
      <c r="R315" s="48"/>
      <c r="S315" s="60"/>
      <c r="T315" s="48"/>
      <c r="U315" s="48"/>
      <c r="V315" s="48"/>
      <c r="W315" s="48"/>
      <c r="X315" s="48"/>
      <c r="Y315" s="48"/>
      <c r="Z315" s="48"/>
      <c r="AA315" s="48"/>
      <c r="AB315" s="48"/>
      <c r="AC315" s="48"/>
      <c r="AD315" s="48"/>
      <c r="AE315" s="48"/>
      <c r="AF315" s="60"/>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56"/>
      <c r="BJ315" s="56"/>
      <c r="BK315" s="56"/>
      <c r="BL315" s="56"/>
      <c r="BM315" s="56"/>
      <c r="BN315" s="56"/>
      <c r="BO315" s="56"/>
      <c r="BP315" s="56"/>
      <c r="BQ315" s="56"/>
      <c r="BR315" s="56"/>
      <c r="BS315" s="56"/>
      <c r="BT315" s="56"/>
      <c r="BU315" s="56"/>
      <c r="BV315" s="56"/>
      <c r="BW315" s="56"/>
      <c r="BX315" s="56"/>
    </row>
    <row r="316">
      <c r="A316" s="48"/>
      <c r="B316" s="48"/>
      <c r="C316" s="48"/>
      <c r="D316" s="48"/>
      <c r="E316" s="48"/>
      <c r="F316" s="48"/>
      <c r="G316" s="48"/>
      <c r="H316" s="48"/>
      <c r="I316" s="48"/>
      <c r="J316" s="48"/>
      <c r="K316" s="64"/>
      <c r="L316" s="64"/>
      <c r="M316" s="48"/>
      <c r="N316" s="48"/>
      <c r="O316" s="48"/>
      <c r="P316" s="48"/>
      <c r="Q316" s="48"/>
      <c r="R316" s="48"/>
      <c r="S316" s="60"/>
      <c r="T316" s="48"/>
      <c r="U316" s="48"/>
      <c r="V316" s="48"/>
      <c r="W316" s="48"/>
      <c r="X316" s="48"/>
      <c r="Y316" s="48"/>
      <c r="Z316" s="48"/>
      <c r="AA316" s="48"/>
      <c r="AB316" s="48"/>
      <c r="AC316" s="48"/>
      <c r="AD316" s="48"/>
      <c r="AE316" s="48"/>
      <c r="AF316" s="60"/>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56"/>
      <c r="BJ316" s="56"/>
      <c r="BK316" s="56"/>
      <c r="BL316" s="56"/>
      <c r="BM316" s="56"/>
      <c r="BN316" s="56"/>
      <c r="BO316" s="56"/>
      <c r="BP316" s="56"/>
      <c r="BQ316" s="56"/>
      <c r="BR316" s="56"/>
      <c r="BS316" s="56"/>
      <c r="BT316" s="56"/>
      <c r="BU316" s="56"/>
      <c r="BV316" s="56"/>
      <c r="BW316" s="56"/>
      <c r="BX316" s="56"/>
    </row>
    <row r="317">
      <c r="A317" s="48"/>
      <c r="B317" s="48"/>
      <c r="C317" s="48"/>
      <c r="D317" s="48"/>
      <c r="E317" s="48"/>
      <c r="F317" s="48"/>
      <c r="G317" s="48"/>
      <c r="H317" s="48"/>
      <c r="I317" s="48"/>
      <c r="J317" s="48"/>
      <c r="K317" s="64"/>
      <c r="L317" s="64"/>
      <c r="M317" s="48"/>
      <c r="N317" s="48"/>
      <c r="O317" s="48"/>
      <c r="P317" s="48"/>
      <c r="Q317" s="48"/>
      <c r="R317" s="48"/>
      <c r="S317" s="60"/>
      <c r="T317" s="48"/>
      <c r="U317" s="48"/>
      <c r="V317" s="48"/>
      <c r="W317" s="48"/>
      <c r="X317" s="48"/>
      <c r="Y317" s="48"/>
      <c r="Z317" s="48"/>
      <c r="AA317" s="48"/>
      <c r="AB317" s="48"/>
      <c r="AC317" s="48"/>
      <c r="AD317" s="48"/>
      <c r="AE317" s="48"/>
      <c r="AF317" s="60"/>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56"/>
      <c r="BJ317" s="56"/>
      <c r="BK317" s="56"/>
      <c r="BL317" s="56"/>
      <c r="BM317" s="56"/>
      <c r="BN317" s="56"/>
      <c r="BO317" s="56"/>
      <c r="BP317" s="56"/>
      <c r="BQ317" s="56"/>
      <c r="BR317" s="56"/>
      <c r="BS317" s="56"/>
      <c r="BT317" s="56"/>
      <c r="BU317" s="56"/>
      <c r="BV317" s="56"/>
      <c r="BW317" s="56"/>
      <c r="BX317" s="56"/>
    </row>
    <row r="318">
      <c r="A318" s="48"/>
      <c r="B318" s="48"/>
      <c r="C318" s="48"/>
      <c r="D318" s="48"/>
      <c r="E318" s="48"/>
      <c r="F318" s="48"/>
      <c r="G318" s="48"/>
      <c r="H318" s="48"/>
      <c r="I318" s="48"/>
      <c r="J318" s="48"/>
      <c r="K318" s="64"/>
      <c r="L318" s="64"/>
      <c r="M318" s="48"/>
      <c r="N318" s="48"/>
      <c r="O318" s="48"/>
      <c r="P318" s="48"/>
      <c r="Q318" s="48"/>
      <c r="R318" s="48"/>
      <c r="S318" s="60"/>
      <c r="T318" s="48"/>
      <c r="U318" s="48"/>
      <c r="V318" s="48"/>
      <c r="W318" s="48"/>
      <c r="X318" s="48"/>
      <c r="Y318" s="48"/>
      <c r="Z318" s="48"/>
      <c r="AA318" s="48"/>
      <c r="AB318" s="48"/>
      <c r="AC318" s="48"/>
      <c r="AD318" s="48"/>
      <c r="AE318" s="48"/>
      <c r="AF318" s="60"/>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56"/>
      <c r="BJ318" s="56"/>
      <c r="BK318" s="56"/>
      <c r="BL318" s="56"/>
      <c r="BM318" s="56"/>
      <c r="BN318" s="56"/>
      <c r="BO318" s="56"/>
      <c r="BP318" s="56"/>
      <c r="BQ318" s="56"/>
      <c r="BR318" s="56"/>
      <c r="BS318" s="56"/>
      <c r="BT318" s="56"/>
      <c r="BU318" s="56"/>
      <c r="BV318" s="56"/>
      <c r="BW318" s="56"/>
      <c r="BX318" s="56"/>
    </row>
    <row r="319">
      <c r="A319" s="48"/>
      <c r="B319" s="48"/>
      <c r="C319" s="48"/>
      <c r="D319" s="48"/>
      <c r="E319" s="48"/>
      <c r="F319" s="48"/>
      <c r="G319" s="48"/>
      <c r="H319" s="48"/>
      <c r="I319" s="48"/>
      <c r="J319" s="48"/>
      <c r="K319" s="64"/>
      <c r="L319" s="64"/>
      <c r="M319" s="48"/>
      <c r="N319" s="48"/>
      <c r="O319" s="48"/>
      <c r="P319" s="48"/>
      <c r="Q319" s="48"/>
      <c r="R319" s="48"/>
      <c r="S319" s="60"/>
      <c r="T319" s="48"/>
      <c r="U319" s="48"/>
      <c r="V319" s="48"/>
      <c r="W319" s="48"/>
      <c r="X319" s="48"/>
      <c r="Y319" s="48"/>
      <c r="Z319" s="48"/>
      <c r="AA319" s="48"/>
      <c r="AB319" s="48"/>
      <c r="AC319" s="48"/>
      <c r="AD319" s="48"/>
      <c r="AE319" s="48"/>
      <c r="AF319" s="60"/>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56"/>
      <c r="BJ319" s="56"/>
      <c r="BK319" s="56"/>
      <c r="BL319" s="56"/>
      <c r="BM319" s="56"/>
      <c r="BN319" s="56"/>
      <c r="BO319" s="56"/>
      <c r="BP319" s="56"/>
      <c r="BQ319" s="56"/>
      <c r="BR319" s="56"/>
      <c r="BS319" s="56"/>
      <c r="BT319" s="56"/>
      <c r="BU319" s="56"/>
      <c r="BV319" s="56"/>
      <c r="BW319" s="56"/>
      <c r="BX319" s="56"/>
    </row>
    <row r="320">
      <c r="A320" s="48"/>
      <c r="B320" s="48"/>
      <c r="C320" s="48"/>
      <c r="D320" s="48"/>
      <c r="E320" s="48"/>
      <c r="F320" s="48"/>
      <c r="G320" s="48"/>
      <c r="H320" s="48"/>
      <c r="I320" s="48"/>
      <c r="J320" s="48"/>
      <c r="K320" s="64"/>
      <c r="L320" s="64"/>
      <c r="M320" s="48"/>
      <c r="N320" s="48"/>
      <c r="O320" s="48"/>
      <c r="P320" s="48"/>
      <c r="Q320" s="48"/>
      <c r="R320" s="48"/>
      <c r="S320" s="60"/>
      <c r="T320" s="48"/>
      <c r="U320" s="48"/>
      <c r="V320" s="48"/>
      <c r="W320" s="48"/>
      <c r="X320" s="48"/>
      <c r="Y320" s="48"/>
      <c r="Z320" s="48"/>
      <c r="AA320" s="48"/>
      <c r="AB320" s="48"/>
      <c r="AC320" s="48"/>
      <c r="AD320" s="48"/>
      <c r="AE320" s="48"/>
      <c r="AF320" s="60"/>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56"/>
      <c r="BJ320" s="56"/>
      <c r="BK320" s="56"/>
      <c r="BL320" s="56"/>
      <c r="BM320" s="56"/>
      <c r="BN320" s="56"/>
      <c r="BO320" s="56"/>
      <c r="BP320" s="56"/>
      <c r="BQ320" s="56"/>
      <c r="BR320" s="56"/>
      <c r="BS320" s="56"/>
      <c r="BT320" s="56"/>
      <c r="BU320" s="56"/>
      <c r="BV320" s="56"/>
      <c r="BW320" s="56"/>
      <c r="BX320" s="56"/>
    </row>
    <row r="321">
      <c r="A321" s="48"/>
      <c r="B321" s="48"/>
      <c r="C321" s="48"/>
      <c r="D321" s="48"/>
      <c r="E321" s="48"/>
      <c r="F321" s="48"/>
      <c r="G321" s="48"/>
      <c r="H321" s="48"/>
      <c r="I321" s="48"/>
      <c r="J321" s="48"/>
      <c r="K321" s="64"/>
      <c r="L321" s="64"/>
      <c r="M321" s="48"/>
      <c r="N321" s="48"/>
      <c r="O321" s="48"/>
      <c r="P321" s="48"/>
      <c r="Q321" s="48"/>
      <c r="R321" s="48"/>
      <c r="S321" s="60"/>
      <c r="T321" s="48"/>
      <c r="U321" s="48"/>
      <c r="V321" s="48"/>
      <c r="W321" s="48"/>
      <c r="X321" s="48"/>
      <c r="Y321" s="48"/>
      <c r="Z321" s="48"/>
      <c r="AA321" s="48"/>
      <c r="AB321" s="48"/>
      <c r="AC321" s="48"/>
      <c r="AD321" s="48"/>
      <c r="AE321" s="48"/>
      <c r="AF321" s="60"/>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56"/>
      <c r="BJ321" s="56"/>
      <c r="BK321" s="56"/>
      <c r="BL321" s="56"/>
      <c r="BM321" s="56"/>
      <c r="BN321" s="56"/>
      <c r="BO321" s="56"/>
      <c r="BP321" s="56"/>
      <c r="BQ321" s="56"/>
      <c r="BR321" s="56"/>
      <c r="BS321" s="56"/>
      <c r="BT321" s="56"/>
      <c r="BU321" s="56"/>
      <c r="BV321" s="56"/>
      <c r="BW321" s="56"/>
      <c r="BX321" s="56"/>
    </row>
    <row r="322">
      <c r="A322" s="48"/>
      <c r="B322" s="48"/>
      <c r="C322" s="48"/>
      <c r="D322" s="48"/>
      <c r="E322" s="48"/>
      <c r="F322" s="48"/>
      <c r="G322" s="48"/>
      <c r="H322" s="48"/>
      <c r="I322" s="48"/>
      <c r="J322" s="48"/>
      <c r="K322" s="64"/>
      <c r="L322" s="64"/>
      <c r="M322" s="48"/>
      <c r="N322" s="48"/>
      <c r="O322" s="48"/>
      <c r="P322" s="48"/>
      <c r="Q322" s="48"/>
      <c r="R322" s="48"/>
      <c r="S322" s="60"/>
      <c r="T322" s="48"/>
      <c r="U322" s="48"/>
      <c r="V322" s="48"/>
      <c r="W322" s="48"/>
      <c r="X322" s="48"/>
      <c r="Y322" s="48"/>
      <c r="Z322" s="48"/>
      <c r="AA322" s="48"/>
      <c r="AB322" s="48"/>
      <c r="AC322" s="48"/>
      <c r="AD322" s="48"/>
      <c r="AE322" s="48"/>
      <c r="AF322" s="60"/>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56"/>
      <c r="BJ322" s="56"/>
      <c r="BK322" s="56"/>
      <c r="BL322" s="56"/>
      <c r="BM322" s="56"/>
      <c r="BN322" s="56"/>
      <c r="BO322" s="56"/>
      <c r="BP322" s="56"/>
      <c r="BQ322" s="56"/>
      <c r="BR322" s="56"/>
      <c r="BS322" s="56"/>
      <c r="BT322" s="56"/>
      <c r="BU322" s="56"/>
      <c r="BV322" s="56"/>
      <c r="BW322" s="56"/>
      <c r="BX322" s="56"/>
    </row>
    <row r="323">
      <c r="A323" s="48"/>
      <c r="B323" s="48"/>
      <c r="C323" s="48"/>
      <c r="D323" s="48"/>
      <c r="E323" s="48"/>
      <c r="F323" s="48"/>
      <c r="G323" s="48"/>
      <c r="H323" s="48"/>
      <c r="I323" s="48"/>
      <c r="J323" s="48"/>
      <c r="K323" s="64"/>
      <c r="L323" s="64"/>
      <c r="M323" s="48"/>
      <c r="N323" s="48"/>
      <c r="O323" s="48"/>
      <c r="P323" s="48"/>
      <c r="Q323" s="48"/>
      <c r="R323" s="48"/>
      <c r="S323" s="60"/>
      <c r="T323" s="48"/>
      <c r="U323" s="48"/>
      <c r="V323" s="48"/>
      <c r="W323" s="48"/>
      <c r="X323" s="48"/>
      <c r="Y323" s="48"/>
      <c r="Z323" s="48"/>
      <c r="AA323" s="48"/>
      <c r="AB323" s="48"/>
      <c r="AC323" s="48"/>
      <c r="AD323" s="48"/>
      <c r="AE323" s="48"/>
      <c r="AF323" s="60"/>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56"/>
      <c r="BJ323" s="56"/>
      <c r="BK323" s="56"/>
      <c r="BL323" s="56"/>
      <c r="BM323" s="56"/>
      <c r="BN323" s="56"/>
      <c r="BO323" s="56"/>
      <c r="BP323" s="56"/>
      <c r="BQ323" s="56"/>
      <c r="BR323" s="56"/>
      <c r="BS323" s="56"/>
      <c r="BT323" s="56"/>
      <c r="BU323" s="56"/>
      <c r="BV323" s="56"/>
      <c r="BW323" s="56"/>
      <c r="BX323" s="56"/>
    </row>
    <row r="324">
      <c r="A324" s="48"/>
      <c r="B324" s="48"/>
      <c r="C324" s="48"/>
      <c r="D324" s="48"/>
      <c r="E324" s="48"/>
      <c r="F324" s="48"/>
      <c r="G324" s="48"/>
      <c r="H324" s="48"/>
      <c r="I324" s="48"/>
      <c r="J324" s="48"/>
      <c r="K324" s="64"/>
      <c r="L324" s="64"/>
      <c r="M324" s="48"/>
      <c r="N324" s="48"/>
      <c r="O324" s="48"/>
      <c r="P324" s="48"/>
      <c r="Q324" s="48"/>
      <c r="R324" s="48"/>
      <c r="S324" s="60"/>
      <c r="T324" s="48"/>
      <c r="U324" s="48"/>
      <c r="V324" s="48"/>
      <c r="W324" s="48"/>
      <c r="X324" s="48"/>
      <c r="Y324" s="48"/>
      <c r="Z324" s="48"/>
      <c r="AA324" s="48"/>
      <c r="AB324" s="48"/>
      <c r="AC324" s="48"/>
      <c r="AD324" s="48"/>
      <c r="AE324" s="48"/>
      <c r="AF324" s="60"/>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56"/>
      <c r="BJ324" s="56"/>
      <c r="BK324" s="56"/>
      <c r="BL324" s="56"/>
      <c r="BM324" s="56"/>
      <c r="BN324" s="56"/>
      <c r="BO324" s="56"/>
      <c r="BP324" s="56"/>
      <c r="BQ324" s="56"/>
      <c r="BR324" s="56"/>
      <c r="BS324" s="56"/>
      <c r="BT324" s="56"/>
      <c r="BU324" s="56"/>
      <c r="BV324" s="56"/>
      <c r="BW324" s="56"/>
      <c r="BX324" s="56"/>
    </row>
    <row r="325">
      <c r="A325" s="48"/>
      <c r="B325" s="48"/>
      <c r="C325" s="48"/>
      <c r="D325" s="48"/>
      <c r="E325" s="48"/>
      <c r="F325" s="48"/>
      <c r="G325" s="48"/>
      <c r="H325" s="48"/>
      <c r="I325" s="48"/>
      <c r="J325" s="48"/>
      <c r="K325" s="64"/>
      <c r="L325" s="64"/>
      <c r="M325" s="48"/>
      <c r="N325" s="48"/>
      <c r="O325" s="48"/>
      <c r="P325" s="48"/>
      <c r="Q325" s="48"/>
      <c r="R325" s="48"/>
      <c r="S325" s="60"/>
      <c r="T325" s="48"/>
      <c r="U325" s="48"/>
      <c r="V325" s="48"/>
      <c r="W325" s="48"/>
      <c r="X325" s="48"/>
      <c r="Y325" s="48"/>
      <c r="Z325" s="48"/>
      <c r="AA325" s="48"/>
      <c r="AB325" s="48"/>
      <c r="AC325" s="48"/>
      <c r="AD325" s="48"/>
      <c r="AE325" s="48"/>
      <c r="AF325" s="60"/>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56"/>
      <c r="BJ325" s="56"/>
      <c r="BK325" s="56"/>
      <c r="BL325" s="56"/>
      <c r="BM325" s="56"/>
      <c r="BN325" s="56"/>
      <c r="BO325" s="56"/>
      <c r="BP325" s="56"/>
      <c r="BQ325" s="56"/>
      <c r="BR325" s="56"/>
      <c r="BS325" s="56"/>
      <c r="BT325" s="56"/>
      <c r="BU325" s="56"/>
      <c r="BV325" s="56"/>
      <c r="BW325" s="56"/>
      <c r="BX325" s="56"/>
    </row>
    <row r="326">
      <c r="A326" s="48"/>
      <c r="B326" s="48"/>
      <c r="C326" s="48"/>
      <c r="D326" s="48"/>
      <c r="E326" s="48"/>
      <c r="F326" s="48"/>
      <c r="G326" s="48"/>
      <c r="H326" s="48"/>
      <c r="I326" s="48"/>
      <c r="J326" s="48"/>
      <c r="K326" s="64"/>
      <c r="L326" s="64"/>
      <c r="M326" s="48"/>
      <c r="N326" s="48"/>
      <c r="O326" s="48"/>
      <c r="P326" s="48"/>
      <c r="Q326" s="48"/>
      <c r="R326" s="48"/>
      <c r="S326" s="60"/>
      <c r="T326" s="48"/>
      <c r="U326" s="48"/>
      <c r="V326" s="48"/>
      <c r="W326" s="48"/>
      <c r="X326" s="48"/>
      <c r="Y326" s="48"/>
      <c r="Z326" s="48"/>
      <c r="AA326" s="48"/>
      <c r="AB326" s="48"/>
      <c r="AC326" s="48"/>
      <c r="AD326" s="48"/>
      <c r="AE326" s="48"/>
      <c r="AF326" s="60"/>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56"/>
      <c r="BJ326" s="56"/>
      <c r="BK326" s="56"/>
      <c r="BL326" s="56"/>
      <c r="BM326" s="56"/>
      <c r="BN326" s="56"/>
      <c r="BO326" s="56"/>
      <c r="BP326" s="56"/>
      <c r="BQ326" s="56"/>
      <c r="BR326" s="56"/>
      <c r="BS326" s="56"/>
      <c r="BT326" s="56"/>
      <c r="BU326" s="56"/>
      <c r="BV326" s="56"/>
      <c r="BW326" s="56"/>
      <c r="BX326" s="56"/>
    </row>
    <row r="327">
      <c r="A327" s="48"/>
      <c r="B327" s="48"/>
      <c r="C327" s="48"/>
      <c r="D327" s="48"/>
      <c r="E327" s="48"/>
      <c r="F327" s="48"/>
      <c r="G327" s="48"/>
      <c r="H327" s="48"/>
      <c r="I327" s="48"/>
      <c r="J327" s="48"/>
      <c r="K327" s="64"/>
      <c r="L327" s="64"/>
      <c r="M327" s="48"/>
      <c r="N327" s="48"/>
      <c r="O327" s="48"/>
      <c r="P327" s="48"/>
      <c r="Q327" s="48"/>
      <c r="R327" s="48"/>
      <c r="S327" s="60"/>
      <c r="T327" s="48"/>
      <c r="U327" s="48"/>
      <c r="V327" s="48"/>
      <c r="W327" s="48"/>
      <c r="X327" s="48"/>
      <c r="Y327" s="48"/>
      <c r="Z327" s="48"/>
      <c r="AA327" s="48"/>
      <c r="AB327" s="48"/>
      <c r="AC327" s="48"/>
      <c r="AD327" s="48"/>
      <c r="AE327" s="48"/>
      <c r="AF327" s="60"/>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56"/>
      <c r="BJ327" s="56"/>
      <c r="BK327" s="56"/>
      <c r="BL327" s="56"/>
      <c r="BM327" s="56"/>
      <c r="BN327" s="56"/>
      <c r="BO327" s="56"/>
      <c r="BP327" s="56"/>
      <c r="BQ327" s="56"/>
      <c r="BR327" s="56"/>
      <c r="BS327" s="56"/>
      <c r="BT327" s="56"/>
      <c r="BU327" s="56"/>
      <c r="BV327" s="56"/>
      <c r="BW327" s="56"/>
      <c r="BX327" s="56"/>
    </row>
    <row r="328">
      <c r="A328" s="48"/>
      <c r="B328" s="48"/>
      <c r="C328" s="48"/>
      <c r="D328" s="48"/>
      <c r="E328" s="48"/>
      <c r="F328" s="48"/>
      <c r="G328" s="48"/>
      <c r="H328" s="48"/>
      <c r="I328" s="48"/>
      <c r="J328" s="48"/>
      <c r="K328" s="64"/>
      <c r="L328" s="64"/>
      <c r="M328" s="48"/>
      <c r="N328" s="48"/>
      <c r="O328" s="48"/>
      <c r="P328" s="48"/>
      <c r="Q328" s="48"/>
      <c r="R328" s="48"/>
      <c r="S328" s="60"/>
      <c r="T328" s="48"/>
      <c r="U328" s="48"/>
      <c r="V328" s="48"/>
      <c r="W328" s="48"/>
      <c r="X328" s="48"/>
      <c r="Y328" s="48"/>
      <c r="Z328" s="48"/>
      <c r="AA328" s="48"/>
      <c r="AB328" s="48"/>
      <c r="AC328" s="48"/>
      <c r="AD328" s="48"/>
      <c r="AE328" s="48"/>
      <c r="AF328" s="60"/>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56"/>
      <c r="BJ328" s="56"/>
      <c r="BK328" s="56"/>
      <c r="BL328" s="56"/>
      <c r="BM328" s="56"/>
      <c r="BN328" s="56"/>
      <c r="BO328" s="56"/>
      <c r="BP328" s="56"/>
      <c r="BQ328" s="56"/>
      <c r="BR328" s="56"/>
      <c r="BS328" s="56"/>
      <c r="BT328" s="56"/>
      <c r="BU328" s="56"/>
      <c r="BV328" s="56"/>
      <c r="BW328" s="56"/>
      <c r="BX328" s="56"/>
    </row>
    <row r="329">
      <c r="A329" s="48"/>
      <c r="B329" s="48"/>
      <c r="C329" s="48"/>
      <c r="D329" s="48"/>
      <c r="E329" s="48"/>
      <c r="F329" s="48"/>
      <c r="G329" s="48"/>
      <c r="H329" s="48"/>
      <c r="I329" s="48"/>
      <c r="J329" s="48"/>
      <c r="K329" s="64"/>
      <c r="L329" s="64"/>
      <c r="M329" s="48"/>
      <c r="N329" s="48"/>
      <c r="O329" s="48"/>
      <c r="P329" s="48"/>
      <c r="Q329" s="48"/>
      <c r="R329" s="48"/>
      <c r="S329" s="60"/>
      <c r="T329" s="48"/>
      <c r="U329" s="48"/>
      <c r="V329" s="48"/>
      <c r="W329" s="48"/>
      <c r="X329" s="48"/>
      <c r="Y329" s="48"/>
      <c r="Z329" s="48"/>
      <c r="AA329" s="48"/>
      <c r="AB329" s="48"/>
      <c r="AC329" s="48"/>
      <c r="AD329" s="48"/>
      <c r="AE329" s="48"/>
      <c r="AF329" s="60"/>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56"/>
      <c r="BJ329" s="56"/>
      <c r="BK329" s="56"/>
      <c r="BL329" s="56"/>
      <c r="BM329" s="56"/>
      <c r="BN329" s="56"/>
      <c r="BO329" s="56"/>
      <c r="BP329" s="56"/>
      <c r="BQ329" s="56"/>
      <c r="BR329" s="56"/>
      <c r="BS329" s="56"/>
      <c r="BT329" s="56"/>
      <c r="BU329" s="56"/>
      <c r="BV329" s="56"/>
      <c r="BW329" s="56"/>
      <c r="BX329" s="56"/>
    </row>
    <row r="330">
      <c r="A330" s="48"/>
      <c r="B330" s="48"/>
      <c r="C330" s="48"/>
      <c r="D330" s="48"/>
      <c r="E330" s="48"/>
      <c r="F330" s="48"/>
      <c r="G330" s="48"/>
      <c r="H330" s="48"/>
      <c r="I330" s="48"/>
      <c r="J330" s="48"/>
      <c r="K330" s="64"/>
      <c r="L330" s="64"/>
      <c r="M330" s="48"/>
      <c r="N330" s="48"/>
      <c r="O330" s="48"/>
      <c r="P330" s="48"/>
      <c r="Q330" s="48"/>
      <c r="R330" s="48"/>
      <c r="S330" s="60"/>
      <c r="T330" s="48"/>
      <c r="U330" s="48"/>
      <c r="V330" s="48"/>
      <c r="W330" s="48"/>
      <c r="X330" s="48"/>
      <c r="Y330" s="48"/>
      <c r="Z330" s="48"/>
      <c r="AA330" s="48"/>
      <c r="AB330" s="48"/>
      <c r="AC330" s="48"/>
      <c r="AD330" s="48"/>
      <c r="AE330" s="48"/>
      <c r="AF330" s="60"/>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56"/>
      <c r="BJ330" s="56"/>
      <c r="BK330" s="56"/>
      <c r="BL330" s="56"/>
      <c r="BM330" s="56"/>
      <c r="BN330" s="56"/>
      <c r="BO330" s="56"/>
      <c r="BP330" s="56"/>
      <c r="BQ330" s="56"/>
      <c r="BR330" s="56"/>
      <c r="BS330" s="56"/>
      <c r="BT330" s="56"/>
      <c r="BU330" s="56"/>
      <c r="BV330" s="56"/>
      <c r="BW330" s="56"/>
      <c r="BX330" s="56"/>
    </row>
    <row r="331">
      <c r="A331" s="48"/>
      <c r="B331" s="48"/>
      <c r="C331" s="48"/>
      <c r="D331" s="48"/>
      <c r="E331" s="48"/>
      <c r="F331" s="48"/>
      <c r="G331" s="48"/>
      <c r="H331" s="48"/>
      <c r="I331" s="48"/>
      <c r="J331" s="48"/>
      <c r="K331" s="64"/>
      <c r="L331" s="64"/>
      <c r="M331" s="48"/>
      <c r="N331" s="48"/>
      <c r="O331" s="48"/>
      <c r="P331" s="48"/>
      <c r="Q331" s="48"/>
      <c r="R331" s="48"/>
      <c r="S331" s="60"/>
      <c r="T331" s="48"/>
      <c r="U331" s="48"/>
      <c r="V331" s="48"/>
      <c r="W331" s="48"/>
      <c r="X331" s="48"/>
      <c r="Y331" s="48"/>
      <c r="Z331" s="48"/>
      <c r="AA331" s="48"/>
      <c r="AB331" s="48"/>
      <c r="AC331" s="48"/>
      <c r="AD331" s="48"/>
      <c r="AE331" s="48"/>
      <c r="AF331" s="60"/>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56"/>
      <c r="BJ331" s="56"/>
      <c r="BK331" s="56"/>
      <c r="BL331" s="56"/>
      <c r="BM331" s="56"/>
      <c r="BN331" s="56"/>
      <c r="BO331" s="56"/>
      <c r="BP331" s="56"/>
      <c r="BQ331" s="56"/>
      <c r="BR331" s="56"/>
      <c r="BS331" s="56"/>
      <c r="BT331" s="56"/>
      <c r="BU331" s="56"/>
      <c r="BV331" s="56"/>
      <c r="BW331" s="56"/>
      <c r="BX331" s="56"/>
    </row>
    <row r="332">
      <c r="A332" s="48"/>
      <c r="B332" s="48"/>
      <c r="C332" s="48"/>
      <c r="D332" s="48"/>
      <c r="E332" s="48"/>
      <c r="F332" s="48"/>
      <c r="G332" s="48"/>
      <c r="H332" s="48"/>
      <c r="I332" s="48"/>
      <c r="J332" s="48"/>
      <c r="K332" s="64"/>
      <c r="L332" s="64"/>
      <c r="M332" s="48"/>
      <c r="N332" s="48"/>
      <c r="O332" s="48"/>
      <c r="P332" s="48"/>
      <c r="Q332" s="48"/>
      <c r="R332" s="48"/>
      <c r="S332" s="60"/>
      <c r="T332" s="48"/>
      <c r="U332" s="48"/>
      <c r="V332" s="48"/>
      <c r="W332" s="48"/>
      <c r="X332" s="48"/>
      <c r="Y332" s="48"/>
      <c r="Z332" s="48"/>
      <c r="AA332" s="48"/>
      <c r="AB332" s="48"/>
      <c r="AC332" s="48"/>
      <c r="AD332" s="48"/>
      <c r="AE332" s="48"/>
      <c r="AF332" s="60"/>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56"/>
      <c r="BJ332" s="56"/>
      <c r="BK332" s="56"/>
      <c r="BL332" s="56"/>
      <c r="BM332" s="56"/>
      <c r="BN332" s="56"/>
      <c r="BO332" s="56"/>
      <c r="BP332" s="56"/>
      <c r="BQ332" s="56"/>
      <c r="BR332" s="56"/>
      <c r="BS332" s="56"/>
      <c r="BT332" s="56"/>
      <c r="BU332" s="56"/>
      <c r="BV332" s="56"/>
      <c r="BW332" s="56"/>
      <c r="BX332" s="56"/>
    </row>
    <row r="333">
      <c r="A333" s="48"/>
      <c r="B333" s="48"/>
      <c r="C333" s="48"/>
      <c r="D333" s="48"/>
      <c r="E333" s="48"/>
      <c r="F333" s="48"/>
      <c r="G333" s="48"/>
      <c r="H333" s="48"/>
      <c r="I333" s="48"/>
      <c r="J333" s="48"/>
      <c r="K333" s="64"/>
      <c r="L333" s="64"/>
      <c r="M333" s="48"/>
      <c r="N333" s="48"/>
      <c r="O333" s="48"/>
      <c r="P333" s="48"/>
      <c r="Q333" s="48"/>
      <c r="R333" s="48"/>
      <c r="S333" s="60"/>
      <c r="T333" s="48"/>
      <c r="U333" s="48"/>
      <c r="V333" s="48"/>
      <c r="W333" s="48"/>
      <c r="X333" s="48"/>
      <c r="Y333" s="48"/>
      <c r="Z333" s="48"/>
      <c r="AA333" s="48"/>
      <c r="AB333" s="48"/>
      <c r="AC333" s="48"/>
      <c r="AD333" s="48"/>
      <c r="AE333" s="48"/>
      <c r="AF333" s="60"/>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56"/>
      <c r="BJ333" s="56"/>
      <c r="BK333" s="56"/>
      <c r="BL333" s="56"/>
      <c r="BM333" s="56"/>
      <c r="BN333" s="56"/>
      <c r="BO333" s="56"/>
      <c r="BP333" s="56"/>
      <c r="BQ333" s="56"/>
      <c r="BR333" s="56"/>
      <c r="BS333" s="56"/>
      <c r="BT333" s="56"/>
      <c r="BU333" s="56"/>
      <c r="BV333" s="56"/>
      <c r="BW333" s="56"/>
      <c r="BX333" s="56"/>
    </row>
    <row r="334">
      <c r="A334" s="48"/>
      <c r="B334" s="48"/>
      <c r="C334" s="48"/>
      <c r="D334" s="48"/>
      <c r="E334" s="48"/>
      <c r="F334" s="48"/>
      <c r="G334" s="48"/>
      <c r="H334" s="48"/>
      <c r="I334" s="48"/>
      <c r="J334" s="48"/>
      <c r="K334" s="64"/>
      <c r="L334" s="64"/>
      <c r="M334" s="48"/>
      <c r="N334" s="48"/>
      <c r="O334" s="48"/>
      <c r="P334" s="48"/>
      <c r="Q334" s="48"/>
      <c r="R334" s="48"/>
      <c r="S334" s="60"/>
      <c r="T334" s="48"/>
      <c r="U334" s="48"/>
      <c r="V334" s="48"/>
      <c r="W334" s="48"/>
      <c r="X334" s="48"/>
      <c r="Y334" s="48"/>
      <c r="Z334" s="48"/>
      <c r="AA334" s="48"/>
      <c r="AB334" s="48"/>
      <c r="AC334" s="48"/>
      <c r="AD334" s="48"/>
      <c r="AE334" s="48"/>
      <c r="AF334" s="60"/>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56"/>
      <c r="BJ334" s="56"/>
      <c r="BK334" s="56"/>
      <c r="BL334" s="56"/>
      <c r="BM334" s="56"/>
      <c r="BN334" s="56"/>
      <c r="BO334" s="56"/>
      <c r="BP334" s="56"/>
      <c r="BQ334" s="56"/>
      <c r="BR334" s="56"/>
      <c r="BS334" s="56"/>
      <c r="BT334" s="56"/>
      <c r="BU334" s="56"/>
      <c r="BV334" s="56"/>
      <c r="BW334" s="56"/>
      <c r="BX334" s="56"/>
    </row>
    <row r="335">
      <c r="A335" s="48"/>
      <c r="B335" s="48"/>
      <c r="C335" s="48"/>
      <c r="D335" s="48"/>
      <c r="E335" s="48"/>
      <c r="F335" s="48"/>
      <c r="G335" s="48"/>
      <c r="H335" s="48"/>
      <c r="I335" s="48"/>
      <c r="J335" s="48"/>
      <c r="K335" s="64"/>
      <c r="L335" s="64"/>
      <c r="M335" s="48"/>
      <c r="N335" s="48"/>
      <c r="O335" s="48"/>
      <c r="P335" s="48"/>
      <c r="Q335" s="48"/>
      <c r="R335" s="48"/>
      <c r="S335" s="60"/>
      <c r="T335" s="48"/>
      <c r="U335" s="48"/>
      <c r="V335" s="48"/>
      <c r="W335" s="48"/>
      <c r="X335" s="48"/>
      <c r="Y335" s="48"/>
      <c r="Z335" s="48"/>
      <c r="AA335" s="48"/>
      <c r="AB335" s="48"/>
      <c r="AC335" s="48"/>
      <c r="AD335" s="48"/>
      <c r="AE335" s="48"/>
      <c r="AF335" s="60"/>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56"/>
      <c r="BJ335" s="56"/>
      <c r="BK335" s="56"/>
      <c r="BL335" s="56"/>
      <c r="BM335" s="56"/>
      <c r="BN335" s="56"/>
      <c r="BO335" s="56"/>
      <c r="BP335" s="56"/>
      <c r="BQ335" s="56"/>
      <c r="BR335" s="56"/>
      <c r="BS335" s="56"/>
      <c r="BT335" s="56"/>
      <c r="BU335" s="56"/>
      <c r="BV335" s="56"/>
      <c r="BW335" s="56"/>
      <c r="BX335" s="56"/>
    </row>
    <row r="336">
      <c r="A336" s="48"/>
      <c r="B336" s="48"/>
      <c r="C336" s="48"/>
      <c r="D336" s="48"/>
      <c r="E336" s="48"/>
      <c r="F336" s="48"/>
      <c r="G336" s="48"/>
      <c r="H336" s="48"/>
      <c r="I336" s="48"/>
      <c r="J336" s="48"/>
      <c r="K336" s="64"/>
      <c r="L336" s="64"/>
      <c r="M336" s="48"/>
      <c r="N336" s="48"/>
      <c r="O336" s="48"/>
      <c r="P336" s="48"/>
      <c r="Q336" s="48"/>
      <c r="R336" s="48"/>
      <c r="S336" s="60"/>
      <c r="T336" s="48"/>
      <c r="U336" s="48"/>
      <c r="V336" s="48"/>
      <c r="W336" s="48"/>
      <c r="X336" s="48"/>
      <c r="Y336" s="48"/>
      <c r="Z336" s="48"/>
      <c r="AA336" s="48"/>
      <c r="AB336" s="48"/>
      <c r="AC336" s="48"/>
      <c r="AD336" s="48"/>
      <c r="AE336" s="48"/>
      <c r="AF336" s="60"/>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56"/>
      <c r="BJ336" s="56"/>
      <c r="BK336" s="56"/>
      <c r="BL336" s="56"/>
      <c r="BM336" s="56"/>
      <c r="BN336" s="56"/>
      <c r="BO336" s="56"/>
      <c r="BP336" s="56"/>
      <c r="BQ336" s="56"/>
      <c r="BR336" s="56"/>
      <c r="BS336" s="56"/>
      <c r="BT336" s="56"/>
      <c r="BU336" s="56"/>
      <c r="BV336" s="56"/>
      <c r="BW336" s="56"/>
      <c r="BX336" s="56"/>
    </row>
    <row r="337">
      <c r="A337" s="48"/>
      <c r="B337" s="48"/>
      <c r="C337" s="48"/>
      <c r="D337" s="48"/>
      <c r="E337" s="48"/>
      <c r="F337" s="48"/>
      <c r="G337" s="48"/>
      <c r="H337" s="48"/>
      <c r="I337" s="48"/>
      <c r="J337" s="48"/>
      <c r="K337" s="64"/>
      <c r="L337" s="64"/>
      <c r="M337" s="48"/>
      <c r="N337" s="48"/>
      <c r="O337" s="48"/>
      <c r="P337" s="48"/>
      <c r="Q337" s="48"/>
      <c r="R337" s="48"/>
      <c r="S337" s="60"/>
      <c r="T337" s="48"/>
      <c r="U337" s="48"/>
      <c r="V337" s="48"/>
      <c r="W337" s="48"/>
      <c r="X337" s="48"/>
      <c r="Y337" s="48"/>
      <c r="Z337" s="48"/>
      <c r="AA337" s="48"/>
      <c r="AB337" s="48"/>
      <c r="AC337" s="48"/>
      <c r="AD337" s="48"/>
      <c r="AE337" s="48"/>
      <c r="AF337" s="60"/>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56"/>
      <c r="BJ337" s="56"/>
      <c r="BK337" s="56"/>
      <c r="BL337" s="56"/>
      <c r="BM337" s="56"/>
      <c r="BN337" s="56"/>
      <c r="BO337" s="56"/>
      <c r="BP337" s="56"/>
      <c r="BQ337" s="56"/>
      <c r="BR337" s="56"/>
      <c r="BS337" s="56"/>
      <c r="BT337" s="56"/>
      <c r="BU337" s="56"/>
      <c r="BV337" s="56"/>
      <c r="BW337" s="56"/>
      <c r="BX337" s="56"/>
    </row>
    <row r="338">
      <c r="A338" s="48"/>
      <c r="B338" s="48"/>
      <c r="C338" s="48"/>
      <c r="D338" s="48"/>
      <c r="E338" s="48"/>
      <c r="F338" s="48"/>
      <c r="G338" s="48"/>
      <c r="H338" s="48"/>
      <c r="I338" s="48"/>
      <c r="J338" s="48"/>
      <c r="K338" s="64"/>
      <c r="L338" s="64"/>
      <c r="M338" s="48"/>
      <c r="N338" s="48"/>
      <c r="O338" s="48"/>
      <c r="P338" s="48"/>
      <c r="Q338" s="48"/>
      <c r="R338" s="48"/>
      <c r="S338" s="60"/>
      <c r="T338" s="48"/>
      <c r="U338" s="48"/>
      <c r="V338" s="48"/>
      <c r="W338" s="48"/>
      <c r="X338" s="48"/>
      <c r="Y338" s="48"/>
      <c r="Z338" s="48"/>
      <c r="AA338" s="48"/>
      <c r="AB338" s="48"/>
      <c r="AC338" s="48"/>
      <c r="AD338" s="48"/>
      <c r="AE338" s="48"/>
      <c r="AF338" s="60"/>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56"/>
      <c r="BJ338" s="56"/>
      <c r="BK338" s="56"/>
      <c r="BL338" s="56"/>
      <c r="BM338" s="56"/>
      <c r="BN338" s="56"/>
      <c r="BO338" s="56"/>
      <c r="BP338" s="56"/>
      <c r="BQ338" s="56"/>
      <c r="BR338" s="56"/>
      <c r="BS338" s="56"/>
      <c r="BT338" s="56"/>
      <c r="BU338" s="56"/>
      <c r="BV338" s="56"/>
      <c r="BW338" s="56"/>
      <c r="BX338" s="56"/>
    </row>
    <row r="339">
      <c r="A339" s="48"/>
      <c r="B339" s="48"/>
      <c r="C339" s="48"/>
      <c r="D339" s="48"/>
      <c r="E339" s="48"/>
      <c r="F339" s="48"/>
      <c r="G339" s="48"/>
      <c r="H339" s="48"/>
      <c r="I339" s="48"/>
      <c r="J339" s="48"/>
      <c r="K339" s="64"/>
      <c r="L339" s="64"/>
      <c r="M339" s="48"/>
      <c r="N339" s="48"/>
      <c r="O339" s="48"/>
      <c r="P339" s="48"/>
      <c r="Q339" s="48"/>
      <c r="R339" s="48"/>
      <c r="S339" s="60"/>
      <c r="T339" s="48"/>
      <c r="U339" s="48"/>
      <c r="V339" s="48"/>
      <c r="W339" s="48"/>
      <c r="X339" s="48"/>
      <c r="Y339" s="48"/>
      <c r="Z339" s="48"/>
      <c r="AA339" s="48"/>
      <c r="AB339" s="48"/>
      <c r="AC339" s="48"/>
      <c r="AD339" s="48"/>
      <c r="AE339" s="48"/>
      <c r="AF339" s="60"/>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56"/>
      <c r="BJ339" s="56"/>
      <c r="BK339" s="56"/>
      <c r="BL339" s="56"/>
      <c r="BM339" s="56"/>
      <c r="BN339" s="56"/>
      <c r="BO339" s="56"/>
      <c r="BP339" s="56"/>
      <c r="BQ339" s="56"/>
      <c r="BR339" s="56"/>
      <c r="BS339" s="56"/>
      <c r="BT339" s="56"/>
      <c r="BU339" s="56"/>
      <c r="BV339" s="56"/>
      <c r="BW339" s="56"/>
      <c r="BX339" s="56"/>
    </row>
    <row r="340">
      <c r="A340" s="48"/>
      <c r="B340" s="48"/>
      <c r="C340" s="48"/>
      <c r="D340" s="48"/>
      <c r="E340" s="48"/>
      <c r="F340" s="48"/>
      <c r="G340" s="48"/>
      <c r="H340" s="48"/>
      <c r="I340" s="48"/>
      <c r="J340" s="48"/>
      <c r="K340" s="64"/>
      <c r="L340" s="64"/>
      <c r="M340" s="48"/>
      <c r="N340" s="48"/>
      <c r="O340" s="48"/>
      <c r="P340" s="48"/>
      <c r="Q340" s="48"/>
      <c r="R340" s="48"/>
      <c r="S340" s="60"/>
      <c r="T340" s="48"/>
      <c r="U340" s="48"/>
      <c r="V340" s="48"/>
      <c r="W340" s="48"/>
      <c r="X340" s="48"/>
      <c r="Y340" s="48"/>
      <c r="Z340" s="48"/>
      <c r="AA340" s="48"/>
      <c r="AB340" s="48"/>
      <c r="AC340" s="48"/>
      <c r="AD340" s="48"/>
      <c r="AE340" s="48"/>
      <c r="AF340" s="60"/>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56"/>
      <c r="BJ340" s="56"/>
      <c r="BK340" s="56"/>
      <c r="BL340" s="56"/>
      <c r="BM340" s="56"/>
      <c r="BN340" s="56"/>
      <c r="BO340" s="56"/>
      <c r="BP340" s="56"/>
      <c r="BQ340" s="56"/>
      <c r="BR340" s="56"/>
      <c r="BS340" s="56"/>
      <c r="BT340" s="56"/>
      <c r="BU340" s="56"/>
      <c r="BV340" s="56"/>
      <c r="BW340" s="56"/>
      <c r="BX340" s="56"/>
    </row>
    <row r="341">
      <c r="A341" s="48"/>
      <c r="B341" s="48"/>
      <c r="C341" s="48"/>
      <c r="D341" s="48"/>
      <c r="E341" s="48"/>
      <c r="F341" s="48"/>
      <c r="G341" s="48"/>
      <c r="H341" s="48"/>
      <c r="I341" s="48"/>
      <c r="J341" s="48"/>
      <c r="K341" s="64"/>
      <c r="L341" s="64"/>
      <c r="M341" s="48"/>
      <c r="N341" s="48"/>
      <c r="O341" s="48"/>
      <c r="P341" s="48"/>
      <c r="Q341" s="48"/>
      <c r="R341" s="48"/>
      <c r="S341" s="60"/>
      <c r="T341" s="48"/>
      <c r="U341" s="48"/>
      <c r="V341" s="48"/>
      <c r="W341" s="48"/>
      <c r="X341" s="48"/>
      <c r="Y341" s="48"/>
      <c r="Z341" s="48"/>
      <c r="AA341" s="48"/>
      <c r="AB341" s="48"/>
      <c r="AC341" s="48"/>
      <c r="AD341" s="48"/>
      <c r="AE341" s="48"/>
      <c r="AF341" s="60"/>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56"/>
      <c r="BJ341" s="56"/>
      <c r="BK341" s="56"/>
      <c r="BL341" s="56"/>
      <c r="BM341" s="56"/>
      <c r="BN341" s="56"/>
      <c r="BO341" s="56"/>
      <c r="BP341" s="56"/>
      <c r="BQ341" s="56"/>
      <c r="BR341" s="56"/>
      <c r="BS341" s="56"/>
      <c r="BT341" s="56"/>
      <c r="BU341" s="56"/>
      <c r="BV341" s="56"/>
      <c r="BW341" s="56"/>
      <c r="BX341" s="56"/>
    </row>
    <row r="342">
      <c r="A342" s="48"/>
      <c r="B342" s="48"/>
      <c r="C342" s="48"/>
      <c r="D342" s="48"/>
      <c r="E342" s="48"/>
      <c r="F342" s="48"/>
      <c r="G342" s="48"/>
      <c r="H342" s="48"/>
      <c r="I342" s="48"/>
      <c r="J342" s="48"/>
      <c r="K342" s="64"/>
      <c r="L342" s="64"/>
      <c r="M342" s="48"/>
      <c r="N342" s="48"/>
      <c r="O342" s="48"/>
      <c r="P342" s="48"/>
      <c r="Q342" s="48"/>
      <c r="R342" s="48"/>
      <c r="S342" s="60"/>
      <c r="T342" s="48"/>
      <c r="U342" s="48"/>
      <c r="V342" s="48"/>
      <c r="W342" s="48"/>
      <c r="X342" s="48"/>
      <c r="Y342" s="48"/>
      <c r="Z342" s="48"/>
      <c r="AA342" s="48"/>
      <c r="AB342" s="48"/>
      <c r="AC342" s="48"/>
      <c r="AD342" s="48"/>
      <c r="AE342" s="48"/>
      <c r="AF342" s="60"/>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56"/>
      <c r="BJ342" s="56"/>
      <c r="BK342" s="56"/>
      <c r="BL342" s="56"/>
      <c r="BM342" s="56"/>
      <c r="BN342" s="56"/>
      <c r="BO342" s="56"/>
      <c r="BP342" s="56"/>
      <c r="BQ342" s="56"/>
      <c r="BR342" s="56"/>
      <c r="BS342" s="56"/>
      <c r="BT342" s="56"/>
      <c r="BU342" s="56"/>
      <c r="BV342" s="56"/>
      <c r="BW342" s="56"/>
      <c r="BX342" s="56"/>
    </row>
    <row r="343">
      <c r="A343" s="48"/>
      <c r="B343" s="48"/>
      <c r="C343" s="48"/>
      <c r="D343" s="48"/>
      <c r="E343" s="48"/>
      <c r="F343" s="48"/>
      <c r="G343" s="48"/>
      <c r="H343" s="48"/>
      <c r="I343" s="48"/>
      <c r="J343" s="48"/>
      <c r="K343" s="64"/>
      <c r="L343" s="64"/>
      <c r="M343" s="48"/>
      <c r="N343" s="48"/>
      <c r="O343" s="48"/>
      <c r="P343" s="48"/>
      <c r="Q343" s="48"/>
      <c r="R343" s="48"/>
      <c r="S343" s="60"/>
      <c r="T343" s="48"/>
      <c r="U343" s="48"/>
      <c r="V343" s="48"/>
      <c r="W343" s="48"/>
      <c r="X343" s="48"/>
      <c r="Y343" s="48"/>
      <c r="Z343" s="48"/>
      <c r="AA343" s="48"/>
      <c r="AB343" s="48"/>
      <c r="AC343" s="48"/>
      <c r="AD343" s="48"/>
      <c r="AE343" s="48"/>
      <c r="AF343" s="60"/>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56"/>
      <c r="BJ343" s="56"/>
      <c r="BK343" s="56"/>
      <c r="BL343" s="56"/>
      <c r="BM343" s="56"/>
      <c r="BN343" s="56"/>
      <c r="BO343" s="56"/>
      <c r="BP343" s="56"/>
      <c r="BQ343" s="56"/>
      <c r="BR343" s="56"/>
      <c r="BS343" s="56"/>
      <c r="BT343" s="56"/>
      <c r="BU343" s="56"/>
      <c r="BV343" s="56"/>
      <c r="BW343" s="56"/>
      <c r="BX343" s="56"/>
    </row>
    <row r="344">
      <c r="A344" s="48"/>
      <c r="B344" s="48"/>
      <c r="C344" s="48"/>
      <c r="D344" s="48"/>
      <c r="E344" s="48"/>
      <c r="F344" s="48"/>
      <c r="G344" s="48"/>
      <c r="H344" s="48"/>
      <c r="I344" s="48"/>
      <c r="J344" s="48"/>
      <c r="K344" s="64"/>
      <c r="L344" s="64"/>
      <c r="M344" s="48"/>
      <c r="N344" s="48"/>
      <c r="O344" s="48"/>
      <c r="P344" s="48"/>
      <c r="Q344" s="48"/>
      <c r="R344" s="48"/>
      <c r="S344" s="60"/>
      <c r="T344" s="48"/>
      <c r="U344" s="48"/>
      <c r="V344" s="48"/>
      <c r="W344" s="48"/>
      <c r="X344" s="48"/>
      <c r="Y344" s="48"/>
      <c r="Z344" s="48"/>
      <c r="AA344" s="48"/>
      <c r="AB344" s="48"/>
      <c r="AC344" s="48"/>
      <c r="AD344" s="48"/>
      <c r="AE344" s="48"/>
      <c r="AF344" s="60"/>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56"/>
      <c r="BJ344" s="56"/>
      <c r="BK344" s="56"/>
      <c r="BL344" s="56"/>
      <c r="BM344" s="56"/>
      <c r="BN344" s="56"/>
      <c r="BO344" s="56"/>
      <c r="BP344" s="56"/>
      <c r="BQ344" s="56"/>
      <c r="BR344" s="56"/>
      <c r="BS344" s="56"/>
      <c r="BT344" s="56"/>
      <c r="BU344" s="56"/>
      <c r="BV344" s="56"/>
      <c r="BW344" s="56"/>
      <c r="BX344" s="56"/>
    </row>
    <row r="345">
      <c r="A345" s="48"/>
      <c r="B345" s="48"/>
      <c r="C345" s="48"/>
      <c r="D345" s="48"/>
      <c r="E345" s="48"/>
      <c r="F345" s="48"/>
      <c r="G345" s="48"/>
      <c r="H345" s="48"/>
      <c r="I345" s="48"/>
      <c r="J345" s="48"/>
      <c r="K345" s="64"/>
      <c r="L345" s="64"/>
      <c r="M345" s="48"/>
      <c r="N345" s="48"/>
      <c r="O345" s="48"/>
      <c r="P345" s="48"/>
      <c r="Q345" s="48"/>
      <c r="R345" s="48"/>
      <c r="S345" s="60"/>
      <c r="T345" s="48"/>
      <c r="U345" s="48"/>
      <c r="V345" s="48"/>
      <c r="W345" s="48"/>
      <c r="X345" s="48"/>
      <c r="Y345" s="48"/>
      <c r="Z345" s="48"/>
      <c r="AA345" s="48"/>
      <c r="AB345" s="48"/>
      <c r="AC345" s="48"/>
      <c r="AD345" s="48"/>
      <c r="AE345" s="48"/>
      <c r="AF345" s="60"/>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56"/>
      <c r="BJ345" s="56"/>
      <c r="BK345" s="56"/>
      <c r="BL345" s="56"/>
      <c r="BM345" s="56"/>
      <c r="BN345" s="56"/>
      <c r="BO345" s="56"/>
      <c r="BP345" s="56"/>
      <c r="BQ345" s="56"/>
      <c r="BR345" s="56"/>
      <c r="BS345" s="56"/>
      <c r="BT345" s="56"/>
      <c r="BU345" s="56"/>
      <c r="BV345" s="56"/>
      <c r="BW345" s="56"/>
      <c r="BX345" s="56"/>
    </row>
    <row r="346">
      <c r="A346" s="48"/>
      <c r="B346" s="48"/>
      <c r="C346" s="48"/>
      <c r="D346" s="48"/>
      <c r="E346" s="48"/>
      <c r="F346" s="48"/>
      <c r="G346" s="48"/>
      <c r="H346" s="48"/>
      <c r="I346" s="48"/>
      <c r="J346" s="48"/>
      <c r="K346" s="64"/>
      <c r="L346" s="64"/>
      <c r="M346" s="48"/>
      <c r="N346" s="48"/>
      <c r="O346" s="48"/>
      <c r="P346" s="48"/>
      <c r="Q346" s="48"/>
      <c r="R346" s="48"/>
      <c r="S346" s="60"/>
      <c r="T346" s="48"/>
      <c r="U346" s="48"/>
      <c r="V346" s="48"/>
      <c r="W346" s="48"/>
      <c r="X346" s="48"/>
      <c r="Y346" s="48"/>
      <c r="Z346" s="48"/>
      <c r="AA346" s="48"/>
      <c r="AB346" s="48"/>
      <c r="AC346" s="48"/>
      <c r="AD346" s="48"/>
      <c r="AE346" s="48"/>
      <c r="AF346" s="60"/>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56"/>
      <c r="BJ346" s="56"/>
      <c r="BK346" s="56"/>
      <c r="BL346" s="56"/>
      <c r="BM346" s="56"/>
      <c r="BN346" s="56"/>
      <c r="BO346" s="56"/>
      <c r="BP346" s="56"/>
      <c r="BQ346" s="56"/>
      <c r="BR346" s="56"/>
      <c r="BS346" s="56"/>
      <c r="BT346" s="56"/>
      <c r="BU346" s="56"/>
      <c r="BV346" s="56"/>
      <c r="BW346" s="56"/>
      <c r="BX346" s="56"/>
    </row>
    <row r="347">
      <c r="A347" s="48"/>
      <c r="B347" s="48"/>
      <c r="C347" s="48"/>
      <c r="D347" s="48"/>
      <c r="E347" s="48"/>
      <c r="F347" s="48"/>
      <c r="G347" s="48"/>
      <c r="H347" s="48"/>
      <c r="I347" s="48"/>
      <c r="J347" s="48"/>
      <c r="K347" s="64"/>
      <c r="L347" s="64"/>
      <c r="M347" s="48"/>
      <c r="N347" s="48"/>
      <c r="O347" s="48"/>
      <c r="P347" s="48"/>
      <c r="Q347" s="48"/>
      <c r="R347" s="48"/>
      <c r="S347" s="60"/>
      <c r="T347" s="48"/>
      <c r="U347" s="48"/>
      <c r="V347" s="48"/>
      <c r="W347" s="48"/>
      <c r="X347" s="48"/>
      <c r="Y347" s="48"/>
      <c r="Z347" s="48"/>
      <c r="AA347" s="48"/>
      <c r="AB347" s="48"/>
      <c r="AC347" s="48"/>
      <c r="AD347" s="48"/>
      <c r="AE347" s="48"/>
      <c r="AF347" s="60"/>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56"/>
      <c r="BJ347" s="56"/>
      <c r="BK347" s="56"/>
      <c r="BL347" s="56"/>
      <c r="BM347" s="56"/>
      <c r="BN347" s="56"/>
      <c r="BO347" s="56"/>
      <c r="BP347" s="56"/>
      <c r="BQ347" s="56"/>
      <c r="BR347" s="56"/>
      <c r="BS347" s="56"/>
      <c r="BT347" s="56"/>
      <c r="BU347" s="56"/>
      <c r="BV347" s="56"/>
      <c r="BW347" s="56"/>
      <c r="BX347" s="56"/>
    </row>
    <row r="348">
      <c r="A348" s="48"/>
      <c r="B348" s="48"/>
      <c r="C348" s="48"/>
      <c r="D348" s="48"/>
      <c r="E348" s="48"/>
      <c r="F348" s="48"/>
      <c r="G348" s="48"/>
      <c r="H348" s="48"/>
      <c r="I348" s="48"/>
      <c r="J348" s="48"/>
      <c r="K348" s="64"/>
      <c r="L348" s="64"/>
      <c r="M348" s="48"/>
      <c r="N348" s="48"/>
      <c r="O348" s="48"/>
      <c r="P348" s="48"/>
      <c r="Q348" s="48"/>
      <c r="R348" s="48"/>
      <c r="S348" s="60"/>
      <c r="T348" s="48"/>
      <c r="U348" s="48"/>
      <c r="V348" s="48"/>
      <c r="W348" s="48"/>
      <c r="X348" s="48"/>
      <c r="Y348" s="48"/>
      <c r="Z348" s="48"/>
      <c r="AA348" s="48"/>
      <c r="AB348" s="48"/>
      <c r="AC348" s="48"/>
      <c r="AD348" s="48"/>
      <c r="AE348" s="48"/>
      <c r="AF348" s="60"/>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56"/>
      <c r="BJ348" s="56"/>
      <c r="BK348" s="56"/>
      <c r="BL348" s="56"/>
      <c r="BM348" s="56"/>
      <c r="BN348" s="56"/>
      <c r="BO348" s="56"/>
      <c r="BP348" s="56"/>
      <c r="BQ348" s="56"/>
      <c r="BR348" s="56"/>
      <c r="BS348" s="56"/>
      <c r="BT348" s="56"/>
      <c r="BU348" s="56"/>
      <c r="BV348" s="56"/>
      <c r="BW348" s="56"/>
      <c r="BX348" s="56"/>
    </row>
    <row r="349">
      <c r="A349" s="48"/>
      <c r="B349" s="48"/>
      <c r="C349" s="48"/>
      <c r="D349" s="48"/>
      <c r="E349" s="48"/>
      <c r="F349" s="48"/>
      <c r="G349" s="48"/>
      <c r="H349" s="48"/>
      <c r="I349" s="48"/>
      <c r="J349" s="48"/>
      <c r="K349" s="64"/>
      <c r="L349" s="64"/>
      <c r="M349" s="48"/>
      <c r="N349" s="48"/>
      <c r="O349" s="48"/>
      <c r="P349" s="48"/>
      <c r="Q349" s="48"/>
      <c r="R349" s="48"/>
      <c r="S349" s="60"/>
      <c r="T349" s="48"/>
      <c r="U349" s="48"/>
      <c r="V349" s="48"/>
      <c r="W349" s="48"/>
      <c r="X349" s="48"/>
      <c r="Y349" s="48"/>
      <c r="Z349" s="48"/>
      <c r="AA349" s="48"/>
      <c r="AB349" s="48"/>
      <c r="AC349" s="48"/>
      <c r="AD349" s="48"/>
      <c r="AE349" s="48"/>
      <c r="AF349" s="60"/>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56"/>
      <c r="BJ349" s="56"/>
      <c r="BK349" s="56"/>
      <c r="BL349" s="56"/>
      <c r="BM349" s="56"/>
      <c r="BN349" s="56"/>
      <c r="BO349" s="56"/>
      <c r="BP349" s="56"/>
      <c r="BQ349" s="56"/>
      <c r="BR349" s="56"/>
      <c r="BS349" s="56"/>
      <c r="BT349" s="56"/>
      <c r="BU349" s="56"/>
      <c r="BV349" s="56"/>
      <c r="BW349" s="56"/>
      <c r="BX349" s="56"/>
    </row>
    <row r="350">
      <c r="A350" s="48"/>
      <c r="B350" s="48"/>
      <c r="C350" s="48"/>
      <c r="D350" s="48"/>
      <c r="E350" s="48"/>
      <c r="F350" s="48"/>
      <c r="G350" s="48"/>
      <c r="H350" s="48"/>
      <c r="I350" s="48"/>
      <c r="J350" s="48"/>
      <c r="K350" s="64"/>
      <c r="L350" s="64"/>
      <c r="M350" s="48"/>
      <c r="N350" s="48"/>
      <c r="O350" s="48"/>
      <c r="P350" s="48"/>
      <c r="Q350" s="48"/>
      <c r="R350" s="48"/>
      <c r="S350" s="60"/>
      <c r="T350" s="48"/>
      <c r="U350" s="48"/>
      <c r="V350" s="48"/>
      <c r="W350" s="48"/>
      <c r="X350" s="48"/>
      <c r="Y350" s="48"/>
      <c r="Z350" s="48"/>
      <c r="AA350" s="48"/>
      <c r="AB350" s="48"/>
      <c r="AC350" s="48"/>
      <c r="AD350" s="48"/>
      <c r="AE350" s="48"/>
      <c r="AF350" s="60"/>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56"/>
      <c r="BJ350" s="56"/>
      <c r="BK350" s="56"/>
      <c r="BL350" s="56"/>
      <c r="BM350" s="56"/>
      <c r="BN350" s="56"/>
      <c r="BO350" s="56"/>
      <c r="BP350" s="56"/>
      <c r="BQ350" s="56"/>
      <c r="BR350" s="56"/>
      <c r="BS350" s="56"/>
      <c r="BT350" s="56"/>
      <c r="BU350" s="56"/>
      <c r="BV350" s="56"/>
      <c r="BW350" s="56"/>
      <c r="BX350" s="56"/>
    </row>
    <row r="351">
      <c r="A351" s="48"/>
      <c r="B351" s="48"/>
      <c r="C351" s="48"/>
      <c r="D351" s="48"/>
      <c r="E351" s="48"/>
      <c r="F351" s="48"/>
      <c r="G351" s="48"/>
      <c r="H351" s="48"/>
      <c r="I351" s="48"/>
      <c r="J351" s="48"/>
      <c r="K351" s="64"/>
      <c r="L351" s="64"/>
      <c r="M351" s="48"/>
      <c r="N351" s="48"/>
      <c r="O351" s="48"/>
      <c r="P351" s="48"/>
      <c r="Q351" s="48"/>
      <c r="R351" s="48"/>
      <c r="S351" s="60"/>
      <c r="T351" s="48"/>
      <c r="U351" s="48"/>
      <c r="V351" s="48"/>
      <c r="W351" s="48"/>
      <c r="X351" s="48"/>
      <c r="Y351" s="48"/>
      <c r="Z351" s="48"/>
      <c r="AA351" s="48"/>
      <c r="AB351" s="48"/>
      <c r="AC351" s="48"/>
      <c r="AD351" s="48"/>
      <c r="AE351" s="48"/>
      <c r="AF351" s="60"/>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56"/>
      <c r="BJ351" s="56"/>
      <c r="BK351" s="56"/>
      <c r="BL351" s="56"/>
      <c r="BM351" s="56"/>
      <c r="BN351" s="56"/>
      <c r="BO351" s="56"/>
      <c r="BP351" s="56"/>
      <c r="BQ351" s="56"/>
      <c r="BR351" s="56"/>
      <c r="BS351" s="56"/>
      <c r="BT351" s="56"/>
      <c r="BU351" s="56"/>
      <c r="BV351" s="56"/>
      <c r="BW351" s="56"/>
      <c r="BX351" s="56"/>
    </row>
    <row r="352">
      <c r="A352" s="48"/>
      <c r="B352" s="48"/>
      <c r="C352" s="48"/>
      <c r="D352" s="48"/>
      <c r="E352" s="48"/>
      <c r="F352" s="48"/>
      <c r="G352" s="48"/>
      <c r="H352" s="48"/>
      <c r="I352" s="48"/>
      <c r="J352" s="48"/>
      <c r="K352" s="64"/>
      <c r="L352" s="64"/>
      <c r="M352" s="48"/>
      <c r="N352" s="48"/>
      <c r="O352" s="48"/>
      <c r="P352" s="48"/>
      <c r="Q352" s="48"/>
      <c r="R352" s="48"/>
      <c r="S352" s="60"/>
      <c r="T352" s="48"/>
      <c r="U352" s="48"/>
      <c r="V352" s="48"/>
      <c r="W352" s="48"/>
      <c r="X352" s="48"/>
      <c r="Y352" s="48"/>
      <c r="Z352" s="48"/>
      <c r="AA352" s="48"/>
      <c r="AB352" s="48"/>
      <c r="AC352" s="48"/>
      <c r="AD352" s="48"/>
      <c r="AE352" s="48"/>
      <c r="AF352" s="60"/>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56"/>
      <c r="BJ352" s="56"/>
      <c r="BK352" s="56"/>
      <c r="BL352" s="56"/>
      <c r="BM352" s="56"/>
      <c r="BN352" s="56"/>
      <c r="BO352" s="56"/>
      <c r="BP352" s="56"/>
      <c r="BQ352" s="56"/>
      <c r="BR352" s="56"/>
      <c r="BS352" s="56"/>
      <c r="BT352" s="56"/>
      <c r="BU352" s="56"/>
      <c r="BV352" s="56"/>
      <c r="BW352" s="56"/>
      <c r="BX352" s="56"/>
    </row>
    <row r="353">
      <c r="A353" s="48"/>
      <c r="B353" s="48"/>
      <c r="C353" s="48"/>
      <c r="D353" s="48"/>
      <c r="E353" s="48"/>
      <c r="F353" s="48"/>
      <c r="G353" s="48"/>
      <c r="H353" s="48"/>
      <c r="I353" s="48"/>
      <c r="J353" s="48"/>
      <c r="K353" s="64"/>
      <c r="L353" s="64"/>
      <c r="M353" s="48"/>
      <c r="N353" s="48"/>
      <c r="O353" s="48"/>
      <c r="P353" s="48"/>
      <c r="Q353" s="48"/>
      <c r="R353" s="48"/>
      <c r="S353" s="60"/>
      <c r="T353" s="48"/>
      <c r="U353" s="48"/>
      <c r="V353" s="48"/>
      <c r="W353" s="48"/>
      <c r="X353" s="48"/>
      <c r="Y353" s="48"/>
      <c r="Z353" s="48"/>
      <c r="AA353" s="48"/>
      <c r="AB353" s="48"/>
      <c r="AC353" s="48"/>
      <c r="AD353" s="48"/>
      <c r="AE353" s="48"/>
      <c r="AF353" s="60"/>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56"/>
      <c r="BJ353" s="56"/>
      <c r="BK353" s="56"/>
      <c r="BL353" s="56"/>
      <c r="BM353" s="56"/>
      <c r="BN353" s="56"/>
      <c r="BO353" s="56"/>
      <c r="BP353" s="56"/>
      <c r="BQ353" s="56"/>
      <c r="BR353" s="56"/>
      <c r="BS353" s="56"/>
      <c r="BT353" s="56"/>
      <c r="BU353" s="56"/>
      <c r="BV353" s="56"/>
      <c r="BW353" s="56"/>
      <c r="BX353" s="56"/>
    </row>
    <row r="354">
      <c r="A354" s="48"/>
      <c r="B354" s="48"/>
      <c r="C354" s="48"/>
      <c r="D354" s="48"/>
      <c r="E354" s="48"/>
      <c r="F354" s="48"/>
      <c r="G354" s="48"/>
      <c r="H354" s="48"/>
      <c r="I354" s="48"/>
      <c r="J354" s="48"/>
      <c r="K354" s="64"/>
      <c r="L354" s="64"/>
      <c r="M354" s="48"/>
      <c r="N354" s="48"/>
      <c r="O354" s="48"/>
      <c r="P354" s="48"/>
      <c r="Q354" s="48"/>
      <c r="R354" s="48"/>
      <c r="S354" s="60"/>
      <c r="T354" s="48"/>
      <c r="U354" s="48"/>
      <c r="V354" s="48"/>
      <c r="W354" s="48"/>
      <c r="X354" s="48"/>
      <c r="Y354" s="48"/>
      <c r="Z354" s="48"/>
      <c r="AA354" s="48"/>
      <c r="AB354" s="48"/>
      <c r="AC354" s="48"/>
      <c r="AD354" s="48"/>
      <c r="AE354" s="48"/>
      <c r="AF354" s="60"/>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56"/>
      <c r="BJ354" s="56"/>
      <c r="BK354" s="56"/>
      <c r="BL354" s="56"/>
      <c r="BM354" s="56"/>
      <c r="BN354" s="56"/>
      <c r="BO354" s="56"/>
      <c r="BP354" s="56"/>
      <c r="BQ354" s="56"/>
      <c r="BR354" s="56"/>
      <c r="BS354" s="56"/>
      <c r="BT354" s="56"/>
      <c r="BU354" s="56"/>
      <c r="BV354" s="56"/>
      <c r="BW354" s="56"/>
      <c r="BX354" s="56"/>
    </row>
    <row r="355">
      <c r="A355" s="48"/>
      <c r="B355" s="48"/>
      <c r="C355" s="48"/>
      <c r="D355" s="48"/>
      <c r="E355" s="48"/>
      <c r="F355" s="48"/>
      <c r="G355" s="48"/>
      <c r="H355" s="48"/>
      <c r="I355" s="48"/>
      <c r="J355" s="48"/>
      <c r="K355" s="64"/>
      <c r="L355" s="64"/>
      <c r="M355" s="48"/>
      <c r="N355" s="48"/>
      <c r="O355" s="48"/>
      <c r="P355" s="48"/>
      <c r="Q355" s="48"/>
      <c r="R355" s="48"/>
      <c r="S355" s="60"/>
      <c r="T355" s="48"/>
      <c r="U355" s="48"/>
      <c r="V355" s="48"/>
      <c r="W355" s="48"/>
      <c r="X355" s="48"/>
      <c r="Y355" s="48"/>
      <c r="Z355" s="48"/>
      <c r="AA355" s="48"/>
      <c r="AB355" s="48"/>
      <c r="AC355" s="48"/>
      <c r="AD355" s="48"/>
      <c r="AE355" s="48"/>
      <c r="AF355" s="60"/>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56"/>
      <c r="BJ355" s="56"/>
      <c r="BK355" s="56"/>
      <c r="BL355" s="56"/>
      <c r="BM355" s="56"/>
      <c r="BN355" s="56"/>
      <c r="BO355" s="56"/>
      <c r="BP355" s="56"/>
      <c r="BQ355" s="56"/>
      <c r="BR355" s="56"/>
      <c r="BS355" s="56"/>
      <c r="BT355" s="56"/>
      <c r="BU355" s="56"/>
      <c r="BV355" s="56"/>
      <c r="BW355" s="56"/>
      <c r="BX355" s="56"/>
    </row>
    <row r="356">
      <c r="A356" s="48"/>
      <c r="B356" s="48"/>
      <c r="C356" s="48"/>
      <c r="D356" s="48"/>
      <c r="E356" s="48"/>
      <c r="F356" s="48"/>
      <c r="G356" s="48"/>
      <c r="H356" s="48"/>
      <c r="I356" s="48"/>
      <c r="J356" s="48"/>
      <c r="K356" s="64"/>
      <c r="L356" s="64"/>
      <c r="M356" s="48"/>
      <c r="N356" s="48"/>
      <c r="O356" s="48"/>
      <c r="P356" s="48"/>
      <c r="Q356" s="48"/>
      <c r="R356" s="48"/>
      <c r="S356" s="60"/>
      <c r="T356" s="48"/>
      <c r="U356" s="48"/>
      <c r="V356" s="48"/>
      <c r="W356" s="48"/>
      <c r="X356" s="48"/>
      <c r="Y356" s="48"/>
      <c r="Z356" s="48"/>
      <c r="AA356" s="48"/>
      <c r="AB356" s="48"/>
      <c r="AC356" s="48"/>
      <c r="AD356" s="48"/>
      <c r="AE356" s="48"/>
      <c r="AF356" s="60"/>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56"/>
      <c r="BJ356" s="56"/>
      <c r="BK356" s="56"/>
      <c r="BL356" s="56"/>
      <c r="BM356" s="56"/>
      <c r="BN356" s="56"/>
      <c r="BO356" s="56"/>
      <c r="BP356" s="56"/>
      <c r="BQ356" s="56"/>
      <c r="BR356" s="56"/>
      <c r="BS356" s="56"/>
      <c r="BT356" s="56"/>
      <c r="BU356" s="56"/>
      <c r="BV356" s="56"/>
      <c r="BW356" s="56"/>
      <c r="BX356" s="56"/>
    </row>
    <row r="357">
      <c r="A357" s="48"/>
      <c r="B357" s="48"/>
      <c r="C357" s="48"/>
      <c r="D357" s="48"/>
      <c r="E357" s="48"/>
      <c r="F357" s="48"/>
      <c r="G357" s="48"/>
      <c r="H357" s="48"/>
      <c r="I357" s="48"/>
      <c r="J357" s="48"/>
      <c r="K357" s="64"/>
      <c r="L357" s="64"/>
      <c r="M357" s="48"/>
      <c r="N357" s="48"/>
      <c r="O357" s="48"/>
      <c r="P357" s="48"/>
      <c r="Q357" s="48"/>
      <c r="R357" s="48"/>
      <c r="S357" s="60"/>
      <c r="T357" s="48"/>
      <c r="U357" s="48"/>
      <c r="V357" s="48"/>
      <c r="W357" s="48"/>
      <c r="X357" s="48"/>
      <c r="Y357" s="48"/>
      <c r="Z357" s="48"/>
      <c r="AA357" s="48"/>
      <c r="AB357" s="48"/>
      <c r="AC357" s="48"/>
      <c r="AD357" s="48"/>
      <c r="AE357" s="48"/>
      <c r="AF357" s="60"/>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56"/>
      <c r="BJ357" s="56"/>
      <c r="BK357" s="56"/>
      <c r="BL357" s="56"/>
      <c r="BM357" s="56"/>
      <c r="BN357" s="56"/>
      <c r="BO357" s="56"/>
      <c r="BP357" s="56"/>
      <c r="BQ357" s="56"/>
      <c r="BR357" s="56"/>
      <c r="BS357" s="56"/>
      <c r="BT357" s="56"/>
      <c r="BU357" s="56"/>
      <c r="BV357" s="56"/>
      <c r="BW357" s="56"/>
      <c r="BX357" s="56"/>
    </row>
    <row r="358">
      <c r="A358" s="48"/>
      <c r="B358" s="48"/>
      <c r="C358" s="48"/>
      <c r="D358" s="48"/>
      <c r="E358" s="48"/>
      <c r="F358" s="48"/>
      <c r="G358" s="48"/>
      <c r="H358" s="48"/>
      <c r="I358" s="48"/>
      <c r="J358" s="48"/>
      <c r="K358" s="64"/>
      <c r="L358" s="64"/>
      <c r="M358" s="48"/>
      <c r="N358" s="48"/>
      <c r="O358" s="48"/>
      <c r="P358" s="48"/>
      <c r="Q358" s="48"/>
      <c r="R358" s="48"/>
      <c r="S358" s="60"/>
      <c r="T358" s="48"/>
      <c r="U358" s="48"/>
      <c r="V358" s="48"/>
      <c r="W358" s="48"/>
      <c r="X358" s="48"/>
      <c r="Y358" s="48"/>
      <c r="Z358" s="48"/>
      <c r="AA358" s="48"/>
      <c r="AB358" s="48"/>
      <c r="AC358" s="48"/>
      <c r="AD358" s="48"/>
      <c r="AE358" s="48"/>
      <c r="AF358" s="60"/>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56"/>
      <c r="BJ358" s="56"/>
      <c r="BK358" s="56"/>
      <c r="BL358" s="56"/>
      <c r="BM358" s="56"/>
      <c r="BN358" s="56"/>
      <c r="BO358" s="56"/>
      <c r="BP358" s="56"/>
      <c r="BQ358" s="56"/>
      <c r="BR358" s="56"/>
      <c r="BS358" s="56"/>
      <c r="BT358" s="56"/>
      <c r="BU358" s="56"/>
      <c r="BV358" s="56"/>
      <c r="BW358" s="56"/>
      <c r="BX358" s="56"/>
    </row>
    <row r="359">
      <c r="A359" s="48"/>
      <c r="B359" s="48"/>
      <c r="C359" s="48"/>
      <c r="D359" s="48"/>
      <c r="E359" s="48"/>
      <c r="F359" s="48"/>
      <c r="G359" s="48"/>
      <c r="H359" s="48"/>
      <c r="I359" s="48"/>
      <c r="J359" s="48"/>
      <c r="K359" s="64"/>
      <c r="L359" s="64"/>
      <c r="M359" s="48"/>
      <c r="N359" s="48"/>
      <c r="O359" s="48"/>
      <c r="P359" s="48"/>
      <c r="Q359" s="48"/>
      <c r="R359" s="48"/>
      <c r="S359" s="60"/>
      <c r="T359" s="48"/>
      <c r="U359" s="48"/>
      <c r="V359" s="48"/>
      <c r="W359" s="48"/>
      <c r="X359" s="48"/>
      <c r="Y359" s="48"/>
      <c r="Z359" s="48"/>
      <c r="AA359" s="48"/>
      <c r="AB359" s="48"/>
      <c r="AC359" s="48"/>
      <c r="AD359" s="48"/>
      <c r="AE359" s="48"/>
      <c r="AF359" s="60"/>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56"/>
      <c r="BJ359" s="56"/>
      <c r="BK359" s="56"/>
      <c r="BL359" s="56"/>
      <c r="BM359" s="56"/>
      <c r="BN359" s="56"/>
      <c r="BO359" s="56"/>
      <c r="BP359" s="56"/>
      <c r="BQ359" s="56"/>
      <c r="BR359" s="56"/>
      <c r="BS359" s="56"/>
      <c r="BT359" s="56"/>
      <c r="BU359" s="56"/>
      <c r="BV359" s="56"/>
      <c r="BW359" s="56"/>
      <c r="BX359" s="56"/>
    </row>
    <row r="360">
      <c r="A360" s="48"/>
      <c r="B360" s="48"/>
      <c r="C360" s="48"/>
      <c r="D360" s="48"/>
      <c r="E360" s="48"/>
      <c r="F360" s="48"/>
      <c r="G360" s="48"/>
      <c r="H360" s="48"/>
      <c r="I360" s="48"/>
      <c r="J360" s="48"/>
      <c r="K360" s="64"/>
      <c r="L360" s="64"/>
      <c r="M360" s="48"/>
      <c r="N360" s="48"/>
      <c r="O360" s="48"/>
      <c r="P360" s="48"/>
      <c r="Q360" s="48"/>
      <c r="R360" s="48"/>
      <c r="S360" s="60"/>
      <c r="T360" s="48"/>
      <c r="U360" s="48"/>
      <c r="V360" s="48"/>
      <c r="W360" s="48"/>
      <c r="X360" s="48"/>
      <c r="Y360" s="48"/>
      <c r="Z360" s="48"/>
      <c r="AA360" s="48"/>
      <c r="AB360" s="48"/>
      <c r="AC360" s="48"/>
      <c r="AD360" s="48"/>
      <c r="AE360" s="48"/>
      <c r="AF360" s="60"/>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56"/>
      <c r="BJ360" s="56"/>
      <c r="BK360" s="56"/>
      <c r="BL360" s="56"/>
      <c r="BM360" s="56"/>
      <c r="BN360" s="56"/>
      <c r="BO360" s="56"/>
      <c r="BP360" s="56"/>
      <c r="BQ360" s="56"/>
      <c r="BR360" s="56"/>
      <c r="BS360" s="56"/>
      <c r="BT360" s="56"/>
      <c r="BU360" s="56"/>
      <c r="BV360" s="56"/>
      <c r="BW360" s="56"/>
      <c r="BX360" s="56"/>
    </row>
    <row r="361">
      <c r="A361" s="48"/>
      <c r="B361" s="48"/>
      <c r="C361" s="48"/>
      <c r="D361" s="48"/>
      <c r="E361" s="48"/>
      <c r="F361" s="48"/>
      <c r="G361" s="48"/>
      <c r="H361" s="48"/>
      <c r="I361" s="48"/>
      <c r="J361" s="48"/>
      <c r="K361" s="64"/>
      <c r="L361" s="64"/>
      <c r="M361" s="48"/>
      <c r="N361" s="48"/>
      <c r="O361" s="48"/>
      <c r="P361" s="48"/>
      <c r="Q361" s="48"/>
      <c r="R361" s="48"/>
      <c r="S361" s="60"/>
      <c r="T361" s="48"/>
      <c r="U361" s="48"/>
      <c r="V361" s="48"/>
      <c r="W361" s="48"/>
      <c r="X361" s="48"/>
      <c r="Y361" s="48"/>
      <c r="Z361" s="48"/>
      <c r="AA361" s="48"/>
      <c r="AB361" s="48"/>
      <c r="AC361" s="48"/>
      <c r="AD361" s="48"/>
      <c r="AE361" s="48"/>
      <c r="AF361" s="60"/>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56"/>
      <c r="BJ361" s="56"/>
      <c r="BK361" s="56"/>
      <c r="BL361" s="56"/>
      <c r="BM361" s="56"/>
      <c r="BN361" s="56"/>
      <c r="BO361" s="56"/>
      <c r="BP361" s="56"/>
      <c r="BQ361" s="56"/>
      <c r="BR361" s="56"/>
      <c r="BS361" s="56"/>
      <c r="BT361" s="56"/>
      <c r="BU361" s="56"/>
      <c r="BV361" s="56"/>
      <c r="BW361" s="56"/>
      <c r="BX361" s="56"/>
    </row>
    <row r="362">
      <c r="A362" s="48"/>
      <c r="B362" s="48"/>
      <c r="C362" s="48"/>
      <c r="D362" s="48"/>
      <c r="E362" s="48"/>
      <c r="F362" s="48"/>
      <c r="G362" s="48"/>
      <c r="H362" s="48"/>
      <c r="I362" s="48"/>
      <c r="J362" s="48"/>
      <c r="K362" s="64"/>
      <c r="L362" s="64"/>
      <c r="M362" s="48"/>
      <c r="N362" s="48"/>
      <c r="O362" s="48"/>
      <c r="P362" s="48"/>
      <c r="Q362" s="48"/>
      <c r="R362" s="48"/>
      <c r="S362" s="60"/>
      <c r="T362" s="48"/>
      <c r="U362" s="48"/>
      <c r="V362" s="48"/>
      <c r="W362" s="48"/>
      <c r="X362" s="48"/>
      <c r="Y362" s="48"/>
      <c r="Z362" s="48"/>
      <c r="AA362" s="48"/>
      <c r="AB362" s="48"/>
      <c r="AC362" s="48"/>
      <c r="AD362" s="48"/>
      <c r="AE362" s="48"/>
      <c r="AF362" s="60"/>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56"/>
      <c r="BJ362" s="56"/>
      <c r="BK362" s="56"/>
      <c r="BL362" s="56"/>
      <c r="BM362" s="56"/>
      <c r="BN362" s="56"/>
      <c r="BO362" s="56"/>
      <c r="BP362" s="56"/>
      <c r="BQ362" s="56"/>
      <c r="BR362" s="56"/>
      <c r="BS362" s="56"/>
      <c r="BT362" s="56"/>
      <c r="BU362" s="56"/>
      <c r="BV362" s="56"/>
      <c r="BW362" s="56"/>
      <c r="BX362" s="56"/>
    </row>
    <row r="363">
      <c r="A363" s="48"/>
      <c r="B363" s="48"/>
      <c r="C363" s="48"/>
      <c r="D363" s="48"/>
      <c r="E363" s="48"/>
      <c r="F363" s="48"/>
      <c r="G363" s="48"/>
      <c r="H363" s="48"/>
      <c r="I363" s="48"/>
      <c r="J363" s="48"/>
      <c r="K363" s="64"/>
      <c r="L363" s="64"/>
      <c r="M363" s="48"/>
      <c r="N363" s="48"/>
      <c r="O363" s="48"/>
      <c r="P363" s="48"/>
      <c r="Q363" s="48"/>
      <c r="R363" s="48"/>
      <c r="S363" s="60"/>
      <c r="T363" s="48"/>
      <c r="U363" s="48"/>
      <c r="V363" s="48"/>
      <c r="W363" s="48"/>
      <c r="X363" s="48"/>
      <c r="Y363" s="48"/>
      <c r="Z363" s="48"/>
      <c r="AA363" s="48"/>
      <c r="AB363" s="48"/>
      <c r="AC363" s="48"/>
      <c r="AD363" s="48"/>
      <c r="AE363" s="48"/>
      <c r="AF363" s="60"/>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56"/>
      <c r="BJ363" s="56"/>
      <c r="BK363" s="56"/>
      <c r="BL363" s="56"/>
      <c r="BM363" s="56"/>
      <c r="BN363" s="56"/>
      <c r="BO363" s="56"/>
      <c r="BP363" s="56"/>
      <c r="BQ363" s="56"/>
      <c r="BR363" s="56"/>
      <c r="BS363" s="56"/>
      <c r="BT363" s="56"/>
      <c r="BU363" s="56"/>
      <c r="BV363" s="56"/>
      <c r="BW363" s="56"/>
      <c r="BX363" s="56"/>
    </row>
    <row r="364">
      <c r="A364" s="48"/>
      <c r="B364" s="48"/>
      <c r="C364" s="48"/>
      <c r="D364" s="48"/>
      <c r="E364" s="48"/>
      <c r="F364" s="48"/>
      <c r="G364" s="48"/>
      <c r="H364" s="48"/>
      <c r="I364" s="48"/>
      <c r="J364" s="48"/>
      <c r="K364" s="64"/>
      <c r="L364" s="64"/>
      <c r="M364" s="48"/>
      <c r="N364" s="48"/>
      <c r="O364" s="48"/>
      <c r="P364" s="48"/>
      <c r="Q364" s="48"/>
      <c r="R364" s="48"/>
      <c r="S364" s="60"/>
      <c r="T364" s="48"/>
      <c r="U364" s="48"/>
      <c r="V364" s="48"/>
      <c r="W364" s="48"/>
      <c r="X364" s="48"/>
      <c r="Y364" s="48"/>
      <c r="Z364" s="48"/>
      <c r="AA364" s="48"/>
      <c r="AB364" s="48"/>
      <c r="AC364" s="48"/>
      <c r="AD364" s="48"/>
      <c r="AE364" s="48"/>
      <c r="AF364" s="60"/>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56"/>
      <c r="BJ364" s="56"/>
      <c r="BK364" s="56"/>
      <c r="BL364" s="56"/>
      <c r="BM364" s="56"/>
      <c r="BN364" s="56"/>
      <c r="BO364" s="56"/>
      <c r="BP364" s="56"/>
      <c r="BQ364" s="56"/>
      <c r="BR364" s="56"/>
      <c r="BS364" s="56"/>
      <c r="BT364" s="56"/>
      <c r="BU364" s="56"/>
      <c r="BV364" s="56"/>
      <c r="BW364" s="56"/>
      <c r="BX364" s="56"/>
    </row>
    <row r="365">
      <c r="A365" s="48"/>
      <c r="B365" s="48"/>
      <c r="C365" s="48"/>
      <c r="D365" s="48"/>
      <c r="E365" s="48"/>
      <c r="F365" s="48"/>
      <c r="G365" s="48"/>
      <c r="H365" s="48"/>
      <c r="I365" s="48"/>
      <c r="J365" s="48"/>
      <c r="K365" s="64"/>
      <c r="L365" s="64"/>
      <c r="M365" s="48"/>
      <c r="N365" s="48"/>
      <c r="O365" s="48"/>
      <c r="P365" s="48"/>
      <c r="Q365" s="48"/>
      <c r="R365" s="48"/>
      <c r="S365" s="60"/>
      <c r="T365" s="48"/>
      <c r="U365" s="48"/>
      <c r="V365" s="48"/>
      <c r="W365" s="48"/>
      <c r="X365" s="48"/>
      <c r="Y365" s="48"/>
      <c r="Z365" s="48"/>
      <c r="AA365" s="48"/>
      <c r="AB365" s="48"/>
      <c r="AC365" s="48"/>
      <c r="AD365" s="48"/>
      <c r="AE365" s="48"/>
      <c r="AF365" s="60"/>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56"/>
      <c r="BJ365" s="56"/>
      <c r="BK365" s="56"/>
      <c r="BL365" s="56"/>
      <c r="BM365" s="56"/>
      <c r="BN365" s="56"/>
      <c r="BO365" s="56"/>
      <c r="BP365" s="56"/>
      <c r="BQ365" s="56"/>
      <c r="BR365" s="56"/>
      <c r="BS365" s="56"/>
      <c r="BT365" s="56"/>
      <c r="BU365" s="56"/>
      <c r="BV365" s="56"/>
      <c r="BW365" s="56"/>
      <c r="BX365" s="56"/>
    </row>
    <row r="366">
      <c r="A366" s="48"/>
      <c r="B366" s="48"/>
      <c r="C366" s="48"/>
      <c r="D366" s="48"/>
      <c r="E366" s="48"/>
      <c r="F366" s="48"/>
      <c r="G366" s="48"/>
      <c r="H366" s="48"/>
      <c r="I366" s="48"/>
      <c r="J366" s="48"/>
      <c r="K366" s="64"/>
      <c r="L366" s="64"/>
      <c r="M366" s="48"/>
      <c r="N366" s="48"/>
      <c r="O366" s="48"/>
      <c r="P366" s="48"/>
      <c r="Q366" s="48"/>
      <c r="R366" s="48"/>
      <c r="S366" s="60"/>
      <c r="T366" s="48"/>
      <c r="U366" s="48"/>
      <c r="V366" s="48"/>
      <c r="W366" s="48"/>
      <c r="X366" s="48"/>
      <c r="Y366" s="48"/>
      <c r="Z366" s="48"/>
      <c r="AA366" s="48"/>
      <c r="AB366" s="48"/>
      <c r="AC366" s="48"/>
      <c r="AD366" s="48"/>
      <c r="AE366" s="48"/>
      <c r="AF366" s="60"/>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56"/>
      <c r="BJ366" s="56"/>
      <c r="BK366" s="56"/>
      <c r="BL366" s="56"/>
      <c r="BM366" s="56"/>
      <c r="BN366" s="56"/>
      <c r="BO366" s="56"/>
      <c r="BP366" s="56"/>
      <c r="BQ366" s="56"/>
      <c r="BR366" s="56"/>
      <c r="BS366" s="56"/>
      <c r="BT366" s="56"/>
      <c r="BU366" s="56"/>
      <c r="BV366" s="56"/>
      <c r="BW366" s="56"/>
      <c r="BX366" s="56"/>
    </row>
    <row r="367">
      <c r="A367" s="48"/>
      <c r="B367" s="48"/>
      <c r="C367" s="48"/>
      <c r="D367" s="48"/>
      <c r="E367" s="48"/>
      <c r="F367" s="48"/>
      <c r="G367" s="48"/>
      <c r="H367" s="48"/>
      <c r="I367" s="48"/>
      <c r="J367" s="48"/>
      <c r="K367" s="64"/>
      <c r="L367" s="64"/>
      <c r="M367" s="48"/>
      <c r="N367" s="48"/>
      <c r="O367" s="48"/>
      <c r="P367" s="48"/>
      <c r="Q367" s="48"/>
      <c r="R367" s="48"/>
      <c r="S367" s="60"/>
      <c r="T367" s="48"/>
      <c r="U367" s="48"/>
      <c r="V367" s="48"/>
      <c r="W367" s="48"/>
      <c r="X367" s="48"/>
      <c r="Y367" s="48"/>
      <c r="Z367" s="48"/>
      <c r="AA367" s="48"/>
      <c r="AB367" s="48"/>
      <c r="AC367" s="48"/>
      <c r="AD367" s="48"/>
      <c r="AE367" s="48"/>
      <c r="AF367" s="60"/>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56"/>
      <c r="BJ367" s="56"/>
      <c r="BK367" s="56"/>
      <c r="BL367" s="56"/>
      <c r="BM367" s="56"/>
      <c r="BN367" s="56"/>
      <c r="BO367" s="56"/>
      <c r="BP367" s="56"/>
      <c r="BQ367" s="56"/>
      <c r="BR367" s="56"/>
      <c r="BS367" s="56"/>
      <c r="BT367" s="56"/>
      <c r="BU367" s="56"/>
      <c r="BV367" s="56"/>
      <c r="BW367" s="56"/>
      <c r="BX367" s="56"/>
    </row>
    <row r="368">
      <c r="A368" s="48"/>
      <c r="B368" s="48"/>
      <c r="C368" s="48"/>
      <c r="D368" s="48"/>
      <c r="E368" s="48"/>
      <c r="F368" s="48"/>
      <c r="G368" s="48"/>
      <c r="H368" s="48"/>
      <c r="I368" s="48"/>
      <c r="J368" s="48"/>
      <c r="K368" s="64"/>
      <c r="L368" s="64"/>
      <c r="M368" s="48"/>
      <c r="N368" s="48"/>
      <c r="O368" s="48"/>
      <c r="P368" s="48"/>
      <c r="Q368" s="48"/>
      <c r="R368" s="48"/>
      <c r="S368" s="60"/>
      <c r="T368" s="48"/>
      <c r="U368" s="48"/>
      <c r="V368" s="48"/>
      <c r="W368" s="48"/>
      <c r="X368" s="48"/>
      <c r="Y368" s="48"/>
      <c r="Z368" s="48"/>
      <c r="AA368" s="48"/>
      <c r="AB368" s="48"/>
      <c r="AC368" s="48"/>
      <c r="AD368" s="48"/>
      <c r="AE368" s="48"/>
      <c r="AF368" s="60"/>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56"/>
      <c r="BJ368" s="56"/>
      <c r="BK368" s="56"/>
      <c r="BL368" s="56"/>
      <c r="BM368" s="56"/>
      <c r="BN368" s="56"/>
      <c r="BO368" s="56"/>
      <c r="BP368" s="56"/>
      <c r="BQ368" s="56"/>
      <c r="BR368" s="56"/>
      <c r="BS368" s="56"/>
      <c r="BT368" s="56"/>
      <c r="BU368" s="56"/>
      <c r="BV368" s="56"/>
      <c r="BW368" s="56"/>
      <c r="BX368" s="56"/>
    </row>
    <row r="369">
      <c r="A369" s="48"/>
      <c r="B369" s="48"/>
      <c r="C369" s="48"/>
      <c r="D369" s="48"/>
      <c r="E369" s="48"/>
      <c r="F369" s="48"/>
      <c r="G369" s="48"/>
      <c r="H369" s="48"/>
      <c r="I369" s="48"/>
      <c r="J369" s="48"/>
      <c r="K369" s="64"/>
      <c r="L369" s="64"/>
      <c r="M369" s="48"/>
      <c r="N369" s="48"/>
      <c r="O369" s="48"/>
      <c r="P369" s="48"/>
      <c r="Q369" s="48"/>
      <c r="R369" s="48"/>
      <c r="S369" s="60"/>
      <c r="T369" s="48"/>
      <c r="U369" s="48"/>
      <c r="V369" s="48"/>
      <c r="W369" s="48"/>
      <c r="X369" s="48"/>
      <c r="Y369" s="48"/>
      <c r="Z369" s="48"/>
      <c r="AA369" s="48"/>
      <c r="AB369" s="48"/>
      <c r="AC369" s="48"/>
      <c r="AD369" s="48"/>
      <c r="AE369" s="48"/>
      <c r="AF369" s="60"/>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56"/>
      <c r="BJ369" s="56"/>
      <c r="BK369" s="56"/>
      <c r="BL369" s="56"/>
      <c r="BM369" s="56"/>
      <c r="BN369" s="56"/>
      <c r="BO369" s="56"/>
      <c r="BP369" s="56"/>
      <c r="BQ369" s="56"/>
      <c r="BR369" s="56"/>
      <c r="BS369" s="56"/>
      <c r="BT369" s="56"/>
      <c r="BU369" s="56"/>
      <c r="BV369" s="56"/>
      <c r="BW369" s="56"/>
      <c r="BX369" s="56"/>
    </row>
    <row r="370">
      <c r="A370" s="48"/>
      <c r="B370" s="48"/>
      <c r="C370" s="48"/>
      <c r="D370" s="48"/>
      <c r="E370" s="48"/>
      <c r="F370" s="48"/>
      <c r="G370" s="48"/>
      <c r="H370" s="48"/>
      <c r="I370" s="48"/>
      <c r="J370" s="48"/>
      <c r="K370" s="64"/>
      <c r="L370" s="64"/>
      <c r="M370" s="48"/>
      <c r="N370" s="48"/>
      <c r="O370" s="48"/>
      <c r="P370" s="48"/>
      <c r="Q370" s="48"/>
      <c r="R370" s="48"/>
      <c r="S370" s="60"/>
      <c r="T370" s="48"/>
      <c r="U370" s="48"/>
      <c r="V370" s="48"/>
      <c r="W370" s="48"/>
      <c r="X370" s="48"/>
      <c r="Y370" s="48"/>
      <c r="Z370" s="48"/>
      <c r="AA370" s="48"/>
      <c r="AB370" s="48"/>
      <c r="AC370" s="48"/>
      <c r="AD370" s="48"/>
      <c r="AE370" s="48"/>
      <c r="AF370" s="60"/>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56"/>
      <c r="BJ370" s="56"/>
      <c r="BK370" s="56"/>
      <c r="BL370" s="56"/>
      <c r="BM370" s="56"/>
      <c r="BN370" s="56"/>
      <c r="BO370" s="56"/>
      <c r="BP370" s="56"/>
      <c r="BQ370" s="56"/>
      <c r="BR370" s="56"/>
      <c r="BS370" s="56"/>
      <c r="BT370" s="56"/>
      <c r="BU370" s="56"/>
      <c r="BV370" s="56"/>
      <c r="BW370" s="56"/>
      <c r="BX370" s="56"/>
    </row>
    <row r="371">
      <c r="A371" s="48"/>
      <c r="B371" s="48"/>
      <c r="C371" s="48"/>
      <c r="D371" s="48"/>
      <c r="E371" s="48"/>
      <c r="F371" s="48"/>
      <c r="G371" s="48"/>
      <c r="H371" s="48"/>
      <c r="I371" s="48"/>
      <c r="J371" s="48"/>
      <c r="K371" s="64"/>
      <c r="L371" s="64"/>
      <c r="M371" s="48"/>
      <c r="N371" s="48"/>
      <c r="O371" s="48"/>
      <c r="P371" s="48"/>
      <c r="Q371" s="48"/>
      <c r="R371" s="48"/>
      <c r="S371" s="60"/>
      <c r="T371" s="48"/>
      <c r="U371" s="48"/>
      <c r="V371" s="48"/>
      <c r="W371" s="48"/>
      <c r="X371" s="48"/>
      <c r="Y371" s="48"/>
      <c r="Z371" s="48"/>
      <c r="AA371" s="48"/>
      <c r="AB371" s="48"/>
      <c r="AC371" s="48"/>
      <c r="AD371" s="48"/>
      <c r="AE371" s="48"/>
      <c r="AF371" s="60"/>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56"/>
      <c r="BJ371" s="56"/>
      <c r="BK371" s="56"/>
      <c r="BL371" s="56"/>
      <c r="BM371" s="56"/>
      <c r="BN371" s="56"/>
      <c r="BO371" s="56"/>
      <c r="BP371" s="56"/>
      <c r="BQ371" s="56"/>
      <c r="BR371" s="56"/>
      <c r="BS371" s="56"/>
      <c r="BT371" s="56"/>
      <c r="BU371" s="56"/>
      <c r="BV371" s="56"/>
      <c r="BW371" s="56"/>
      <c r="BX371" s="56"/>
    </row>
    <row r="372">
      <c r="A372" s="48"/>
      <c r="B372" s="48"/>
      <c r="C372" s="48"/>
      <c r="D372" s="48"/>
      <c r="E372" s="48"/>
      <c r="F372" s="48"/>
      <c r="G372" s="48"/>
      <c r="H372" s="48"/>
      <c r="I372" s="48"/>
      <c r="J372" s="48"/>
      <c r="K372" s="64"/>
      <c r="L372" s="64"/>
      <c r="M372" s="48"/>
      <c r="N372" s="48"/>
      <c r="O372" s="48"/>
      <c r="P372" s="48"/>
      <c r="Q372" s="48"/>
      <c r="R372" s="48"/>
      <c r="S372" s="60"/>
      <c r="T372" s="48"/>
      <c r="U372" s="48"/>
      <c r="V372" s="48"/>
      <c r="W372" s="48"/>
      <c r="X372" s="48"/>
      <c r="Y372" s="48"/>
      <c r="Z372" s="48"/>
      <c r="AA372" s="48"/>
      <c r="AB372" s="48"/>
      <c r="AC372" s="48"/>
      <c r="AD372" s="48"/>
      <c r="AE372" s="48"/>
      <c r="AF372" s="60"/>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56"/>
      <c r="BJ372" s="56"/>
      <c r="BK372" s="56"/>
      <c r="BL372" s="56"/>
      <c r="BM372" s="56"/>
      <c r="BN372" s="56"/>
      <c r="BO372" s="56"/>
      <c r="BP372" s="56"/>
      <c r="BQ372" s="56"/>
      <c r="BR372" s="56"/>
      <c r="BS372" s="56"/>
      <c r="BT372" s="56"/>
      <c r="BU372" s="56"/>
      <c r="BV372" s="56"/>
      <c r="BW372" s="56"/>
      <c r="BX372" s="56"/>
    </row>
    <row r="373">
      <c r="A373" s="48"/>
      <c r="B373" s="48"/>
      <c r="C373" s="48"/>
      <c r="D373" s="48"/>
      <c r="E373" s="48"/>
      <c r="F373" s="48"/>
      <c r="G373" s="48"/>
      <c r="H373" s="48"/>
      <c r="I373" s="48"/>
      <c r="J373" s="48"/>
      <c r="K373" s="64"/>
      <c r="L373" s="64"/>
      <c r="M373" s="48"/>
      <c r="N373" s="48"/>
      <c r="O373" s="48"/>
      <c r="P373" s="48"/>
      <c r="Q373" s="48"/>
      <c r="R373" s="48"/>
      <c r="S373" s="60"/>
      <c r="T373" s="48"/>
      <c r="U373" s="48"/>
      <c r="V373" s="48"/>
      <c r="W373" s="48"/>
      <c r="X373" s="48"/>
      <c r="Y373" s="48"/>
      <c r="Z373" s="48"/>
      <c r="AA373" s="48"/>
      <c r="AB373" s="48"/>
      <c r="AC373" s="48"/>
      <c r="AD373" s="48"/>
      <c r="AE373" s="48"/>
      <c r="AF373" s="60"/>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56"/>
      <c r="BJ373" s="56"/>
      <c r="BK373" s="56"/>
      <c r="BL373" s="56"/>
      <c r="BM373" s="56"/>
      <c r="BN373" s="56"/>
      <c r="BO373" s="56"/>
      <c r="BP373" s="56"/>
      <c r="BQ373" s="56"/>
      <c r="BR373" s="56"/>
      <c r="BS373" s="56"/>
      <c r="BT373" s="56"/>
      <c r="BU373" s="56"/>
      <c r="BV373" s="56"/>
      <c r="BW373" s="56"/>
      <c r="BX373" s="56"/>
    </row>
    <row r="374">
      <c r="A374" s="48"/>
      <c r="B374" s="48"/>
      <c r="C374" s="48"/>
      <c r="D374" s="48"/>
      <c r="E374" s="48"/>
      <c r="F374" s="48"/>
      <c r="G374" s="48"/>
      <c r="H374" s="48"/>
      <c r="I374" s="48"/>
      <c r="J374" s="48"/>
      <c r="K374" s="64"/>
      <c r="L374" s="64"/>
      <c r="M374" s="48"/>
      <c r="N374" s="48"/>
      <c r="O374" s="48"/>
      <c r="P374" s="48"/>
      <c r="Q374" s="48"/>
      <c r="R374" s="48"/>
      <c r="S374" s="60"/>
      <c r="T374" s="48"/>
      <c r="U374" s="48"/>
      <c r="V374" s="48"/>
      <c r="W374" s="48"/>
      <c r="X374" s="48"/>
      <c r="Y374" s="48"/>
      <c r="Z374" s="48"/>
      <c r="AA374" s="48"/>
      <c r="AB374" s="48"/>
      <c r="AC374" s="48"/>
      <c r="AD374" s="48"/>
      <c r="AE374" s="48"/>
      <c r="AF374" s="60"/>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56"/>
      <c r="BJ374" s="56"/>
      <c r="BK374" s="56"/>
      <c r="BL374" s="56"/>
      <c r="BM374" s="56"/>
      <c r="BN374" s="56"/>
      <c r="BO374" s="56"/>
      <c r="BP374" s="56"/>
      <c r="BQ374" s="56"/>
      <c r="BR374" s="56"/>
      <c r="BS374" s="56"/>
      <c r="BT374" s="56"/>
      <c r="BU374" s="56"/>
      <c r="BV374" s="56"/>
      <c r="BW374" s="56"/>
      <c r="BX374" s="56"/>
    </row>
    <row r="375">
      <c r="A375" s="48"/>
      <c r="B375" s="48"/>
      <c r="C375" s="48"/>
      <c r="D375" s="48"/>
      <c r="E375" s="48"/>
      <c r="F375" s="48"/>
      <c r="G375" s="48"/>
      <c r="H375" s="48"/>
      <c r="I375" s="48"/>
      <c r="J375" s="48"/>
      <c r="K375" s="64"/>
      <c r="L375" s="64"/>
      <c r="M375" s="48"/>
      <c r="N375" s="48"/>
      <c r="O375" s="48"/>
      <c r="P375" s="48"/>
      <c r="Q375" s="48"/>
      <c r="R375" s="48"/>
      <c r="S375" s="60"/>
      <c r="T375" s="48"/>
      <c r="U375" s="48"/>
      <c r="V375" s="48"/>
      <c r="W375" s="48"/>
      <c r="X375" s="48"/>
      <c r="Y375" s="48"/>
      <c r="Z375" s="48"/>
      <c r="AA375" s="48"/>
      <c r="AB375" s="48"/>
      <c r="AC375" s="48"/>
      <c r="AD375" s="48"/>
      <c r="AE375" s="48"/>
      <c r="AF375" s="60"/>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56"/>
      <c r="BJ375" s="56"/>
      <c r="BK375" s="56"/>
      <c r="BL375" s="56"/>
      <c r="BM375" s="56"/>
      <c r="BN375" s="56"/>
      <c r="BO375" s="56"/>
      <c r="BP375" s="56"/>
      <c r="BQ375" s="56"/>
      <c r="BR375" s="56"/>
      <c r="BS375" s="56"/>
      <c r="BT375" s="56"/>
      <c r="BU375" s="56"/>
      <c r="BV375" s="56"/>
      <c r="BW375" s="56"/>
      <c r="BX375" s="56"/>
    </row>
    <row r="376">
      <c r="A376" s="48"/>
      <c r="B376" s="48"/>
      <c r="C376" s="48"/>
      <c r="D376" s="48"/>
      <c r="E376" s="48"/>
      <c r="F376" s="48"/>
      <c r="G376" s="48"/>
      <c r="H376" s="48"/>
      <c r="I376" s="48"/>
      <c r="J376" s="48"/>
      <c r="K376" s="64"/>
      <c r="L376" s="64"/>
      <c r="M376" s="48"/>
      <c r="N376" s="48"/>
      <c r="O376" s="48"/>
      <c r="P376" s="48"/>
      <c r="Q376" s="48"/>
      <c r="R376" s="48"/>
      <c r="S376" s="60"/>
      <c r="T376" s="48"/>
      <c r="U376" s="48"/>
      <c r="V376" s="48"/>
      <c r="W376" s="48"/>
      <c r="X376" s="48"/>
      <c r="Y376" s="48"/>
      <c r="Z376" s="48"/>
      <c r="AA376" s="48"/>
      <c r="AB376" s="48"/>
      <c r="AC376" s="48"/>
      <c r="AD376" s="48"/>
      <c r="AE376" s="48"/>
      <c r="AF376" s="60"/>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56"/>
      <c r="BJ376" s="56"/>
      <c r="BK376" s="56"/>
      <c r="BL376" s="56"/>
      <c r="BM376" s="56"/>
      <c r="BN376" s="56"/>
      <c r="BO376" s="56"/>
      <c r="BP376" s="56"/>
      <c r="BQ376" s="56"/>
      <c r="BR376" s="56"/>
      <c r="BS376" s="56"/>
      <c r="BT376" s="56"/>
      <c r="BU376" s="56"/>
      <c r="BV376" s="56"/>
      <c r="BW376" s="56"/>
      <c r="BX376" s="56"/>
    </row>
    <row r="377">
      <c r="A377" s="48"/>
      <c r="B377" s="48"/>
      <c r="C377" s="48"/>
      <c r="D377" s="48"/>
      <c r="E377" s="48"/>
      <c r="F377" s="48"/>
      <c r="G377" s="48"/>
      <c r="H377" s="48"/>
      <c r="I377" s="48"/>
      <c r="J377" s="48"/>
      <c r="K377" s="64"/>
      <c r="L377" s="64"/>
      <c r="M377" s="48"/>
      <c r="N377" s="48"/>
      <c r="O377" s="48"/>
      <c r="P377" s="48"/>
      <c r="Q377" s="48"/>
      <c r="R377" s="48"/>
      <c r="S377" s="60"/>
      <c r="T377" s="48"/>
      <c r="U377" s="48"/>
      <c r="V377" s="48"/>
      <c r="W377" s="48"/>
      <c r="X377" s="48"/>
      <c r="Y377" s="48"/>
      <c r="Z377" s="48"/>
      <c r="AA377" s="48"/>
      <c r="AB377" s="48"/>
      <c r="AC377" s="48"/>
      <c r="AD377" s="48"/>
      <c r="AE377" s="48"/>
      <c r="AF377" s="60"/>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56"/>
      <c r="BJ377" s="56"/>
      <c r="BK377" s="56"/>
      <c r="BL377" s="56"/>
      <c r="BM377" s="56"/>
      <c r="BN377" s="56"/>
      <c r="BO377" s="56"/>
      <c r="BP377" s="56"/>
      <c r="BQ377" s="56"/>
      <c r="BR377" s="56"/>
      <c r="BS377" s="56"/>
      <c r="BT377" s="56"/>
      <c r="BU377" s="56"/>
      <c r="BV377" s="56"/>
      <c r="BW377" s="56"/>
      <c r="BX377" s="56"/>
    </row>
    <row r="378">
      <c r="A378" s="48"/>
      <c r="B378" s="48"/>
      <c r="C378" s="48"/>
      <c r="D378" s="48"/>
      <c r="E378" s="48"/>
      <c r="F378" s="48"/>
      <c r="G378" s="48"/>
      <c r="H378" s="48"/>
      <c r="I378" s="48"/>
      <c r="J378" s="48"/>
      <c r="K378" s="64"/>
      <c r="L378" s="64"/>
      <c r="M378" s="48"/>
      <c r="N378" s="48"/>
      <c r="O378" s="48"/>
      <c r="P378" s="48"/>
      <c r="Q378" s="48"/>
      <c r="R378" s="48"/>
      <c r="S378" s="60"/>
      <c r="T378" s="48"/>
      <c r="U378" s="48"/>
      <c r="V378" s="48"/>
      <c r="W378" s="48"/>
      <c r="X378" s="48"/>
      <c r="Y378" s="48"/>
      <c r="Z378" s="48"/>
      <c r="AA378" s="48"/>
      <c r="AB378" s="48"/>
      <c r="AC378" s="48"/>
      <c r="AD378" s="48"/>
      <c r="AE378" s="48"/>
      <c r="AF378" s="60"/>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56"/>
      <c r="BJ378" s="56"/>
      <c r="BK378" s="56"/>
      <c r="BL378" s="56"/>
      <c r="BM378" s="56"/>
      <c r="BN378" s="56"/>
      <c r="BO378" s="56"/>
      <c r="BP378" s="56"/>
      <c r="BQ378" s="56"/>
      <c r="BR378" s="56"/>
      <c r="BS378" s="56"/>
      <c r="BT378" s="56"/>
      <c r="BU378" s="56"/>
      <c r="BV378" s="56"/>
      <c r="BW378" s="56"/>
      <c r="BX378" s="56"/>
    </row>
    <row r="379">
      <c r="A379" s="48"/>
      <c r="B379" s="48"/>
      <c r="C379" s="48"/>
      <c r="D379" s="48"/>
      <c r="E379" s="48"/>
      <c r="F379" s="48"/>
      <c r="G379" s="48"/>
      <c r="H379" s="48"/>
      <c r="I379" s="48"/>
      <c r="J379" s="48"/>
      <c r="K379" s="64"/>
      <c r="L379" s="64"/>
      <c r="M379" s="48"/>
      <c r="N379" s="48"/>
      <c r="O379" s="48"/>
      <c r="P379" s="48"/>
      <c r="Q379" s="48"/>
      <c r="R379" s="48"/>
      <c r="S379" s="60"/>
      <c r="T379" s="48"/>
      <c r="U379" s="48"/>
      <c r="V379" s="48"/>
      <c r="W379" s="48"/>
      <c r="X379" s="48"/>
      <c r="Y379" s="48"/>
      <c r="Z379" s="48"/>
      <c r="AA379" s="48"/>
      <c r="AB379" s="48"/>
      <c r="AC379" s="48"/>
      <c r="AD379" s="48"/>
      <c r="AE379" s="48"/>
      <c r="AF379" s="60"/>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56"/>
      <c r="BJ379" s="56"/>
      <c r="BK379" s="56"/>
      <c r="BL379" s="56"/>
      <c r="BM379" s="56"/>
      <c r="BN379" s="56"/>
      <c r="BO379" s="56"/>
      <c r="BP379" s="56"/>
      <c r="BQ379" s="56"/>
      <c r="BR379" s="56"/>
      <c r="BS379" s="56"/>
      <c r="BT379" s="56"/>
      <c r="BU379" s="56"/>
      <c r="BV379" s="56"/>
      <c r="BW379" s="56"/>
      <c r="BX379" s="56"/>
    </row>
    <row r="380">
      <c r="A380" s="48"/>
      <c r="B380" s="48"/>
      <c r="C380" s="48"/>
      <c r="D380" s="48"/>
      <c r="E380" s="48"/>
      <c r="F380" s="48"/>
      <c r="G380" s="48"/>
      <c r="H380" s="48"/>
      <c r="I380" s="48"/>
      <c r="J380" s="48"/>
      <c r="K380" s="64"/>
      <c r="L380" s="64"/>
      <c r="M380" s="48"/>
      <c r="N380" s="48"/>
      <c r="O380" s="48"/>
      <c r="P380" s="48"/>
      <c r="Q380" s="48"/>
      <c r="R380" s="48"/>
      <c r="S380" s="60"/>
      <c r="T380" s="48"/>
      <c r="U380" s="48"/>
      <c r="V380" s="48"/>
      <c r="W380" s="48"/>
      <c r="X380" s="48"/>
      <c r="Y380" s="48"/>
      <c r="Z380" s="48"/>
      <c r="AA380" s="48"/>
      <c r="AB380" s="48"/>
      <c r="AC380" s="48"/>
      <c r="AD380" s="48"/>
      <c r="AE380" s="48"/>
      <c r="AF380" s="60"/>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56"/>
      <c r="BJ380" s="56"/>
      <c r="BK380" s="56"/>
      <c r="BL380" s="56"/>
      <c r="BM380" s="56"/>
      <c r="BN380" s="56"/>
      <c r="BO380" s="56"/>
      <c r="BP380" s="56"/>
      <c r="BQ380" s="56"/>
      <c r="BR380" s="56"/>
      <c r="BS380" s="56"/>
      <c r="BT380" s="56"/>
      <c r="BU380" s="56"/>
      <c r="BV380" s="56"/>
      <c r="BW380" s="56"/>
      <c r="BX380" s="56"/>
    </row>
    <row r="381">
      <c r="A381" s="48"/>
      <c r="B381" s="48"/>
      <c r="C381" s="48"/>
      <c r="D381" s="48"/>
      <c r="E381" s="48"/>
      <c r="F381" s="48"/>
      <c r="G381" s="48"/>
      <c r="H381" s="48"/>
      <c r="I381" s="48"/>
      <c r="J381" s="48"/>
      <c r="K381" s="64"/>
      <c r="L381" s="64"/>
      <c r="M381" s="48"/>
      <c r="N381" s="48"/>
      <c r="O381" s="48"/>
      <c r="P381" s="48"/>
      <c r="Q381" s="48"/>
      <c r="R381" s="48"/>
      <c r="S381" s="60"/>
      <c r="T381" s="48"/>
      <c r="U381" s="48"/>
      <c r="V381" s="48"/>
      <c r="W381" s="48"/>
      <c r="X381" s="48"/>
      <c r="Y381" s="48"/>
      <c r="Z381" s="48"/>
      <c r="AA381" s="48"/>
      <c r="AB381" s="48"/>
      <c r="AC381" s="48"/>
      <c r="AD381" s="48"/>
      <c r="AE381" s="48"/>
      <c r="AF381" s="60"/>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56"/>
      <c r="BJ381" s="56"/>
      <c r="BK381" s="56"/>
      <c r="BL381" s="56"/>
      <c r="BM381" s="56"/>
      <c r="BN381" s="56"/>
      <c r="BO381" s="56"/>
      <c r="BP381" s="56"/>
      <c r="BQ381" s="56"/>
      <c r="BR381" s="56"/>
      <c r="BS381" s="56"/>
      <c r="BT381" s="56"/>
      <c r="BU381" s="56"/>
      <c r="BV381" s="56"/>
      <c r="BW381" s="56"/>
      <c r="BX381" s="56"/>
    </row>
    <row r="382">
      <c r="A382" s="48"/>
      <c r="B382" s="48"/>
      <c r="C382" s="48"/>
      <c r="D382" s="48"/>
      <c r="E382" s="48"/>
      <c r="F382" s="48"/>
      <c r="G382" s="48"/>
      <c r="H382" s="48"/>
      <c r="I382" s="48"/>
      <c r="J382" s="48"/>
      <c r="K382" s="64"/>
      <c r="L382" s="64"/>
      <c r="M382" s="48"/>
      <c r="N382" s="48"/>
      <c r="O382" s="48"/>
      <c r="P382" s="48"/>
      <c r="Q382" s="48"/>
      <c r="R382" s="48"/>
      <c r="S382" s="60"/>
      <c r="T382" s="48"/>
      <c r="U382" s="48"/>
      <c r="V382" s="48"/>
      <c r="W382" s="48"/>
      <c r="X382" s="48"/>
      <c r="Y382" s="48"/>
      <c r="Z382" s="48"/>
      <c r="AA382" s="48"/>
      <c r="AB382" s="48"/>
      <c r="AC382" s="48"/>
      <c r="AD382" s="48"/>
      <c r="AE382" s="48"/>
      <c r="AF382" s="60"/>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56"/>
      <c r="BJ382" s="56"/>
      <c r="BK382" s="56"/>
      <c r="BL382" s="56"/>
      <c r="BM382" s="56"/>
      <c r="BN382" s="56"/>
      <c r="BO382" s="56"/>
      <c r="BP382" s="56"/>
      <c r="BQ382" s="56"/>
      <c r="BR382" s="56"/>
      <c r="BS382" s="56"/>
      <c r="BT382" s="56"/>
      <c r="BU382" s="56"/>
      <c r="BV382" s="56"/>
      <c r="BW382" s="56"/>
      <c r="BX382" s="56"/>
    </row>
    <row r="383">
      <c r="A383" s="48"/>
      <c r="B383" s="48"/>
      <c r="C383" s="48"/>
      <c r="D383" s="48"/>
      <c r="E383" s="48"/>
      <c r="F383" s="48"/>
      <c r="G383" s="48"/>
      <c r="H383" s="48"/>
      <c r="I383" s="48"/>
      <c r="J383" s="48"/>
      <c r="K383" s="64"/>
      <c r="L383" s="64"/>
      <c r="M383" s="48"/>
      <c r="N383" s="48"/>
      <c r="O383" s="48"/>
      <c r="P383" s="48"/>
      <c r="Q383" s="48"/>
      <c r="R383" s="48"/>
      <c r="S383" s="60"/>
      <c r="T383" s="48"/>
      <c r="U383" s="48"/>
      <c r="V383" s="48"/>
      <c r="W383" s="48"/>
      <c r="X383" s="48"/>
      <c r="Y383" s="48"/>
      <c r="Z383" s="48"/>
      <c r="AA383" s="48"/>
      <c r="AB383" s="48"/>
      <c r="AC383" s="48"/>
      <c r="AD383" s="48"/>
      <c r="AE383" s="48"/>
      <c r="AF383" s="60"/>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56"/>
      <c r="BJ383" s="56"/>
      <c r="BK383" s="56"/>
      <c r="BL383" s="56"/>
      <c r="BM383" s="56"/>
      <c r="BN383" s="56"/>
      <c r="BO383" s="56"/>
      <c r="BP383" s="56"/>
      <c r="BQ383" s="56"/>
      <c r="BR383" s="56"/>
      <c r="BS383" s="56"/>
      <c r="BT383" s="56"/>
      <c r="BU383" s="56"/>
      <c r="BV383" s="56"/>
      <c r="BW383" s="56"/>
      <c r="BX383" s="56"/>
    </row>
    <row r="384">
      <c r="A384" s="48"/>
      <c r="B384" s="48"/>
      <c r="C384" s="48"/>
      <c r="D384" s="48"/>
      <c r="E384" s="48"/>
      <c r="F384" s="48"/>
      <c r="G384" s="48"/>
      <c r="H384" s="48"/>
      <c r="I384" s="48"/>
      <c r="J384" s="48"/>
      <c r="K384" s="64"/>
      <c r="L384" s="64"/>
      <c r="M384" s="48"/>
      <c r="N384" s="48"/>
      <c r="O384" s="48"/>
      <c r="P384" s="48"/>
      <c r="Q384" s="48"/>
      <c r="R384" s="48"/>
      <c r="S384" s="60"/>
      <c r="T384" s="48"/>
      <c r="U384" s="48"/>
      <c r="V384" s="48"/>
      <c r="W384" s="48"/>
      <c r="X384" s="48"/>
      <c r="Y384" s="48"/>
      <c r="Z384" s="48"/>
      <c r="AA384" s="48"/>
      <c r="AB384" s="48"/>
      <c r="AC384" s="48"/>
      <c r="AD384" s="48"/>
      <c r="AE384" s="48"/>
      <c r="AF384" s="60"/>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56"/>
      <c r="BJ384" s="56"/>
      <c r="BK384" s="56"/>
      <c r="BL384" s="56"/>
      <c r="BM384" s="56"/>
      <c r="BN384" s="56"/>
      <c r="BO384" s="56"/>
      <c r="BP384" s="56"/>
      <c r="BQ384" s="56"/>
      <c r="BR384" s="56"/>
      <c r="BS384" s="56"/>
      <c r="BT384" s="56"/>
      <c r="BU384" s="56"/>
      <c r="BV384" s="56"/>
      <c r="BW384" s="56"/>
      <c r="BX384" s="56"/>
    </row>
    <row r="385">
      <c r="A385" s="48"/>
      <c r="B385" s="48"/>
      <c r="C385" s="48"/>
      <c r="D385" s="48"/>
      <c r="E385" s="48"/>
      <c r="F385" s="48"/>
      <c r="G385" s="48"/>
      <c r="H385" s="48"/>
      <c r="I385" s="48"/>
      <c r="J385" s="48"/>
      <c r="K385" s="64"/>
      <c r="L385" s="64"/>
      <c r="M385" s="48"/>
      <c r="N385" s="48"/>
      <c r="O385" s="48"/>
      <c r="P385" s="48"/>
      <c r="Q385" s="48"/>
      <c r="R385" s="48"/>
      <c r="S385" s="60"/>
      <c r="T385" s="48"/>
      <c r="U385" s="48"/>
      <c r="V385" s="48"/>
      <c r="W385" s="48"/>
      <c r="X385" s="48"/>
      <c r="Y385" s="48"/>
      <c r="Z385" s="48"/>
      <c r="AA385" s="48"/>
      <c r="AB385" s="48"/>
      <c r="AC385" s="48"/>
      <c r="AD385" s="48"/>
      <c r="AE385" s="48"/>
      <c r="AF385" s="60"/>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56"/>
      <c r="BJ385" s="56"/>
      <c r="BK385" s="56"/>
      <c r="BL385" s="56"/>
      <c r="BM385" s="56"/>
      <c r="BN385" s="56"/>
      <c r="BO385" s="56"/>
      <c r="BP385" s="56"/>
      <c r="BQ385" s="56"/>
      <c r="BR385" s="56"/>
      <c r="BS385" s="56"/>
      <c r="BT385" s="56"/>
      <c r="BU385" s="56"/>
      <c r="BV385" s="56"/>
      <c r="BW385" s="56"/>
      <c r="BX385" s="56"/>
    </row>
    <row r="386">
      <c r="A386" s="48"/>
      <c r="B386" s="48"/>
      <c r="C386" s="48"/>
      <c r="D386" s="48"/>
      <c r="E386" s="48"/>
      <c r="F386" s="48"/>
      <c r="G386" s="48"/>
      <c r="H386" s="48"/>
      <c r="I386" s="48"/>
      <c r="J386" s="48"/>
      <c r="K386" s="64"/>
      <c r="L386" s="64"/>
      <c r="M386" s="48"/>
      <c r="N386" s="48"/>
      <c r="O386" s="48"/>
      <c r="P386" s="48"/>
      <c r="Q386" s="48"/>
      <c r="R386" s="48"/>
      <c r="S386" s="60"/>
      <c r="T386" s="48"/>
      <c r="U386" s="48"/>
      <c r="V386" s="48"/>
      <c r="W386" s="48"/>
      <c r="X386" s="48"/>
      <c r="Y386" s="48"/>
      <c r="Z386" s="48"/>
      <c r="AA386" s="48"/>
      <c r="AB386" s="48"/>
      <c r="AC386" s="48"/>
      <c r="AD386" s="48"/>
      <c r="AE386" s="48"/>
      <c r="AF386" s="60"/>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56"/>
      <c r="BJ386" s="56"/>
      <c r="BK386" s="56"/>
      <c r="BL386" s="56"/>
      <c r="BM386" s="56"/>
      <c r="BN386" s="56"/>
      <c r="BO386" s="56"/>
      <c r="BP386" s="56"/>
      <c r="BQ386" s="56"/>
      <c r="BR386" s="56"/>
      <c r="BS386" s="56"/>
      <c r="BT386" s="56"/>
      <c r="BU386" s="56"/>
      <c r="BV386" s="56"/>
      <c r="BW386" s="56"/>
      <c r="BX386" s="56"/>
    </row>
    <row r="387">
      <c r="A387" s="48"/>
      <c r="B387" s="48"/>
      <c r="C387" s="48"/>
      <c r="D387" s="48"/>
      <c r="E387" s="48"/>
      <c r="F387" s="48"/>
      <c r="G387" s="48"/>
      <c r="H387" s="48"/>
      <c r="I387" s="48"/>
      <c r="J387" s="48"/>
      <c r="K387" s="64"/>
      <c r="L387" s="64"/>
      <c r="M387" s="48"/>
      <c r="N387" s="48"/>
      <c r="O387" s="48"/>
      <c r="P387" s="48"/>
      <c r="Q387" s="48"/>
      <c r="R387" s="48"/>
      <c r="S387" s="60"/>
      <c r="T387" s="48"/>
      <c r="U387" s="48"/>
      <c r="V387" s="48"/>
      <c r="W387" s="48"/>
      <c r="X387" s="48"/>
      <c r="Y387" s="48"/>
      <c r="Z387" s="48"/>
      <c r="AA387" s="48"/>
      <c r="AB387" s="48"/>
      <c r="AC387" s="48"/>
      <c r="AD387" s="48"/>
      <c r="AE387" s="48"/>
      <c r="AF387" s="60"/>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56"/>
      <c r="BJ387" s="56"/>
      <c r="BK387" s="56"/>
      <c r="BL387" s="56"/>
      <c r="BM387" s="56"/>
      <c r="BN387" s="56"/>
      <c r="BO387" s="56"/>
      <c r="BP387" s="56"/>
      <c r="BQ387" s="56"/>
      <c r="BR387" s="56"/>
      <c r="BS387" s="56"/>
      <c r="BT387" s="56"/>
      <c r="BU387" s="56"/>
      <c r="BV387" s="56"/>
      <c r="BW387" s="56"/>
      <c r="BX387" s="56"/>
    </row>
    <row r="388">
      <c r="A388" s="48"/>
      <c r="B388" s="48"/>
      <c r="C388" s="48"/>
      <c r="D388" s="48"/>
      <c r="E388" s="48"/>
      <c r="F388" s="48"/>
      <c r="G388" s="48"/>
      <c r="H388" s="48"/>
      <c r="I388" s="48"/>
      <c r="J388" s="48"/>
      <c r="K388" s="64"/>
      <c r="L388" s="64"/>
      <c r="M388" s="48"/>
      <c r="N388" s="48"/>
      <c r="O388" s="48"/>
      <c r="P388" s="48"/>
      <c r="Q388" s="48"/>
      <c r="R388" s="48"/>
      <c r="S388" s="60"/>
      <c r="T388" s="48"/>
      <c r="U388" s="48"/>
      <c r="V388" s="48"/>
      <c r="W388" s="48"/>
      <c r="X388" s="48"/>
      <c r="Y388" s="48"/>
      <c r="Z388" s="48"/>
      <c r="AA388" s="48"/>
      <c r="AB388" s="48"/>
      <c r="AC388" s="48"/>
      <c r="AD388" s="48"/>
      <c r="AE388" s="48"/>
      <c r="AF388" s="60"/>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56"/>
      <c r="BJ388" s="56"/>
      <c r="BK388" s="56"/>
      <c r="BL388" s="56"/>
      <c r="BM388" s="56"/>
      <c r="BN388" s="56"/>
      <c r="BO388" s="56"/>
      <c r="BP388" s="56"/>
      <c r="BQ388" s="56"/>
      <c r="BR388" s="56"/>
      <c r="BS388" s="56"/>
      <c r="BT388" s="56"/>
      <c r="BU388" s="56"/>
      <c r="BV388" s="56"/>
      <c r="BW388" s="56"/>
      <c r="BX388" s="56"/>
    </row>
    <row r="389">
      <c r="A389" s="48"/>
      <c r="B389" s="48"/>
      <c r="C389" s="48"/>
      <c r="D389" s="48"/>
      <c r="E389" s="48"/>
      <c r="F389" s="48"/>
      <c r="G389" s="48"/>
      <c r="H389" s="48"/>
      <c r="I389" s="48"/>
      <c r="J389" s="48"/>
      <c r="K389" s="64"/>
      <c r="L389" s="64"/>
      <c r="M389" s="48"/>
      <c r="N389" s="48"/>
      <c r="O389" s="48"/>
      <c r="P389" s="48"/>
      <c r="Q389" s="48"/>
      <c r="R389" s="48"/>
      <c r="S389" s="60"/>
      <c r="T389" s="48"/>
      <c r="U389" s="48"/>
      <c r="V389" s="48"/>
      <c r="W389" s="48"/>
      <c r="X389" s="48"/>
      <c r="Y389" s="48"/>
      <c r="Z389" s="48"/>
      <c r="AA389" s="48"/>
      <c r="AB389" s="48"/>
      <c r="AC389" s="48"/>
      <c r="AD389" s="48"/>
      <c r="AE389" s="48"/>
      <c r="AF389" s="60"/>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56"/>
      <c r="BJ389" s="56"/>
      <c r="BK389" s="56"/>
      <c r="BL389" s="56"/>
      <c r="BM389" s="56"/>
      <c r="BN389" s="56"/>
      <c r="BO389" s="56"/>
      <c r="BP389" s="56"/>
      <c r="BQ389" s="56"/>
      <c r="BR389" s="56"/>
      <c r="BS389" s="56"/>
      <c r="BT389" s="56"/>
      <c r="BU389" s="56"/>
      <c r="BV389" s="56"/>
      <c r="BW389" s="56"/>
      <c r="BX389" s="56"/>
    </row>
    <row r="390">
      <c r="A390" s="48"/>
      <c r="B390" s="48"/>
      <c r="C390" s="48"/>
      <c r="D390" s="48"/>
      <c r="E390" s="48"/>
      <c r="F390" s="48"/>
      <c r="G390" s="48"/>
      <c r="H390" s="48"/>
      <c r="I390" s="48"/>
      <c r="J390" s="48"/>
      <c r="K390" s="64"/>
      <c r="L390" s="64"/>
      <c r="M390" s="48"/>
      <c r="N390" s="48"/>
      <c r="O390" s="48"/>
      <c r="P390" s="48"/>
      <c r="Q390" s="48"/>
      <c r="R390" s="48"/>
      <c r="S390" s="60"/>
      <c r="T390" s="48"/>
      <c r="U390" s="48"/>
      <c r="V390" s="48"/>
      <c r="W390" s="48"/>
      <c r="X390" s="48"/>
      <c r="Y390" s="48"/>
      <c r="Z390" s="48"/>
      <c r="AA390" s="48"/>
      <c r="AB390" s="48"/>
      <c r="AC390" s="48"/>
      <c r="AD390" s="48"/>
      <c r="AE390" s="48"/>
      <c r="AF390" s="60"/>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56"/>
      <c r="BJ390" s="56"/>
      <c r="BK390" s="56"/>
      <c r="BL390" s="56"/>
      <c r="BM390" s="56"/>
      <c r="BN390" s="56"/>
      <c r="BO390" s="56"/>
      <c r="BP390" s="56"/>
      <c r="BQ390" s="56"/>
      <c r="BR390" s="56"/>
      <c r="BS390" s="56"/>
      <c r="BT390" s="56"/>
      <c r="BU390" s="56"/>
      <c r="BV390" s="56"/>
      <c r="BW390" s="56"/>
      <c r="BX390" s="56"/>
    </row>
    <row r="391">
      <c r="A391" s="48"/>
      <c r="B391" s="48"/>
      <c r="C391" s="48"/>
      <c r="D391" s="48"/>
      <c r="E391" s="48"/>
      <c r="F391" s="48"/>
      <c r="G391" s="48"/>
      <c r="H391" s="48"/>
      <c r="I391" s="48"/>
      <c r="J391" s="48"/>
      <c r="K391" s="64"/>
      <c r="L391" s="64"/>
      <c r="M391" s="48"/>
      <c r="N391" s="48"/>
      <c r="O391" s="48"/>
      <c r="P391" s="48"/>
      <c r="Q391" s="48"/>
      <c r="R391" s="48"/>
      <c r="S391" s="60"/>
      <c r="T391" s="48"/>
      <c r="U391" s="48"/>
      <c r="V391" s="48"/>
      <c r="W391" s="48"/>
      <c r="X391" s="48"/>
      <c r="Y391" s="48"/>
      <c r="Z391" s="48"/>
      <c r="AA391" s="48"/>
      <c r="AB391" s="48"/>
      <c r="AC391" s="48"/>
      <c r="AD391" s="48"/>
      <c r="AE391" s="48"/>
      <c r="AF391" s="60"/>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56"/>
      <c r="BJ391" s="56"/>
      <c r="BK391" s="56"/>
      <c r="BL391" s="56"/>
      <c r="BM391" s="56"/>
      <c r="BN391" s="56"/>
      <c r="BO391" s="56"/>
      <c r="BP391" s="56"/>
      <c r="BQ391" s="56"/>
      <c r="BR391" s="56"/>
      <c r="BS391" s="56"/>
      <c r="BT391" s="56"/>
      <c r="BU391" s="56"/>
      <c r="BV391" s="56"/>
      <c r="BW391" s="56"/>
      <c r="BX391" s="56"/>
    </row>
    <row r="392">
      <c r="A392" s="48"/>
      <c r="B392" s="48"/>
      <c r="C392" s="48"/>
      <c r="D392" s="48"/>
      <c r="E392" s="48"/>
      <c r="F392" s="48"/>
      <c r="G392" s="48"/>
      <c r="H392" s="48"/>
      <c r="I392" s="48"/>
      <c r="J392" s="48"/>
      <c r="K392" s="64"/>
      <c r="L392" s="64"/>
      <c r="M392" s="48"/>
      <c r="N392" s="48"/>
      <c r="O392" s="48"/>
      <c r="P392" s="48"/>
      <c r="Q392" s="48"/>
      <c r="R392" s="48"/>
      <c r="S392" s="60"/>
      <c r="T392" s="48"/>
      <c r="U392" s="48"/>
      <c r="V392" s="48"/>
      <c r="W392" s="48"/>
      <c r="X392" s="48"/>
      <c r="Y392" s="48"/>
      <c r="Z392" s="48"/>
      <c r="AA392" s="48"/>
      <c r="AB392" s="48"/>
      <c r="AC392" s="48"/>
      <c r="AD392" s="48"/>
      <c r="AE392" s="48"/>
      <c r="AF392" s="60"/>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56"/>
      <c r="BJ392" s="56"/>
      <c r="BK392" s="56"/>
      <c r="BL392" s="56"/>
      <c r="BM392" s="56"/>
      <c r="BN392" s="56"/>
      <c r="BO392" s="56"/>
      <c r="BP392" s="56"/>
      <c r="BQ392" s="56"/>
      <c r="BR392" s="56"/>
      <c r="BS392" s="56"/>
      <c r="BT392" s="56"/>
      <c r="BU392" s="56"/>
      <c r="BV392" s="56"/>
      <c r="BW392" s="56"/>
      <c r="BX392" s="56"/>
    </row>
    <row r="393">
      <c r="A393" s="48"/>
      <c r="B393" s="48"/>
      <c r="C393" s="48"/>
      <c r="D393" s="48"/>
      <c r="E393" s="48"/>
      <c r="F393" s="48"/>
      <c r="G393" s="48"/>
      <c r="H393" s="48"/>
      <c r="I393" s="48"/>
      <c r="J393" s="48"/>
      <c r="K393" s="64"/>
      <c r="L393" s="64"/>
      <c r="M393" s="48"/>
      <c r="N393" s="48"/>
      <c r="O393" s="48"/>
      <c r="P393" s="48"/>
      <c r="Q393" s="48"/>
      <c r="R393" s="48"/>
      <c r="S393" s="60"/>
      <c r="T393" s="48"/>
      <c r="U393" s="48"/>
      <c r="V393" s="48"/>
      <c r="W393" s="48"/>
      <c r="X393" s="48"/>
      <c r="Y393" s="48"/>
      <c r="Z393" s="48"/>
      <c r="AA393" s="48"/>
      <c r="AB393" s="48"/>
      <c r="AC393" s="48"/>
      <c r="AD393" s="48"/>
      <c r="AE393" s="48"/>
      <c r="AF393" s="60"/>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56"/>
      <c r="BJ393" s="56"/>
      <c r="BK393" s="56"/>
      <c r="BL393" s="56"/>
      <c r="BM393" s="56"/>
      <c r="BN393" s="56"/>
      <c r="BO393" s="56"/>
      <c r="BP393" s="56"/>
      <c r="BQ393" s="56"/>
      <c r="BR393" s="56"/>
      <c r="BS393" s="56"/>
      <c r="BT393" s="56"/>
      <c r="BU393" s="56"/>
      <c r="BV393" s="56"/>
      <c r="BW393" s="56"/>
      <c r="BX393" s="56"/>
    </row>
    <row r="394">
      <c r="A394" s="48"/>
      <c r="B394" s="48"/>
      <c r="C394" s="48"/>
      <c r="D394" s="48"/>
      <c r="E394" s="48"/>
      <c r="F394" s="48"/>
      <c r="G394" s="48"/>
      <c r="H394" s="48"/>
      <c r="I394" s="48"/>
      <c r="J394" s="48"/>
      <c r="K394" s="64"/>
      <c r="L394" s="64"/>
      <c r="M394" s="48"/>
      <c r="N394" s="48"/>
      <c r="O394" s="48"/>
      <c r="P394" s="48"/>
      <c r="Q394" s="48"/>
      <c r="R394" s="48"/>
      <c r="S394" s="60"/>
      <c r="T394" s="48"/>
      <c r="U394" s="48"/>
      <c r="V394" s="48"/>
      <c r="W394" s="48"/>
      <c r="X394" s="48"/>
      <c r="Y394" s="48"/>
      <c r="Z394" s="48"/>
      <c r="AA394" s="48"/>
      <c r="AB394" s="48"/>
      <c r="AC394" s="48"/>
      <c r="AD394" s="48"/>
      <c r="AE394" s="48"/>
      <c r="AF394" s="60"/>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56"/>
      <c r="BJ394" s="56"/>
      <c r="BK394" s="56"/>
      <c r="BL394" s="56"/>
      <c r="BM394" s="56"/>
      <c r="BN394" s="56"/>
      <c r="BO394" s="56"/>
      <c r="BP394" s="56"/>
      <c r="BQ394" s="56"/>
      <c r="BR394" s="56"/>
      <c r="BS394" s="56"/>
      <c r="BT394" s="56"/>
      <c r="BU394" s="56"/>
      <c r="BV394" s="56"/>
      <c r="BW394" s="56"/>
      <c r="BX394" s="56"/>
    </row>
    <row r="395">
      <c r="A395" s="48"/>
      <c r="B395" s="48"/>
      <c r="C395" s="48"/>
      <c r="D395" s="48"/>
      <c r="E395" s="48"/>
      <c r="F395" s="48"/>
      <c r="G395" s="48"/>
      <c r="H395" s="48"/>
      <c r="I395" s="48"/>
      <c r="J395" s="48"/>
      <c r="K395" s="64"/>
      <c r="L395" s="64"/>
      <c r="M395" s="48"/>
      <c r="N395" s="48"/>
      <c r="O395" s="48"/>
      <c r="P395" s="48"/>
      <c r="Q395" s="48"/>
      <c r="R395" s="48"/>
      <c r="S395" s="60"/>
      <c r="T395" s="48"/>
      <c r="U395" s="48"/>
      <c r="V395" s="48"/>
      <c r="W395" s="48"/>
      <c r="X395" s="48"/>
      <c r="Y395" s="48"/>
      <c r="Z395" s="48"/>
      <c r="AA395" s="48"/>
      <c r="AB395" s="48"/>
      <c r="AC395" s="48"/>
      <c r="AD395" s="48"/>
      <c r="AE395" s="48"/>
      <c r="AF395" s="60"/>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56"/>
      <c r="BJ395" s="56"/>
      <c r="BK395" s="56"/>
      <c r="BL395" s="56"/>
      <c r="BM395" s="56"/>
      <c r="BN395" s="56"/>
      <c r="BO395" s="56"/>
      <c r="BP395" s="56"/>
      <c r="BQ395" s="56"/>
      <c r="BR395" s="56"/>
      <c r="BS395" s="56"/>
      <c r="BT395" s="56"/>
      <c r="BU395" s="56"/>
      <c r="BV395" s="56"/>
      <c r="BW395" s="56"/>
      <c r="BX395" s="56"/>
    </row>
    <row r="396">
      <c r="A396" s="48"/>
      <c r="B396" s="48"/>
      <c r="C396" s="48"/>
      <c r="D396" s="48"/>
      <c r="E396" s="48"/>
      <c r="F396" s="48"/>
      <c r="G396" s="48"/>
      <c r="H396" s="48"/>
      <c r="I396" s="48"/>
      <c r="J396" s="48"/>
      <c r="K396" s="64"/>
      <c r="L396" s="64"/>
      <c r="M396" s="48"/>
      <c r="N396" s="48"/>
      <c r="O396" s="48"/>
      <c r="P396" s="48"/>
      <c r="Q396" s="48"/>
      <c r="R396" s="48"/>
      <c r="S396" s="60"/>
      <c r="T396" s="48"/>
      <c r="U396" s="48"/>
      <c r="V396" s="48"/>
      <c r="W396" s="48"/>
      <c r="X396" s="48"/>
      <c r="Y396" s="48"/>
      <c r="Z396" s="48"/>
      <c r="AA396" s="48"/>
      <c r="AB396" s="48"/>
      <c r="AC396" s="48"/>
      <c r="AD396" s="48"/>
      <c r="AE396" s="48"/>
      <c r="AF396" s="60"/>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56"/>
      <c r="BJ396" s="56"/>
      <c r="BK396" s="56"/>
      <c r="BL396" s="56"/>
      <c r="BM396" s="56"/>
      <c r="BN396" s="56"/>
      <c r="BO396" s="56"/>
      <c r="BP396" s="56"/>
      <c r="BQ396" s="56"/>
      <c r="BR396" s="56"/>
      <c r="BS396" s="56"/>
      <c r="BT396" s="56"/>
      <c r="BU396" s="56"/>
      <c r="BV396" s="56"/>
      <c r="BW396" s="56"/>
      <c r="BX396" s="56"/>
    </row>
    <row r="397">
      <c r="A397" s="48"/>
      <c r="B397" s="48"/>
      <c r="C397" s="48"/>
      <c r="D397" s="48"/>
      <c r="E397" s="48"/>
      <c r="F397" s="48"/>
      <c r="G397" s="48"/>
      <c r="H397" s="48"/>
      <c r="I397" s="48"/>
      <c r="J397" s="48"/>
      <c r="K397" s="64"/>
      <c r="L397" s="64"/>
      <c r="M397" s="48"/>
      <c r="N397" s="48"/>
      <c r="O397" s="48"/>
      <c r="P397" s="48"/>
      <c r="Q397" s="48"/>
      <c r="R397" s="48"/>
      <c r="S397" s="60"/>
      <c r="T397" s="48"/>
      <c r="U397" s="48"/>
      <c r="V397" s="48"/>
      <c r="W397" s="48"/>
      <c r="X397" s="48"/>
      <c r="Y397" s="48"/>
      <c r="Z397" s="48"/>
      <c r="AA397" s="48"/>
      <c r="AB397" s="48"/>
      <c r="AC397" s="48"/>
      <c r="AD397" s="48"/>
      <c r="AE397" s="48"/>
      <c r="AF397" s="60"/>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56"/>
      <c r="BJ397" s="56"/>
      <c r="BK397" s="56"/>
      <c r="BL397" s="56"/>
      <c r="BM397" s="56"/>
      <c r="BN397" s="56"/>
      <c r="BO397" s="56"/>
      <c r="BP397" s="56"/>
      <c r="BQ397" s="56"/>
      <c r="BR397" s="56"/>
      <c r="BS397" s="56"/>
      <c r="BT397" s="56"/>
      <c r="BU397" s="56"/>
      <c r="BV397" s="56"/>
      <c r="BW397" s="56"/>
      <c r="BX397" s="56"/>
    </row>
    <row r="398">
      <c r="A398" s="48"/>
      <c r="B398" s="48"/>
      <c r="C398" s="48"/>
      <c r="D398" s="48"/>
      <c r="E398" s="48"/>
      <c r="F398" s="48"/>
      <c r="G398" s="48"/>
      <c r="H398" s="48"/>
      <c r="I398" s="48"/>
      <c r="J398" s="48"/>
      <c r="K398" s="64"/>
      <c r="L398" s="64"/>
      <c r="M398" s="48"/>
      <c r="N398" s="48"/>
      <c r="O398" s="48"/>
      <c r="P398" s="48"/>
      <c r="Q398" s="48"/>
      <c r="R398" s="48"/>
      <c r="S398" s="60"/>
      <c r="T398" s="48"/>
      <c r="U398" s="48"/>
      <c r="V398" s="48"/>
      <c r="W398" s="48"/>
      <c r="X398" s="48"/>
      <c r="Y398" s="48"/>
      <c r="Z398" s="48"/>
      <c r="AA398" s="48"/>
      <c r="AB398" s="48"/>
      <c r="AC398" s="48"/>
      <c r="AD398" s="48"/>
      <c r="AE398" s="48"/>
      <c r="AF398" s="60"/>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56"/>
      <c r="BJ398" s="56"/>
      <c r="BK398" s="56"/>
      <c r="BL398" s="56"/>
      <c r="BM398" s="56"/>
      <c r="BN398" s="56"/>
      <c r="BO398" s="56"/>
      <c r="BP398" s="56"/>
      <c r="BQ398" s="56"/>
      <c r="BR398" s="56"/>
      <c r="BS398" s="56"/>
      <c r="BT398" s="56"/>
      <c r="BU398" s="56"/>
      <c r="BV398" s="56"/>
      <c r="BW398" s="56"/>
      <c r="BX398" s="56"/>
    </row>
    <row r="399">
      <c r="A399" s="48"/>
      <c r="B399" s="48"/>
      <c r="C399" s="48"/>
      <c r="D399" s="48"/>
      <c r="E399" s="48"/>
      <c r="F399" s="48"/>
      <c r="G399" s="48"/>
      <c r="H399" s="48"/>
      <c r="I399" s="48"/>
      <c r="J399" s="48"/>
      <c r="K399" s="64"/>
      <c r="L399" s="64"/>
      <c r="M399" s="48"/>
      <c r="N399" s="48"/>
      <c r="O399" s="48"/>
      <c r="P399" s="48"/>
      <c r="Q399" s="48"/>
      <c r="R399" s="48"/>
      <c r="S399" s="60"/>
      <c r="T399" s="48"/>
      <c r="U399" s="48"/>
      <c r="V399" s="48"/>
      <c r="W399" s="48"/>
      <c r="X399" s="48"/>
      <c r="Y399" s="48"/>
      <c r="Z399" s="48"/>
      <c r="AA399" s="48"/>
      <c r="AB399" s="48"/>
      <c r="AC399" s="48"/>
      <c r="AD399" s="48"/>
      <c r="AE399" s="48"/>
      <c r="AF399" s="60"/>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56"/>
      <c r="BJ399" s="56"/>
      <c r="BK399" s="56"/>
      <c r="BL399" s="56"/>
      <c r="BM399" s="56"/>
      <c r="BN399" s="56"/>
      <c r="BO399" s="56"/>
      <c r="BP399" s="56"/>
      <c r="BQ399" s="56"/>
      <c r="BR399" s="56"/>
      <c r="BS399" s="56"/>
      <c r="BT399" s="56"/>
      <c r="BU399" s="56"/>
      <c r="BV399" s="56"/>
      <c r="BW399" s="56"/>
      <c r="BX399" s="56"/>
    </row>
    <row r="400">
      <c r="A400" s="48"/>
      <c r="B400" s="48"/>
      <c r="C400" s="48"/>
      <c r="D400" s="48"/>
      <c r="E400" s="48"/>
      <c r="F400" s="48"/>
      <c r="G400" s="48"/>
      <c r="H400" s="48"/>
      <c r="I400" s="48"/>
      <c r="J400" s="48"/>
      <c r="K400" s="64"/>
      <c r="L400" s="64"/>
      <c r="M400" s="48"/>
      <c r="N400" s="48"/>
      <c r="O400" s="48"/>
      <c r="P400" s="48"/>
      <c r="Q400" s="48"/>
      <c r="R400" s="48"/>
      <c r="S400" s="60"/>
      <c r="T400" s="48"/>
      <c r="U400" s="48"/>
      <c r="V400" s="48"/>
      <c r="W400" s="48"/>
      <c r="X400" s="48"/>
      <c r="Y400" s="48"/>
      <c r="Z400" s="48"/>
      <c r="AA400" s="48"/>
      <c r="AB400" s="48"/>
      <c r="AC400" s="48"/>
      <c r="AD400" s="48"/>
      <c r="AE400" s="48"/>
      <c r="AF400" s="60"/>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56"/>
      <c r="BJ400" s="56"/>
      <c r="BK400" s="56"/>
      <c r="BL400" s="56"/>
      <c r="BM400" s="56"/>
      <c r="BN400" s="56"/>
      <c r="BO400" s="56"/>
      <c r="BP400" s="56"/>
      <c r="BQ400" s="56"/>
      <c r="BR400" s="56"/>
      <c r="BS400" s="56"/>
      <c r="BT400" s="56"/>
      <c r="BU400" s="56"/>
      <c r="BV400" s="56"/>
      <c r="BW400" s="56"/>
      <c r="BX400" s="56"/>
    </row>
    <row r="401">
      <c r="A401" s="48"/>
      <c r="B401" s="48"/>
      <c r="C401" s="48"/>
      <c r="D401" s="48"/>
      <c r="E401" s="48"/>
      <c r="F401" s="48"/>
      <c r="G401" s="48"/>
      <c r="H401" s="48"/>
      <c r="I401" s="48"/>
      <c r="J401" s="48"/>
      <c r="K401" s="64"/>
      <c r="L401" s="64"/>
      <c r="M401" s="48"/>
      <c r="N401" s="48"/>
      <c r="O401" s="48"/>
      <c r="P401" s="48"/>
      <c r="Q401" s="48"/>
      <c r="R401" s="48"/>
      <c r="S401" s="60"/>
      <c r="T401" s="48"/>
      <c r="U401" s="48"/>
      <c r="V401" s="48"/>
      <c r="W401" s="48"/>
      <c r="X401" s="48"/>
      <c r="Y401" s="48"/>
      <c r="Z401" s="48"/>
      <c r="AA401" s="48"/>
      <c r="AB401" s="48"/>
      <c r="AC401" s="48"/>
      <c r="AD401" s="48"/>
      <c r="AE401" s="48"/>
      <c r="AF401" s="60"/>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56"/>
      <c r="BJ401" s="56"/>
      <c r="BK401" s="56"/>
      <c r="BL401" s="56"/>
      <c r="BM401" s="56"/>
      <c r="BN401" s="56"/>
      <c r="BO401" s="56"/>
      <c r="BP401" s="56"/>
      <c r="BQ401" s="56"/>
      <c r="BR401" s="56"/>
      <c r="BS401" s="56"/>
      <c r="BT401" s="56"/>
      <c r="BU401" s="56"/>
      <c r="BV401" s="56"/>
      <c r="BW401" s="56"/>
      <c r="BX401" s="56"/>
    </row>
    <row r="402">
      <c r="A402" s="48"/>
      <c r="B402" s="48"/>
      <c r="C402" s="48"/>
      <c r="D402" s="48"/>
      <c r="E402" s="48"/>
      <c r="F402" s="48"/>
      <c r="G402" s="48"/>
      <c r="H402" s="48"/>
      <c r="I402" s="48"/>
      <c r="J402" s="48"/>
      <c r="K402" s="64"/>
      <c r="L402" s="64"/>
      <c r="M402" s="48"/>
      <c r="N402" s="48"/>
      <c r="O402" s="48"/>
      <c r="P402" s="48"/>
      <c r="Q402" s="48"/>
      <c r="R402" s="48"/>
      <c r="S402" s="60"/>
      <c r="T402" s="48"/>
      <c r="U402" s="48"/>
      <c r="V402" s="48"/>
      <c r="W402" s="48"/>
      <c r="X402" s="48"/>
      <c r="Y402" s="48"/>
      <c r="Z402" s="48"/>
      <c r="AA402" s="48"/>
      <c r="AB402" s="48"/>
      <c r="AC402" s="48"/>
      <c r="AD402" s="48"/>
      <c r="AE402" s="48"/>
      <c r="AF402" s="60"/>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56"/>
      <c r="BJ402" s="56"/>
      <c r="BK402" s="56"/>
      <c r="BL402" s="56"/>
      <c r="BM402" s="56"/>
      <c r="BN402" s="56"/>
      <c r="BO402" s="56"/>
      <c r="BP402" s="56"/>
      <c r="BQ402" s="56"/>
      <c r="BR402" s="56"/>
      <c r="BS402" s="56"/>
      <c r="BT402" s="56"/>
      <c r="BU402" s="56"/>
      <c r="BV402" s="56"/>
      <c r="BW402" s="56"/>
      <c r="BX402" s="56"/>
    </row>
    <row r="403">
      <c r="A403" s="48"/>
      <c r="B403" s="48"/>
      <c r="C403" s="48"/>
      <c r="D403" s="48"/>
      <c r="E403" s="48"/>
      <c r="F403" s="48"/>
      <c r="G403" s="48"/>
      <c r="H403" s="48"/>
      <c r="I403" s="48"/>
      <c r="J403" s="48"/>
      <c r="K403" s="64"/>
      <c r="L403" s="64"/>
      <c r="M403" s="48"/>
      <c r="N403" s="48"/>
      <c r="O403" s="48"/>
      <c r="P403" s="48"/>
      <c r="Q403" s="48"/>
      <c r="R403" s="48"/>
      <c r="S403" s="60"/>
      <c r="T403" s="48"/>
      <c r="U403" s="48"/>
      <c r="V403" s="48"/>
      <c r="W403" s="48"/>
      <c r="X403" s="48"/>
      <c r="Y403" s="48"/>
      <c r="Z403" s="48"/>
      <c r="AA403" s="48"/>
      <c r="AB403" s="48"/>
      <c r="AC403" s="48"/>
      <c r="AD403" s="48"/>
      <c r="AE403" s="48"/>
      <c r="AF403" s="60"/>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56"/>
      <c r="BJ403" s="56"/>
      <c r="BK403" s="56"/>
      <c r="BL403" s="56"/>
      <c r="BM403" s="56"/>
      <c r="BN403" s="56"/>
      <c r="BO403" s="56"/>
      <c r="BP403" s="56"/>
      <c r="BQ403" s="56"/>
      <c r="BR403" s="56"/>
      <c r="BS403" s="56"/>
      <c r="BT403" s="56"/>
      <c r="BU403" s="56"/>
      <c r="BV403" s="56"/>
      <c r="BW403" s="56"/>
      <c r="BX403" s="56"/>
    </row>
    <row r="404">
      <c r="A404" s="48"/>
      <c r="B404" s="48"/>
      <c r="C404" s="48"/>
      <c r="D404" s="48"/>
      <c r="E404" s="48"/>
      <c r="F404" s="48"/>
      <c r="G404" s="48"/>
      <c r="H404" s="48"/>
      <c r="I404" s="48"/>
      <c r="J404" s="48"/>
      <c r="K404" s="64"/>
      <c r="L404" s="64"/>
      <c r="M404" s="48"/>
      <c r="N404" s="48"/>
      <c r="O404" s="48"/>
      <c r="P404" s="48"/>
      <c r="Q404" s="48"/>
      <c r="R404" s="48"/>
      <c r="S404" s="60"/>
      <c r="T404" s="48"/>
      <c r="U404" s="48"/>
      <c r="V404" s="48"/>
      <c r="W404" s="48"/>
      <c r="X404" s="48"/>
      <c r="Y404" s="48"/>
      <c r="Z404" s="48"/>
      <c r="AA404" s="48"/>
      <c r="AB404" s="48"/>
      <c r="AC404" s="48"/>
      <c r="AD404" s="48"/>
      <c r="AE404" s="48"/>
      <c r="AF404" s="60"/>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56"/>
      <c r="BJ404" s="56"/>
      <c r="BK404" s="56"/>
      <c r="BL404" s="56"/>
      <c r="BM404" s="56"/>
      <c r="BN404" s="56"/>
      <c r="BO404" s="56"/>
      <c r="BP404" s="56"/>
      <c r="BQ404" s="56"/>
      <c r="BR404" s="56"/>
      <c r="BS404" s="56"/>
      <c r="BT404" s="56"/>
      <c r="BU404" s="56"/>
      <c r="BV404" s="56"/>
      <c r="BW404" s="56"/>
      <c r="BX404" s="56"/>
    </row>
    <row r="405">
      <c r="A405" s="48"/>
      <c r="B405" s="48"/>
      <c r="C405" s="48"/>
      <c r="D405" s="48"/>
      <c r="E405" s="48"/>
      <c r="F405" s="48"/>
      <c r="G405" s="48"/>
      <c r="H405" s="48"/>
      <c r="I405" s="48"/>
      <c r="J405" s="48"/>
      <c r="K405" s="64"/>
      <c r="L405" s="64"/>
      <c r="M405" s="48"/>
      <c r="N405" s="48"/>
      <c r="O405" s="48"/>
      <c r="P405" s="48"/>
      <c r="Q405" s="48"/>
      <c r="R405" s="48"/>
      <c r="S405" s="60"/>
      <c r="T405" s="48"/>
      <c r="U405" s="48"/>
      <c r="V405" s="48"/>
      <c r="W405" s="48"/>
      <c r="X405" s="48"/>
      <c r="Y405" s="48"/>
      <c r="Z405" s="48"/>
      <c r="AA405" s="48"/>
      <c r="AB405" s="48"/>
      <c r="AC405" s="48"/>
      <c r="AD405" s="48"/>
      <c r="AE405" s="48"/>
      <c r="AF405" s="60"/>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56"/>
      <c r="BJ405" s="56"/>
      <c r="BK405" s="56"/>
      <c r="BL405" s="56"/>
      <c r="BM405" s="56"/>
      <c r="BN405" s="56"/>
      <c r="BO405" s="56"/>
      <c r="BP405" s="56"/>
      <c r="BQ405" s="56"/>
      <c r="BR405" s="56"/>
      <c r="BS405" s="56"/>
      <c r="BT405" s="56"/>
      <c r="BU405" s="56"/>
      <c r="BV405" s="56"/>
      <c r="BW405" s="56"/>
      <c r="BX405" s="56"/>
    </row>
    <row r="406">
      <c r="A406" s="48"/>
      <c r="B406" s="48"/>
      <c r="C406" s="48"/>
      <c r="D406" s="48"/>
      <c r="E406" s="48"/>
      <c r="F406" s="48"/>
      <c r="G406" s="48"/>
      <c r="H406" s="48"/>
      <c r="I406" s="48"/>
      <c r="J406" s="48"/>
      <c r="K406" s="64"/>
      <c r="L406" s="64"/>
      <c r="M406" s="48"/>
      <c r="N406" s="48"/>
      <c r="O406" s="48"/>
      <c r="P406" s="48"/>
      <c r="Q406" s="48"/>
      <c r="R406" s="48"/>
      <c r="S406" s="60"/>
      <c r="T406" s="48"/>
      <c r="U406" s="48"/>
      <c r="V406" s="48"/>
      <c r="W406" s="48"/>
      <c r="X406" s="48"/>
      <c r="Y406" s="48"/>
      <c r="Z406" s="48"/>
      <c r="AA406" s="48"/>
      <c r="AB406" s="48"/>
      <c r="AC406" s="48"/>
      <c r="AD406" s="48"/>
      <c r="AE406" s="48"/>
      <c r="AF406" s="60"/>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56"/>
      <c r="BJ406" s="56"/>
      <c r="BK406" s="56"/>
      <c r="BL406" s="56"/>
      <c r="BM406" s="56"/>
      <c r="BN406" s="56"/>
      <c r="BO406" s="56"/>
      <c r="BP406" s="56"/>
      <c r="BQ406" s="56"/>
      <c r="BR406" s="56"/>
      <c r="BS406" s="56"/>
      <c r="BT406" s="56"/>
      <c r="BU406" s="56"/>
      <c r="BV406" s="56"/>
      <c r="BW406" s="56"/>
      <c r="BX406" s="56"/>
    </row>
    <row r="407">
      <c r="A407" s="48"/>
      <c r="B407" s="48"/>
      <c r="C407" s="48"/>
      <c r="D407" s="48"/>
      <c r="E407" s="48"/>
      <c r="F407" s="48"/>
      <c r="G407" s="48"/>
      <c r="H407" s="48"/>
      <c r="I407" s="48"/>
      <c r="J407" s="48"/>
      <c r="K407" s="64"/>
      <c r="L407" s="64"/>
      <c r="M407" s="48"/>
      <c r="N407" s="48"/>
      <c r="O407" s="48"/>
      <c r="P407" s="48"/>
      <c r="Q407" s="48"/>
      <c r="R407" s="48"/>
      <c r="S407" s="60"/>
      <c r="T407" s="48"/>
      <c r="U407" s="48"/>
      <c r="V407" s="48"/>
      <c r="W407" s="48"/>
      <c r="X407" s="48"/>
      <c r="Y407" s="48"/>
      <c r="Z407" s="48"/>
      <c r="AA407" s="48"/>
      <c r="AB407" s="48"/>
      <c r="AC407" s="48"/>
      <c r="AD407" s="48"/>
      <c r="AE407" s="48"/>
      <c r="AF407" s="60"/>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56"/>
      <c r="BJ407" s="56"/>
      <c r="BK407" s="56"/>
      <c r="BL407" s="56"/>
      <c r="BM407" s="56"/>
      <c r="BN407" s="56"/>
      <c r="BO407" s="56"/>
      <c r="BP407" s="56"/>
      <c r="BQ407" s="56"/>
      <c r="BR407" s="56"/>
      <c r="BS407" s="56"/>
      <c r="BT407" s="56"/>
      <c r="BU407" s="56"/>
      <c r="BV407" s="56"/>
      <c r="BW407" s="56"/>
      <c r="BX407" s="56"/>
    </row>
    <row r="408">
      <c r="A408" s="48"/>
      <c r="B408" s="48"/>
      <c r="C408" s="48"/>
      <c r="D408" s="48"/>
      <c r="E408" s="48"/>
      <c r="F408" s="48"/>
      <c r="G408" s="48"/>
      <c r="H408" s="48"/>
      <c r="I408" s="48"/>
      <c r="J408" s="48"/>
      <c r="K408" s="64"/>
      <c r="L408" s="64"/>
      <c r="M408" s="48"/>
      <c r="N408" s="48"/>
      <c r="O408" s="48"/>
      <c r="P408" s="48"/>
      <c r="Q408" s="48"/>
      <c r="R408" s="48"/>
      <c r="S408" s="60"/>
      <c r="T408" s="48"/>
      <c r="U408" s="48"/>
      <c r="V408" s="48"/>
      <c r="W408" s="48"/>
      <c r="X408" s="48"/>
      <c r="Y408" s="48"/>
      <c r="Z408" s="48"/>
      <c r="AA408" s="48"/>
      <c r="AB408" s="48"/>
      <c r="AC408" s="48"/>
      <c r="AD408" s="48"/>
      <c r="AE408" s="48"/>
      <c r="AF408" s="60"/>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56"/>
      <c r="BJ408" s="56"/>
      <c r="BK408" s="56"/>
      <c r="BL408" s="56"/>
      <c r="BM408" s="56"/>
      <c r="BN408" s="56"/>
      <c r="BO408" s="56"/>
      <c r="BP408" s="56"/>
      <c r="BQ408" s="56"/>
      <c r="BR408" s="56"/>
      <c r="BS408" s="56"/>
      <c r="BT408" s="56"/>
      <c r="BU408" s="56"/>
      <c r="BV408" s="56"/>
      <c r="BW408" s="56"/>
      <c r="BX408" s="56"/>
    </row>
    <row r="409">
      <c r="A409" s="48"/>
      <c r="B409" s="48"/>
      <c r="C409" s="48"/>
      <c r="D409" s="48"/>
      <c r="E409" s="48"/>
      <c r="F409" s="48"/>
      <c r="G409" s="48"/>
      <c r="H409" s="48"/>
      <c r="I409" s="48"/>
      <c r="J409" s="48"/>
      <c r="K409" s="64"/>
      <c r="L409" s="64"/>
      <c r="M409" s="48"/>
      <c r="N409" s="48"/>
      <c r="O409" s="48"/>
      <c r="P409" s="48"/>
      <c r="Q409" s="48"/>
      <c r="R409" s="48"/>
      <c r="S409" s="60"/>
      <c r="T409" s="48"/>
      <c r="U409" s="48"/>
      <c r="V409" s="48"/>
      <c r="W409" s="48"/>
      <c r="X409" s="48"/>
      <c r="Y409" s="48"/>
      <c r="Z409" s="48"/>
      <c r="AA409" s="48"/>
      <c r="AB409" s="48"/>
      <c r="AC409" s="48"/>
      <c r="AD409" s="48"/>
      <c r="AE409" s="48"/>
      <c r="AF409" s="60"/>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56"/>
      <c r="BJ409" s="56"/>
      <c r="BK409" s="56"/>
      <c r="BL409" s="56"/>
      <c r="BM409" s="56"/>
      <c r="BN409" s="56"/>
      <c r="BO409" s="56"/>
      <c r="BP409" s="56"/>
      <c r="BQ409" s="56"/>
      <c r="BR409" s="56"/>
      <c r="BS409" s="56"/>
      <c r="BT409" s="56"/>
      <c r="BU409" s="56"/>
      <c r="BV409" s="56"/>
      <c r="BW409" s="56"/>
      <c r="BX409" s="56"/>
    </row>
    <row r="410">
      <c r="A410" s="48"/>
      <c r="B410" s="48"/>
      <c r="C410" s="48"/>
      <c r="D410" s="48"/>
      <c r="E410" s="48"/>
      <c r="F410" s="48"/>
      <c r="G410" s="48"/>
      <c r="H410" s="48"/>
      <c r="I410" s="48"/>
      <c r="J410" s="48"/>
      <c r="K410" s="64"/>
      <c r="L410" s="64"/>
      <c r="M410" s="48"/>
      <c r="N410" s="48"/>
      <c r="O410" s="48"/>
      <c r="P410" s="48"/>
      <c r="Q410" s="48"/>
      <c r="R410" s="48"/>
      <c r="S410" s="60"/>
      <c r="T410" s="48"/>
      <c r="U410" s="48"/>
      <c r="V410" s="48"/>
      <c r="W410" s="48"/>
      <c r="X410" s="48"/>
      <c r="Y410" s="48"/>
      <c r="Z410" s="48"/>
      <c r="AA410" s="48"/>
      <c r="AB410" s="48"/>
      <c r="AC410" s="48"/>
      <c r="AD410" s="48"/>
      <c r="AE410" s="48"/>
      <c r="AF410" s="60"/>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56"/>
      <c r="BJ410" s="56"/>
      <c r="BK410" s="56"/>
      <c r="BL410" s="56"/>
      <c r="BM410" s="56"/>
      <c r="BN410" s="56"/>
      <c r="BO410" s="56"/>
      <c r="BP410" s="56"/>
      <c r="BQ410" s="56"/>
      <c r="BR410" s="56"/>
      <c r="BS410" s="56"/>
      <c r="BT410" s="56"/>
      <c r="BU410" s="56"/>
      <c r="BV410" s="56"/>
      <c r="BW410" s="56"/>
      <c r="BX410" s="56"/>
    </row>
    <row r="411">
      <c r="A411" s="48"/>
      <c r="B411" s="48"/>
      <c r="C411" s="48"/>
      <c r="D411" s="48"/>
      <c r="E411" s="48"/>
      <c r="F411" s="48"/>
      <c r="G411" s="48"/>
      <c r="H411" s="48"/>
      <c r="I411" s="48"/>
      <c r="J411" s="48"/>
      <c r="K411" s="64"/>
      <c r="L411" s="64"/>
      <c r="M411" s="48"/>
      <c r="N411" s="48"/>
      <c r="O411" s="48"/>
      <c r="P411" s="48"/>
      <c r="Q411" s="48"/>
      <c r="R411" s="48"/>
      <c r="S411" s="60"/>
      <c r="T411" s="48"/>
      <c r="U411" s="48"/>
      <c r="V411" s="48"/>
      <c r="W411" s="48"/>
      <c r="X411" s="48"/>
      <c r="Y411" s="48"/>
      <c r="Z411" s="48"/>
      <c r="AA411" s="48"/>
      <c r="AB411" s="48"/>
      <c r="AC411" s="48"/>
      <c r="AD411" s="48"/>
      <c r="AE411" s="48"/>
      <c r="AF411" s="60"/>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56"/>
      <c r="BJ411" s="56"/>
      <c r="BK411" s="56"/>
      <c r="BL411" s="56"/>
      <c r="BM411" s="56"/>
      <c r="BN411" s="56"/>
      <c r="BO411" s="56"/>
      <c r="BP411" s="56"/>
      <c r="BQ411" s="56"/>
      <c r="BR411" s="56"/>
      <c r="BS411" s="56"/>
      <c r="BT411" s="56"/>
      <c r="BU411" s="56"/>
      <c r="BV411" s="56"/>
      <c r="BW411" s="56"/>
      <c r="BX411" s="56"/>
    </row>
    <row r="412">
      <c r="A412" s="48"/>
      <c r="B412" s="48"/>
      <c r="C412" s="48"/>
      <c r="D412" s="48"/>
      <c r="E412" s="48"/>
      <c r="F412" s="48"/>
      <c r="G412" s="48"/>
      <c r="H412" s="48"/>
      <c r="I412" s="48"/>
      <c r="J412" s="48"/>
      <c r="K412" s="64"/>
      <c r="L412" s="64"/>
      <c r="M412" s="48"/>
      <c r="N412" s="48"/>
      <c r="O412" s="48"/>
      <c r="P412" s="48"/>
      <c r="Q412" s="48"/>
      <c r="R412" s="48"/>
      <c r="S412" s="60"/>
      <c r="T412" s="48"/>
      <c r="U412" s="48"/>
      <c r="V412" s="48"/>
      <c r="W412" s="48"/>
      <c r="X412" s="48"/>
      <c r="Y412" s="48"/>
      <c r="Z412" s="48"/>
      <c r="AA412" s="48"/>
      <c r="AB412" s="48"/>
      <c r="AC412" s="48"/>
      <c r="AD412" s="48"/>
      <c r="AE412" s="48"/>
      <c r="AF412" s="60"/>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56"/>
      <c r="BJ412" s="56"/>
      <c r="BK412" s="56"/>
      <c r="BL412" s="56"/>
      <c r="BM412" s="56"/>
      <c r="BN412" s="56"/>
      <c r="BO412" s="56"/>
      <c r="BP412" s="56"/>
      <c r="BQ412" s="56"/>
      <c r="BR412" s="56"/>
      <c r="BS412" s="56"/>
      <c r="BT412" s="56"/>
      <c r="BU412" s="56"/>
      <c r="BV412" s="56"/>
      <c r="BW412" s="56"/>
      <c r="BX412" s="56"/>
    </row>
    <row r="413">
      <c r="A413" s="48"/>
      <c r="B413" s="48"/>
      <c r="C413" s="48"/>
      <c r="D413" s="48"/>
      <c r="E413" s="48"/>
      <c r="F413" s="48"/>
      <c r="G413" s="48"/>
      <c r="H413" s="48"/>
      <c r="I413" s="48"/>
      <c r="J413" s="48"/>
      <c r="K413" s="64"/>
      <c r="L413" s="64"/>
      <c r="M413" s="48"/>
      <c r="N413" s="48"/>
      <c r="O413" s="48"/>
      <c r="P413" s="48"/>
      <c r="Q413" s="48"/>
      <c r="R413" s="48"/>
      <c r="S413" s="60"/>
      <c r="T413" s="48"/>
      <c r="U413" s="48"/>
      <c r="V413" s="48"/>
      <c r="W413" s="48"/>
      <c r="X413" s="48"/>
      <c r="Y413" s="48"/>
      <c r="Z413" s="48"/>
      <c r="AA413" s="48"/>
      <c r="AB413" s="48"/>
      <c r="AC413" s="48"/>
      <c r="AD413" s="48"/>
      <c r="AE413" s="48"/>
      <c r="AF413" s="60"/>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56"/>
      <c r="BJ413" s="56"/>
      <c r="BK413" s="56"/>
      <c r="BL413" s="56"/>
      <c r="BM413" s="56"/>
      <c r="BN413" s="56"/>
      <c r="BO413" s="56"/>
      <c r="BP413" s="56"/>
      <c r="BQ413" s="56"/>
      <c r="BR413" s="56"/>
      <c r="BS413" s="56"/>
      <c r="BT413" s="56"/>
      <c r="BU413" s="56"/>
      <c r="BV413" s="56"/>
      <c r="BW413" s="56"/>
      <c r="BX413" s="56"/>
    </row>
    <row r="414">
      <c r="A414" s="48"/>
      <c r="B414" s="48"/>
      <c r="C414" s="48"/>
      <c r="D414" s="48"/>
      <c r="E414" s="48"/>
      <c r="F414" s="48"/>
      <c r="G414" s="48"/>
      <c r="H414" s="48"/>
      <c r="I414" s="48"/>
      <c r="J414" s="48"/>
      <c r="K414" s="64"/>
      <c r="L414" s="64"/>
      <c r="M414" s="48"/>
      <c r="N414" s="48"/>
      <c r="O414" s="48"/>
      <c r="P414" s="48"/>
      <c r="Q414" s="48"/>
      <c r="R414" s="48"/>
      <c r="S414" s="60"/>
      <c r="T414" s="48"/>
      <c r="U414" s="48"/>
      <c r="V414" s="48"/>
      <c r="W414" s="48"/>
      <c r="X414" s="48"/>
      <c r="Y414" s="48"/>
      <c r="Z414" s="48"/>
      <c r="AA414" s="48"/>
      <c r="AB414" s="48"/>
      <c r="AC414" s="48"/>
      <c r="AD414" s="48"/>
      <c r="AE414" s="48"/>
      <c r="AF414" s="60"/>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56"/>
      <c r="BJ414" s="56"/>
      <c r="BK414" s="56"/>
      <c r="BL414" s="56"/>
      <c r="BM414" s="56"/>
      <c r="BN414" s="56"/>
      <c r="BO414" s="56"/>
      <c r="BP414" s="56"/>
      <c r="BQ414" s="56"/>
      <c r="BR414" s="56"/>
      <c r="BS414" s="56"/>
      <c r="BT414" s="56"/>
      <c r="BU414" s="56"/>
      <c r="BV414" s="56"/>
      <c r="BW414" s="56"/>
      <c r="BX414" s="56"/>
    </row>
    <row r="415">
      <c r="A415" s="48"/>
      <c r="B415" s="48"/>
      <c r="C415" s="48"/>
      <c r="D415" s="48"/>
      <c r="E415" s="48"/>
      <c r="F415" s="48"/>
      <c r="G415" s="48"/>
      <c r="H415" s="48"/>
      <c r="I415" s="48"/>
      <c r="J415" s="48"/>
      <c r="K415" s="64"/>
      <c r="L415" s="64"/>
      <c r="M415" s="48"/>
      <c r="N415" s="48"/>
      <c r="O415" s="48"/>
      <c r="P415" s="48"/>
      <c r="Q415" s="48"/>
      <c r="R415" s="48"/>
      <c r="S415" s="60"/>
      <c r="T415" s="48"/>
      <c r="U415" s="48"/>
      <c r="V415" s="48"/>
      <c r="W415" s="48"/>
      <c r="X415" s="48"/>
      <c r="Y415" s="48"/>
      <c r="Z415" s="48"/>
      <c r="AA415" s="48"/>
      <c r="AB415" s="48"/>
      <c r="AC415" s="48"/>
      <c r="AD415" s="48"/>
      <c r="AE415" s="48"/>
      <c r="AF415" s="60"/>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56"/>
      <c r="BJ415" s="56"/>
      <c r="BK415" s="56"/>
      <c r="BL415" s="56"/>
      <c r="BM415" s="56"/>
      <c r="BN415" s="56"/>
      <c r="BO415" s="56"/>
      <c r="BP415" s="56"/>
      <c r="BQ415" s="56"/>
      <c r="BR415" s="56"/>
      <c r="BS415" s="56"/>
      <c r="BT415" s="56"/>
      <c r="BU415" s="56"/>
      <c r="BV415" s="56"/>
      <c r="BW415" s="56"/>
      <c r="BX415" s="56"/>
    </row>
    <row r="416">
      <c r="A416" s="48"/>
      <c r="B416" s="48"/>
      <c r="C416" s="48"/>
      <c r="D416" s="48"/>
      <c r="E416" s="48"/>
      <c r="F416" s="48"/>
      <c r="G416" s="48"/>
      <c r="H416" s="48"/>
      <c r="I416" s="48"/>
      <c r="J416" s="48"/>
      <c r="K416" s="64"/>
      <c r="L416" s="64"/>
      <c r="M416" s="48"/>
      <c r="N416" s="48"/>
      <c r="O416" s="48"/>
      <c r="P416" s="48"/>
      <c r="Q416" s="48"/>
      <c r="R416" s="48"/>
      <c r="S416" s="60"/>
      <c r="T416" s="48"/>
      <c r="U416" s="48"/>
      <c r="V416" s="48"/>
      <c r="W416" s="48"/>
      <c r="X416" s="48"/>
      <c r="Y416" s="48"/>
      <c r="Z416" s="48"/>
      <c r="AA416" s="48"/>
      <c r="AB416" s="48"/>
      <c r="AC416" s="48"/>
      <c r="AD416" s="48"/>
      <c r="AE416" s="48"/>
      <c r="AF416" s="60"/>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56"/>
      <c r="BJ416" s="56"/>
      <c r="BK416" s="56"/>
      <c r="BL416" s="56"/>
      <c r="BM416" s="56"/>
      <c r="BN416" s="56"/>
      <c r="BO416" s="56"/>
      <c r="BP416" s="56"/>
      <c r="BQ416" s="56"/>
      <c r="BR416" s="56"/>
      <c r="BS416" s="56"/>
      <c r="BT416" s="56"/>
      <c r="BU416" s="56"/>
      <c r="BV416" s="56"/>
      <c r="BW416" s="56"/>
      <c r="BX416" s="56"/>
    </row>
    <row r="417">
      <c r="A417" s="48"/>
      <c r="B417" s="48"/>
      <c r="C417" s="48"/>
      <c r="D417" s="48"/>
      <c r="E417" s="48"/>
      <c r="F417" s="48"/>
      <c r="G417" s="48"/>
      <c r="H417" s="48"/>
      <c r="I417" s="48"/>
      <c r="J417" s="48"/>
      <c r="K417" s="64"/>
      <c r="L417" s="64"/>
      <c r="M417" s="48"/>
      <c r="N417" s="48"/>
      <c r="O417" s="48"/>
      <c r="P417" s="48"/>
      <c r="Q417" s="48"/>
      <c r="R417" s="48"/>
      <c r="S417" s="60"/>
      <c r="T417" s="48"/>
      <c r="U417" s="48"/>
      <c r="V417" s="48"/>
      <c r="W417" s="48"/>
      <c r="X417" s="48"/>
      <c r="Y417" s="48"/>
      <c r="Z417" s="48"/>
      <c r="AA417" s="48"/>
      <c r="AB417" s="48"/>
      <c r="AC417" s="48"/>
      <c r="AD417" s="48"/>
      <c r="AE417" s="48"/>
      <c r="AF417" s="60"/>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56"/>
      <c r="BJ417" s="56"/>
      <c r="BK417" s="56"/>
      <c r="BL417" s="56"/>
      <c r="BM417" s="56"/>
      <c r="BN417" s="56"/>
      <c r="BO417" s="56"/>
      <c r="BP417" s="56"/>
      <c r="BQ417" s="56"/>
      <c r="BR417" s="56"/>
      <c r="BS417" s="56"/>
      <c r="BT417" s="56"/>
      <c r="BU417" s="56"/>
      <c r="BV417" s="56"/>
      <c r="BW417" s="56"/>
      <c r="BX417" s="56"/>
    </row>
    <row r="418">
      <c r="A418" s="48"/>
      <c r="B418" s="48"/>
      <c r="C418" s="48"/>
      <c r="D418" s="48"/>
      <c r="E418" s="48"/>
      <c r="F418" s="48"/>
      <c r="G418" s="48"/>
      <c r="H418" s="48"/>
      <c r="I418" s="48"/>
      <c r="J418" s="48"/>
      <c r="K418" s="64"/>
      <c r="L418" s="64"/>
      <c r="M418" s="48"/>
      <c r="N418" s="48"/>
      <c r="O418" s="48"/>
      <c r="P418" s="48"/>
      <c r="Q418" s="48"/>
      <c r="R418" s="48"/>
      <c r="S418" s="60"/>
      <c r="T418" s="48"/>
      <c r="U418" s="48"/>
      <c r="V418" s="48"/>
      <c r="W418" s="48"/>
      <c r="X418" s="48"/>
      <c r="Y418" s="48"/>
      <c r="Z418" s="48"/>
      <c r="AA418" s="48"/>
      <c r="AB418" s="48"/>
      <c r="AC418" s="48"/>
      <c r="AD418" s="48"/>
      <c r="AE418" s="48"/>
      <c r="AF418" s="60"/>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56"/>
      <c r="BJ418" s="56"/>
      <c r="BK418" s="56"/>
      <c r="BL418" s="56"/>
      <c r="BM418" s="56"/>
      <c r="BN418" s="56"/>
      <c r="BO418" s="56"/>
      <c r="BP418" s="56"/>
      <c r="BQ418" s="56"/>
      <c r="BR418" s="56"/>
      <c r="BS418" s="56"/>
      <c r="BT418" s="56"/>
      <c r="BU418" s="56"/>
      <c r="BV418" s="56"/>
      <c r="BW418" s="56"/>
      <c r="BX418" s="56"/>
    </row>
    <row r="419">
      <c r="A419" s="48"/>
      <c r="B419" s="48"/>
      <c r="C419" s="48"/>
      <c r="D419" s="48"/>
      <c r="E419" s="48"/>
      <c r="F419" s="48"/>
      <c r="G419" s="48"/>
      <c r="H419" s="48"/>
      <c r="I419" s="48"/>
      <c r="J419" s="48"/>
      <c r="K419" s="64"/>
      <c r="L419" s="64"/>
      <c r="M419" s="48"/>
      <c r="N419" s="48"/>
      <c r="O419" s="48"/>
      <c r="P419" s="48"/>
      <c r="Q419" s="48"/>
      <c r="R419" s="48"/>
      <c r="S419" s="60"/>
      <c r="T419" s="48"/>
      <c r="U419" s="48"/>
      <c r="V419" s="48"/>
      <c r="W419" s="48"/>
      <c r="X419" s="48"/>
      <c r="Y419" s="48"/>
      <c r="Z419" s="48"/>
      <c r="AA419" s="48"/>
      <c r="AB419" s="48"/>
      <c r="AC419" s="48"/>
      <c r="AD419" s="48"/>
      <c r="AE419" s="48"/>
      <c r="AF419" s="60"/>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56"/>
      <c r="BJ419" s="56"/>
      <c r="BK419" s="56"/>
      <c r="BL419" s="56"/>
      <c r="BM419" s="56"/>
      <c r="BN419" s="56"/>
      <c r="BO419" s="56"/>
      <c r="BP419" s="56"/>
      <c r="BQ419" s="56"/>
      <c r="BR419" s="56"/>
      <c r="BS419" s="56"/>
      <c r="BT419" s="56"/>
      <c r="BU419" s="56"/>
      <c r="BV419" s="56"/>
      <c r="BW419" s="56"/>
      <c r="BX419" s="56"/>
    </row>
    <row r="420">
      <c r="A420" s="48"/>
      <c r="B420" s="48"/>
      <c r="C420" s="48"/>
      <c r="D420" s="48"/>
      <c r="E420" s="48"/>
      <c r="F420" s="48"/>
      <c r="G420" s="48"/>
      <c r="H420" s="48"/>
      <c r="I420" s="48"/>
      <c r="J420" s="48"/>
      <c r="K420" s="64"/>
      <c r="L420" s="64"/>
      <c r="M420" s="48"/>
      <c r="N420" s="48"/>
      <c r="O420" s="48"/>
      <c r="P420" s="48"/>
      <c r="Q420" s="48"/>
      <c r="R420" s="48"/>
      <c r="S420" s="60"/>
      <c r="T420" s="48"/>
      <c r="U420" s="48"/>
      <c r="V420" s="48"/>
      <c r="W420" s="48"/>
      <c r="X420" s="48"/>
      <c r="Y420" s="48"/>
      <c r="Z420" s="48"/>
      <c r="AA420" s="48"/>
      <c r="AB420" s="48"/>
      <c r="AC420" s="48"/>
      <c r="AD420" s="48"/>
      <c r="AE420" s="48"/>
      <c r="AF420" s="60"/>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56"/>
      <c r="BJ420" s="56"/>
      <c r="BK420" s="56"/>
      <c r="BL420" s="56"/>
      <c r="BM420" s="56"/>
      <c r="BN420" s="56"/>
      <c r="BO420" s="56"/>
      <c r="BP420" s="56"/>
      <c r="BQ420" s="56"/>
      <c r="BR420" s="56"/>
      <c r="BS420" s="56"/>
      <c r="BT420" s="56"/>
      <c r="BU420" s="56"/>
      <c r="BV420" s="56"/>
      <c r="BW420" s="56"/>
      <c r="BX420" s="56"/>
    </row>
    <row r="421">
      <c r="A421" s="48"/>
      <c r="B421" s="48"/>
      <c r="C421" s="48"/>
      <c r="D421" s="48"/>
      <c r="E421" s="48"/>
      <c r="F421" s="48"/>
      <c r="G421" s="48"/>
      <c r="H421" s="48"/>
      <c r="I421" s="48"/>
      <c r="J421" s="48"/>
      <c r="K421" s="64"/>
      <c r="L421" s="64"/>
      <c r="M421" s="48"/>
      <c r="N421" s="48"/>
      <c r="O421" s="48"/>
      <c r="P421" s="48"/>
      <c r="Q421" s="48"/>
      <c r="R421" s="48"/>
      <c r="S421" s="60"/>
      <c r="T421" s="48"/>
      <c r="U421" s="48"/>
      <c r="V421" s="48"/>
      <c r="W421" s="48"/>
      <c r="X421" s="48"/>
      <c r="Y421" s="48"/>
      <c r="Z421" s="48"/>
      <c r="AA421" s="48"/>
      <c r="AB421" s="48"/>
      <c r="AC421" s="48"/>
      <c r="AD421" s="48"/>
      <c r="AE421" s="48"/>
      <c r="AF421" s="60"/>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56"/>
      <c r="BJ421" s="56"/>
      <c r="BK421" s="56"/>
      <c r="BL421" s="56"/>
      <c r="BM421" s="56"/>
      <c r="BN421" s="56"/>
      <c r="BO421" s="56"/>
      <c r="BP421" s="56"/>
      <c r="BQ421" s="56"/>
      <c r="BR421" s="56"/>
      <c r="BS421" s="56"/>
      <c r="BT421" s="56"/>
      <c r="BU421" s="56"/>
      <c r="BV421" s="56"/>
      <c r="BW421" s="56"/>
      <c r="BX421" s="56"/>
    </row>
    <row r="422">
      <c r="A422" s="48"/>
      <c r="B422" s="48"/>
      <c r="C422" s="48"/>
      <c r="D422" s="48"/>
      <c r="E422" s="48"/>
      <c r="F422" s="48"/>
      <c r="G422" s="48"/>
      <c r="H422" s="48"/>
      <c r="I422" s="48"/>
      <c r="J422" s="48"/>
      <c r="K422" s="64"/>
      <c r="L422" s="64"/>
      <c r="M422" s="48"/>
      <c r="N422" s="48"/>
      <c r="O422" s="48"/>
      <c r="P422" s="48"/>
      <c r="Q422" s="48"/>
      <c r="R422" s="48"/>
      <c r="S422" s="60"/>
      <c r="T422" s="48"/>
      <c r="U422" s="48"/>
      <c r="V422" s="48"/>
      <c r="W422" s="48"/>
      <c r="X422" s="48"/>
      <c r="Y422" s="48"/>
      <c r="Z422" s="48"/>
      <c r="AA422" s="48"/>
      <c r="AB422" s="48"/>
      <c r="AC422" s="48"/>
      <c r="AD422" s="48"/>
      <c r="AE422" s="48"/>
      <c r="AF422" s="60"/>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56"/>
      <c r="BJ422" s="56"/>
      <c r="BK422" s="56"/>
      <c r="BL422" s="56"/>
      <c r="BM422" s="56"/>
      <c r="BN422" s="56"/>
      <c r="BO422" s="56"/>
      <c r="BP422" s="56"/>
      <c r="BQ422" s="56"/>
      <c r="BR422" s="56"/>
      <c r="BS422" s="56"/>
      <c r="BT422" s="56"/>
      <c r="BU422" s="56"/>
      <c r="BV422" s="56"/>
      <c r="BW422" s="56"/>
      <c r="BX422" s="56"/>
    </row>
    <row r="423">
      <c r="A423" s="48"/>
      <c r="B423" s="48"/>
      <c r="C423" s="48"/>
      <c r="D423" s="48"/>
      <c r="E423" s="48"/>
      <c r="F423" s="48"/>
      <c r="G423" s="48"/>
      <c r="H423" s="48"/>
      <c r="I423" s="48"/>
      <c r="J423" s="48"/>
      <c r="K423" s="64"/>
      <c r="L423" s="64"/>
      <c r="M423" s="48"/>
      <c r="N423" s="48"/>
      <c r="O423" s="48"/>
      <c r="P423" s="48"/>
      <c r="Q423" s="48"/>
      <c r="R423" s="48"/>
      <c r="S423" s="60"/>
      <c r="T423" s="48"/>
      <c r="U423" s="48"/>
      <c r="V423" s="48"/>
      <c r="W423" s="48"/>
      <c r="X423" s="48"/>
      <c r="Y423" s="48"/>
      <c r="Z423" s="48"/>
      <c r="AA423" s="48"/>
      <c r="AB423" s="48"/>
      <c r="AC423" s="48"/>
      <c r="AD423" s="48"/>
      <c r="AE423" s="48"/>
      <c r="AF423" s="60"/>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56"/>
      <c r="BJ423" s="56"/>
      <c r="BK423" s="56"/>
      <c r="BL423" s="56"/>
      <c r="BM423" s="56"/>
      <c r="BN423" s="56"/>
      <c r="BO423" s="56"/>
      <c r="BP423" s="56"/>
      <c r="BQ423" s="56"/>
      <c r="BR423" s="56"/>
      <c r="BS423" s="56"/>
      <c r="BT423" s="56"/>
      <c r="BU423" s="56"/>
      <c r="BV423" s="56"/>
      <c r="BW423" s="56"/>
      <c r="BX423" s="56"/>
    </row>
    <row r="424">
      <c r="A424" s="48"/>
      <c r="B424" s="48"/>
      <c r="C424" s="48"/>
      <c r="D424" s="48"/>
      <c r="E424" s="48"/>
      <c r="F424" s="48"/>
      <c r="G424" s="48"/>
      <c r="H424" s="48"/>
      <c r="I424" s="48"/>
      <c r="J424" s="48"/>
      <c r="K424" s="64"/>
      <c r="L424" s="64"/>
      <c r="M424" s="48"/>
      <c r="N424" s="48"/>
      <c r="O424" s="48"/>
      <c r="P424" s="48"/>
      <c r="Q424" s="48"/>
      <c r="R424" s="48"/>
      <c r="S424" s="60"/>
      <c r="T424" s="48"/>
      <c r="U424" s="48"/>
      <c r="V424" s="48"/>
      <c r="W424" s="48"/>
      <c r="X424" s="48"/>
      <c r="Y424" s="48"/>
      <c r="Z424" s="48"/>
      <c r="AA424" s="48"/>
      <c r="AB424" s="48"/>
      <c r="AC424" s="48"/>
      <c r="AD424" s="48"/>
      <c r="AE424" s="48"/>
      <c r="AF424" s="60"/>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56"/>
      <c r="BJ424" s="56"/>
      <c r="BK424" s="56"/>
      <c r="BL424" s="56"/>
      <c r="BM424" s="56"/>
      <c r="BN424" s="56"/>
      <c r="BO424" s="56"/>
      <c r="BP424" s="56"/>
      <c r="BQ424" s="56"/>
      <c r="BR424" s="56"/>
      <c r="BS424" s="56"/>
      <c r="BT424" s="56"/>
      <c r="BU424" s="56"/>
      <c r="BV424" s="56"/>
      <c r="BW424" s="56"/>
      <c r="BX424" s="56"/>
    </row>
    <row r="425">
      <c r="A425" s="48"/>
      <c r="B425" s="48"/>
      <c r="C425" s="48"/>
      <c r="D425" s="48"/>
      <c r="E425" s="48"/>
      <c r="F425" s="48"/>
      <c r="G425" s="48"/>
      <c r="H425" s="48"/>
      <c r="I425" s="48"/>
      <c r="J425" s="48"/>
      <c r="K425" s="64"/>
      <c r="L425" s="64"/>
      <c r="M425" s="48"/>
      <c r="N425" s="48"/>
      <c r="O425" s="48"/>
      <c r="P425" s="48"/>
      <c r="Q425" s="48"/>
      <c r="R425" s="48"/>
      <c r="S425" s="60"/>
      <c r="T425" s="48"/>
      <c r="U425" s="48"/>
      <c r="V425" s="48"/>
      <c r="W425" s="48"/>
      <c r="X425" s="48"/>
      <c r="Y425" s="48"/>
      <c r="Z425" s="48"/>
      <c r="AA425" s="48"/>
      <c r="AB425" s="48"/>
      <c r="AC425" s="48"/>
      <c r="AD425" s="48"/>
      <c r="AE425" s="48"/>
      <c r="AF425" s="60"/>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56"/>
      <c r="BJ425" s="56"/>
      <c r="BK425" s="56"/>
      <c r="BL425" s="56"/>
      <c r="BM425" s="56"/>
      <c r="BN425" s="56"/>
      <c r="BO425" s="56"/>
      <c r="BP425" s="56"/>
      <c r="BQ425" s="56"/>
      <c r="BR425" s="56"/>
      <c r="BS425" s="56"/>
      <c r="BT425" s="56"/>
      <c r="BU425" s="56"/>
      <c r="BV425" s="56"/>
      <c r="BW425" s="56"/>
      <c r="BX425" s="56"/>
    </row>
    <row r="426">
      <c r="A426" s="48"/>
      <c r="B426" s="48"/>
      <c r="C426" s="48"/>
      <c r="D426" s="48"/>
      <c r="E426" s="48"/>
      <c r="F426" s="48"/>
      <c r="G426" s="48"/>
      <c r="H426" s="48"/>
      <c r="I426" s="48"/>
      <c r="J426" s="48"/>
      <c r="K426" s="64"/>
      <c r="L426" s="64"/>
      <c r="M426" s="48"/>
      <c r="N426" s="48"/>
      <c r="O426" s="48"/>
      <c r="P426" s="48"/>
      <c r="Q426" s="48"/>
      <c r="R426" s="48"/>
      <c r="S426" s="60"/>
      <c r="T426" s="48"/>
      <c r="U426" s="48"/>
      <c r="V426" s="48"/>
      <c r="W426" s="48"/>
      <c r="X426" s="48"/>
      <c r="Y426" s="48"/>
      <c r="Z426" s="48"/>
      <c r="AA426" s="48"/>
      <c r="AB426" s="48"/>
      <c r="AC426" s="48"/>
      <c r="AD426" s="48"/>
      <c r="AE426" s="48"/>
      <c r="AF426" s="60"/>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56"/>
      <c r="BJ426" s="56"/>
      <c r="BK426" s="56"/>
      <c r="BL426" s="56"/>
      <c r="BM426" s="56"/>
      <c r="BN426" s="56"/>
      <c r="BO426" s="56"/>
      <c r="BP426" s="56"/>
      <c r="BQ426" s="56"/>
      <c r="BR426" s="56"/>
      <c r="BS426" s="56"/>
      <c r="BT426" s="56"/>
      <c r="BU426" s="56"/>
      <c r="BV426" s="56"/>
      <c r="BW426" s="56"/>
      <c r="BX426" s="56"/>
    </row>
    <row r="427">
      <c r="A427" s="48"/>
      <c r="B427" s="48"/>
      <c r="C427" s="48"/>
      <c r="D427" s="48"/>
      <c r="E427" s="48"/>
      <c r="F427" s="48"/>
      <c r="G427" s="48"/>
      <c r="H427" s="48"/>
      <c r="I427" s="48"/>
      <c r="J427" s="48"/>
      <c r="K427" s="64"/>
      <c r="L427" s="64"/>
      <c r="M427" s="48"/>
      <c r="N427" s="48"/>
      <c r="O427" s="48"/>
      <c r="P427" s="48"/>
      <c r="Q427" s="48"/>
      <c r="R427" s="48"/>
      <c r="S427" s="60"/>
      <c r="T427" s="48"/>
      <c r="U427" s="48"/>
      <c r="V427" s="48"/>
      <c r="W427" s="48"/>
      <c r="X427" s="48"/>
      <c r="Y427" s="48"/>
      <c r="Z427" s="48"/>
      <c r="AA427" s="48"/>
      <c r="AB427" s="48"/>
      <c r="AC427" s="48"/>
      <c r="AD427" s="48"/>
      <c r="AE427" s="48"/>
      <c r="AF427" s="60"/>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56"/>
      <c r="BJ427" s="56"/>
      <c r="BK427" s="56"/>
      <c r="BL427" s="56"/>
      <c r="BM427" s="56"/>
      <c r="BN427" s="56"/>
      <c r="BO427" s="56"/>
      <c r="BP427" s="56"/>
      <c r="BQ427" s="56"/>
      <c r="BR427" s="56"/>
      <c r="BS427" s="56"/>
      <c r="BT427" s="56"/>
      <c r="BU427" s="56"/>
      <c r="BV427" s="56"/>
      <c r="BW427" s="56"/>
      <c r="BX427" s="56"/>
    </row>
    <row r="428">
      <c r="A428" s="48"/>
      <c r="B428" s="48"/>
      <c r="C428" s="48"/>
      <c r="D428" s="48"/>
      <c r="E428" s="48"/>
      <c r="F428" s="48"/>
      <c r="G428" s="48"/>
      <c r="H428" s="48"/>
      <c r="I428" s="48"/>
      <c r="J428" s="48"/>
      <c r="K428" s="64"/>
      <c r="L428" s="64"/>
      <c r="M428" s="48"/>
      <c r="N428" s="48"/>
      <c r="O428" s="48"/>
      <c r="P428" s="48"/>
      <c r="Q428" s="48"/>
      <c r="R428" s="48"/>
      <c r="S428" s="60"/>
      <c r="T428" s="48"/>
      <c r="U428" s="48"/>
      <c r="V428" s="48"/>
      <c r="W428" s="48"/>
      <c r="X428" s="48"/>
      <c r="Y428" s="48"/>
      <c r="Z428" s="48"/>
      <c r="AA428" s="48"/>
      <c r="AB428" s="48"/>
      <c r="AC428" s="48"/>
      <c r="AD428" s="48"/>
      <c r="AE428" s="48"/>
      <c r="AF428" s="60"/>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56"/>
      <c r="BJ428" s="56"/>
      <c r="BK428" s="56"/>
      <c r="BL428" s="56"/>
      <c r="BM428" s="56"/>
      <c r="BN428" s="56"/>
      <c r="BO428" s="56"/>
      <c r="BP428" s="56"/>
      <c r="BQ428" s="56"/>
      <c r="BR428" s="56"/>
      <c r="BS428" s="56"/>
      <c r="BT428" s="56"/>
      <c r="BU428" s="56"/>
      <c r="BV428" s="56"/>
      <c r="BW428" s="56"/>
      <c r="BX428" s="56"/>
    </row>
    <row r="429">
      <c r="A429" s="48"/>
      <c r="B429" s="48"/>
      <c r="C429" s="48"/>
      <c r="D429" s="48"/>
      <c r="E429" s="48"/>
      <c r="F429" s="48"/>
      <c r="G429" s="48"/>
      <c r="H429" s="48"/>
      <c r="I429" s="48"/>
      <c r="J429" s="48"/>
      <c r="K429" s="64"/>
      <c r="L429" s="64"/>
      <c r="M429" s="48"/>
      <c r="N429" s="48"/>
      <c r="O429" s="48"/>
      <c r="P429" s="48"/>
      <c r="Q429" s="48"/>
      <c r="R429" s="48"/>
      <c r="S429" s="60"/>
      <c r="T429" s="48"/>
      <c r="U429" s="48"/>
      <c r="V429" s="48"/>
      <c r="W429" s="48"/>
      <c r="X429" s="48"/>
      <c r="Y429" s="48"/>
      <c r="Z429" s="48"/>
      <c r="AA429" s="48"/>
      <c r="AB429" s="48"/>
      <c r="AC429" s="48"/>
      <c r="AD429" s="48"/>
      <c r="AE429" s="48"/>
      <c r="AF429" s="60"/>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56"/>
      <c r="BJ429" s="56"/>
      <c r="BK429" s="56"/>
      <c r="BL429" s="56"/>
      <c r="BM429" s="56"/>
      <c r="BN429" s="56"/>
      <c r="BO429" s="56"/>
      <c r="BP429" s="56"/>
      <c r="BQ429" s="56"/>
      <c r="BR429" s="56"/>
      <c r="BS429" s="56"/>
      <c r="BT429" s="56"/>
      <c r="BU429" s="56"/>
      <c r="BV429" s="56"/>
      <c r="BW429" s="56"/>
      <c r="BX429" s="56"/>
    </row>
    <row r="430">
      <c r="A430" s="48"/>
      <c r="B430" s="48"/>
      <c r="C430" s="48"/>
      <c r="D430" s="48"/>
      <c r="E430" s="48"/>
      <c r="F430" s="48"/>
      <c r="G430" s="48"/>
      <c r="H430" s="48"/>
      <c r="I430" s="48"/>
      <c r="J430" s="48"/>
      <c r="K430" s="64"/>
      <c r="L430" s="64"/>
      <c r="M430" s="48"/>
      <c r="N430" s="48"/>
      <c r="O430" s="48"/>
      <c r="P430" s="48"/>
      <c r="Q430" s="48"/>
      <c r="R430" s="48"/>
      <c r="S430" s="60"/>
      <c r="T430" s="48"/>
      <c r="U430" s="48"/>
      <c r="V430" s="48"/>
      <c r="W430" s="48"/>
      <c r="X430" s="48"/>
      <c r="Y430" s="48"/>
      <c r="Z430" s="48"/>
      <c r="AA430" s="48"/>
      <c r="AB430" s="48"/>
      <c r="AC430" s="48"/>
      <c r="AD430" s="48"/>
      <c r="AE430" s="48"/>
      <c r="AF430" s="60"/>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56"/>
      <c r="BJ430" s="56"/>
      <c r="BK430" s="56"/>
      <c r="BL430" s="56"/>
      <c r="BM430" s="56"/>
      <c r="BN430" s="56"/>
      <c r="BO430" s="56"/>
      <c r="BP430" s="56"/>
      <c r="BQ430" s="56"/>
      <c r="BR430" s="56"/>
      <c r="BS430" s="56"/>
      <c r="BT430" s="56"/>
      <c r="BU430" s="56"/>
      <c r="BV430" s="56"/>
      <c r="BW430" s="56"/>
      <c r="BX430" s="56"/>
    </row>
    <row r="431">
      <c r="A431" s="48"/>
      <c r="B431" s="48"/>
      <c r="C431" s="48"/>
      <c r="D431" s="48"/>
      <c r="E431" s="48"/>
      <c r="F431" s="48"/>
      <c r="G431" s="48"/>
      <c r="H431" s="48"/>
      <c r="I431" s="48"/>
      <c r="J431" s="48"/>
      <c r="K431" s="64"/>
      <c r="L431" s="64"/>
      <c r="M431" s="48"/>
      <c r="N431" s="48"/>
      <c r="O431" s="48"/>
      <c r="P431" s="48"/>
      <c r="Q431" s="48"/>
      <c r="R431" s="48"/>
      <c r="S431" s="60"/>
      <c r="T431" s="48"/>
      <c r="U431" s="48"/>
      <c r="V431" s="48"/>
      <c r="W431" s="48"/>
      <c r="X431" s="48"/>
      <c r="Y431" s="48"/>
      <c r="Z431" s="48"/>
      <c r="AA431" s="48"/>
      <c r="AB431" s="48"/>
      <c r="AC431" s="48"/>
      <c r="AD431" s="48"/>
      <c r="AE431" s="48"/>
      <c r="AF431" s="60"/>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56"/>
      <c r="BJ431" s="56"/>
      <c r="BK431" s="56"/>
      <c r="BL431" s="56"/>
      <c r="BM431" s="56"/>
      <c r="BN431" s="56"/>
      <c r="BO431" s="56"/>
      <c r="BP431" s="56"/>
      <c r="BQ431" s="56"/>
      <c r="BR431" s="56"/>
      <c r="BS431" s="56"/>
      <c r="BT431" s="56"/>
      <c r="BU431" s="56"/>
      <c r="BV431" s="56"/>
      <c r="BW431" s="56"/>
      <c r="BX431" s="56"/>
    </row>
    <row r="432">
      <c r="A432" s="48"/>
      <c r="B432" s="48"/>
      <c r="C432" s="48"/>
      <c r="D432" s="48"/>
      <c r="E432" s="48"/>
      <c r="F432" s="48"/>
      <c r="G432" s="48"/>
      <c r="H432" s="48"/>
      <c r="I432" s="48"/>
      <c r="J432" s="48"/>
      <c r="K432" s="64"/>
      <c r="L432" s="64"/>
      <c r="M432" s="48"/>
      <c r="N432" s="48"/>
      <c r="O432" s="48"/>
      <c r="P432" s="48"/>
      <c r="Q432" s="48"/>
      <c r="R432" s="48"/>
      <c r="S432" s="60"/>
      <c r="T432" s="48"/>
      <c r="U432" s="48"/>
      <c r="V432" s="48"/>
      <c r="W432" s="48"/>
      <c r="X432" s="48"/>
      <c r="Y432" s="48"/>
      <c r="Z432" s="48"/>
      <c r="AA432" s="48"/>
      <c r="AB432" s="48"/>
      <c r="AC432" s="48"/>
      <c r="AD432" s="48"/>
      <c r="AE432" s="48"/>
      <c r="AF432" s="60"/>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56"/>
      <c r="BJ432" s="56"/>
      <c r="BK432" s="56"/>
      <c r="BL432" s="56"/>
      <c r="BM432" s="56"/>
      <c r="BN432" s="56"/>
      <c r="BO432" s="56"/>
      <c r="BP432" s="56"/>
      <c r="BQ432" s="56"/>
      <c r="BR432" s="56"/>
      <c r="BS432" s="56"/>
      <c r="BT432" s="56"/>
      <c r="BU432" s="56"/>
      <c r="BV432" s="56"/>
      <c r="BW432" s="56"/>
      <c r="BX432" s="56"/>
    </row>
    <row r="433">
      <c r="A433" s="48"/>
      <c r="B433" s="48"/>
      <c r="C433" s="48"/>
      <c r="D433" s="48"/>
      <c r="E433" s="48"/>
      <c r="F433" s="48"/>
      <c r="G433" s="48"/>
      <c r="H433" s="48"/>
      <c r="I433" s="48"/>
      <c r="J433" s="48"/>
      <c r="K433" s="64"/>
      <c r="L433" s="64"/>
      <c r="M433" s="48"/>
      <c r="N433" s="48"/>
      <c r="O433" s="48"/>
      <c r="P433" s="48"/>
      <c r="Q433" s="48"/>
      <c r="R433" s="48"/>
      <c r="S433" s="60"/>
      <c r="T433" s="48"/>
      <c r="U433" s="48"/>
      <c r="V433" s="48"/>
      <c r="W433" s="48"/>
      <c r="X433" s="48"/>
      <c r="Y433" s="48"/>
      <c r="Z433" s="48"/>
      <c r="AA433" s="48"/>
      <c r="AB433" s="48"/>
      <c r="AC433" s="48"/>
      <c r="AD433" s="48"/>
      <c r="AE433" s="48"/>
      <c r="AF433" s="60"/>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56"/>
      <c r="BJ433" s="56"/>
      <c r="BK433" s="56"/>
      <c r="BL433" s="56"/>
      <c r="BM433" s="56"/>
      <c r="BN433" s="56"/>
      <c r="BO433" s="56"/>
      <c r="BP433" s="56"/>
      <c r="BQ433" s="56"/>
      <c r="BR433" s="56"/>
      <c r="BS433" s="56"/>
      <c r="BT433" s="56"/>
      <c r="BU433" s="56"/>
      <c r="BV433" s="56"/>
      <c r="BW433" s="56"/>
      <c r="BX433" s="56"/>
    </row>
    <row r="434">
      <c r="A434" s="48"/>
      <c r="B434" s="48"/>
      <c r="C434" s="48"/>
      <c r="D434" s="48"/>
      <c r="E434" s="48"/>
      <c r="F434" s="48"/>
      <c r="G434" s="48"/>
      <c r="H434" s="48"/>
      <c r="I434" s="48"/>
      <c r="J434" s="48"/>
      <c r="K434" s="64"/>
      <c r="L434" s="64"/>
      <c r="M434" s="48"/>
      <c r="N434" s="48"/>
      <c r="O434" s="48"/>
      <c r="P434" s="48"/>
      <c r="Q434" s="48"/>
      <c r="R434" s="48"/>
      <c r="S434" s="60"/>
      <c r="T434" s="48"/>
      <c r="U434" s="48"/>
      <c r="V434" s="48"/>
      <c r="W434" s="48"/>
      <c r="X434" s="48"/>
      <c r="Y434" s="48"/>
      <c r="Z434" s="48"/>
      <c r="AA434" s="48"/>
      <c r="AB434" s="48"/>
      <c r="AC434" s="48"/>
      <c r="AD434" s="48"/>
      <c r="AE434" s="48"/>
      <c r="AF434" s="60"/>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56"/>
      <c r="BJ434" s="56"/>
      <c r="BK434" s="56"/>
      <c r="BL434" s="56"/>
      <c r="BM434" s="56"/>
      <c r="BN434" s="56"/>
      <c r="BO434" s="56"/>
      <c r="BP434" s="56"/>
      <c r="BQ434" s="56"/>
      <c r="BR434" s="56"/>
      <c r="BS434" s="56"/>
      <c r="BT434" s="56"/>
      <c r="BU434" s="56"/>
      <c r="BV434" s="56"/>
      <c r="BW434" s="56"/>
      <c r="BX434" s="56"/>
    </row>
    <row r="435">
      <c r="A435" s="48"/>
      <c r="B435" s="48"/>
      <c r="C435" s="48"/>
      <c r="D435" s="48"/>
      <c r="E435" s="48"/>
      <c r="F435" s="48"/>
      <c r="G435" s="48"/>
      <c r="H435" s="48"/>
      <c r="I435" s="48"/>
      <c r="J435" s="48"/>
      <c r="K435" s="64"/>
      <c r="L435" s="64"/>
      <c r="M435" s="48"/>
      <c r="N435" s="48"/>
      <c r="O435" s="48"/>
      <c r="P435" s="48"/>
      <c r="Q435" s="48"/>
      <c r="R435" s="48"/>
      <c r="S435" s="60"/>
      <c r="T435" s="48"/>
      <c r="U435" s="48"/>
      <c r="V435" s="48"/>
      <c r="W435" s="48"/>
      <c r="X435" s="48"/>
      <c r="Y435" s="48"/>
      <c r="Z435" s="48"/>
      <c r="AA435" s="48"/>
      <c r="AB435" s="48"/>
      <c r="AC435" s="48"/>
      <c r="AD435" s="48"/>
      <c r="AE435" s="48"/>
      <c r="AF435" s="60"/>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56"/>
      <c r="BJ435" s="56"/>
      <c r="BK435" s="56"/>
      <c r="BL435" s="56"/>
      <c r="BM435" s="56"/>
      <c r="BN435" s="56"/>
      <c r="BO435" s="56"/>
      <c r="BP435" s="56"/>
      <c r="BQ435" s="56"/>
      <c r="BR435" s="56"/>
      <c r="BS435" s="56"/>
      <c r="BT435" s="56"/>
      <c r="BU435" s="56"/>
      <c r="BV435" s="56"/>
      <c r="BW435" s="56"/>
      <c r="BX435" s="56"/>
    </row>
    <row r="436">
      <c r="A436" s="48"/>
      <c r="B436" s="48"/>
      <c r="C436" s="48"/>
      <c r="D436" s="48"/>
      <c r="E436" s="48"/>
      <c r="F436" s="48"/>
      <c r="G436" s="48"/>
      <c r="H436" s="48"/>
      <c r="I436" s="48"/>
      <c r="J436" s="48"/>
      <c r="K436" s="64"/>
      <c r="L436" s="64"/>
      <c r="M436" s="48"/>
      <c r="N436" s="48"/>
      <c r="O436" s="48"/>
      <c r="P436" s="48"/>
      <c r="Q436" s="48"/>
      <c r="R436" s="48"/>
      <c r="S436" s="60"/>
      <c r="T436" s="48"/>
      <c r="U436" s="48"/>
      <c r="V436" s="48"/>
      <c r="W436" s="48"/>
      <c r="X436" s="48"/>
      <c r="Y436" s="48"/>
      <c r="Z436" s="48"/>
      <c r="AA436" s="48"/>
      <c r="AB436" s="48"/>
      <c r="AC436" s="48"/>
      <c r="AD436" s="48"/>
      <c r="AE436" s="48"/>
      <c r="AF436" s="60"/>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56"/>
      <c r="BJ436" s="56"/>
      <c r="BK436" s="56"/>
      <c r="BL436" s="56"/>
      <c r="BM436" s="56"/>
      <c r="BN436" s="56"/>
      <c r="BO436" s="56"/>
      <c r="BP436" s="56"/>
      <c r="BQ436" s="56"/>
      <c r="BR436" s="56"/>
      <c r="BS436" s="56"/>
      <c r="BT436" s="56"/>
      <c r="BU436" s="56"/>
      <c r="BV436" s="56"/>
      <c r="BW436" s="56"/>
      <c r="BX436" s="56"/>
    </row>
    <row r="437">
      <c r="A437" s="48"/>
      <c r="B437" s="48"/>
      <c r="C437" s="48"/>
      <c r="D437" s="48"/>
      <c r="E437" s="48"/>
      <c r="F437" s="48"/>
      <c r="G437" s="48"/>
      <c r="H437" s="48"/>
      <c r="I437" s="48"/>
      <c r="J437" s="48"/>
      <c r="K437" s="64"/>
      <c r="L437" s="64"/>
      <c r="M437" s="48"/>
      <c r="N437" s="48"/>
      <c r="O437" s="48"/>
      <c r="P437" s="48"/>
      <c r="Q437" s="48"/>
      <c r="R437" s="48"/>
      <c r="S437" s="60"/>
      <c r="T437" s="48"/>
      <c r="U437" s="48"/>
      <c r="V437" s="48"/>
      <c r="W437" s="48"/>
      <c r="X437" s="48"/>
      <c r="Y437" s="48"/>
      <c r="Z437" s="48"/>
      <c r="AA437" s="48"/>
      <c r="AB437" s="48"/>
      <c r="AC437" s="48"/>
      <c r="AD437" s="48"/>
      <c r="AE437" s="48"/>
      <c r="AF437" s="60"/>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56"/>
      <c r="BJ437" s="56"/>
      <c r="BK437" s="56"/>
      <c r="BL437" s="56"/>
      <c r="BM437" s="56"/>
      <c r="BN437" s="56"/>
      <c r="BO437" s="56"/>
      <c r="BP437" s="56"/>
      <c r="BQ437" s="56"/>
      <c r="BR437" s="56"/>
      <c r="BS437" s="56"/>
      <c r="BT437" s="56"/>
      <c r="BU437" s="56"/>
      <c r="BV437" s="56"/>
      <c r="BW437" s="56"/>
      <c r="BX437" s="56"/>
    </row>
    <row r="438">
      <c r="A438" s="48"/>
      <c r="B438" s="48"/>
      <c r="C438" s="48"/>
      <c r="D438" s="48"/>
      <c r="E438" s="48"/>
      <c r="F438" s="48"/>
      <c r="G438" s="48"/>
      <c r="H438" s="48"/>
      <c r="I438" s="48"/>
      <c r="J438" s="48"/>
      <c r="K438" s="64"/>
      <c r="L438" s="64"/>
      <c r="M438" s="48"/>
      <c r="N438" s="48"/>
      <c r="O438" s="48"/>
      <c r="P438" s="48"/>
      <c r="Q438" s="48"/>
      <c r="R438" s="48"/>
      <c r="S438" s="60"/>
      <c r="T438" s="48"/>
      <c r="U438" s="48"/>
      <c r="V438" s="48"/>
      <c r="W438" s="48"/>
      <c r="X438" s="48"/>
      <c r="Y438" s="48"/>
      <c r="Z438" s="48"/>
      <c r="AA438" s="48"/>
      <c r="AB438" s="48"/>
      <c r="AC438" s="48"/>
      <c r="AD438" s="48"/>
      <c r="AE438" s="48"/>
      <c r="AF438" s="60"/>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56"/>
      <c r="BJ438" s="56"/>
      <c r="BK438" s="56"/>
      <c r="BL438" s="56"/>
      <c r="BM438" s="56"/>
      <c r="BN438" s="56"/>
      <c r="BO438" s="56"/>
      <c r="BP438" s="56"/>
      <c r="BQ438" s="56"/>
      <c r="BR438" s="56"/>
      <c r="BS438" s="56"/>
      <c r="BT438" s="56"/>
      <c r="BU438" s="56"/>
      <c r="BV438" s="56"/>
      <c r="BW438" s="56"/>
      <c r="BX438" s="56"/>
    </row>
    <row r="439">
      <c r="A439" s="48"/>
      <c r="B439" s="48"/>
      <c r="C439" s="48"/>
      <c r="D439" s="48"/>
      <c r="E439" s="48"/>
      <c r="F439" s="48"/>
      <c r="G439" s="48"/>
      <c r="H439" s="48"/>
      <c r="I439" s="48"/>
      <c r="J439" s="48"/>
      <c r="K439" s="64"/>
      <c r="L439" s="64"/>
      <c r="M439" s="48"/>
      <c r="N439" s="48"/>
      <c r="O439" s="48"/>
      <c r="P439" s="48"/>
      <c r="Q439" s="48"/>
      <c r="R439" s="48"/>
      <c r="S439" s="60"/>
      <c r="T439" s="48"/>
      <c r="U439" s="48"/>
      <c r="V439" s="48"/>
      <c r="W439" s="48"/>
      <c r="X439" s="48"/>
      <c r="Y439" s="48"/>
      <c r="Z439" s="48"/>
      <c r="AA439" s="48"/>
      <c r="AB439" s="48"/>
      <c r="AC439" s="48"/>
      <c r="AD439" s="48"/>
      <c r="AE439" s="48"/>
      <c r="AF439" s="60"/>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56"/>
      <c r="BJ439" s="56"/>
      <c r="BK439" s="56"/>
      <c r="BL439" s="56"/>
      <c r="BM439" s="56"/>
      <c r="BN439" s="56"/>
      <c r="BO439" s="56"/>
      <c r="BP439" s="56"/>
      <c r="BQ439" s="56"/>
      <c r="BR439" s="56"/>
      <c r="BS439" s="56"/>
      <c r="BT439" s="56"/>
      <c r="BU439" s="56"/>
      <c r="BV439" s="56"/>
      <c r="BW439" s="56"/>
      <c r="BX439" s="56"/>
    </row>
    <row r="440">
      <c r="A440" s="48"/>
      <c r="B440" s="48"/>
      <c r="C440" s="48"/>
      <c r="D440" s="48"/>
      <c r="E440" s="48"/>
      <c r="F440" s="48"/>
      <c r="G440" s="48"/>
      <c r="H440" s="48"/>
      <c r="I440" s="48"/>
      <c r="J440" s="48"/>
      <c r="K440" s="64"/>
      <c r="L440" s="64"/>
      <c r="M440" s="48"/>
      <c r="N440" s="48"/>
      <c r="O440" s="48"/>
      <c r="P440" s="48"/>
      <c r="Q440" s="48"/>
      <c r="R440" s="48"/>
      <c r="S440" s="60"/>
      <c r="T440" s="48"/>
      <c r="U440" s="48"/>
      <c r="V440" s="48"/>
      <c r="W440" s="48"/>
      <c r="X440" s="48"/>
      <c r="Y440" s="48"/>
      <c r="Z440" s="48"/>
      <c r="AA440" s="48"/>
      <c r="AB440" s="48"/>
      <c r="AC440" s="48"/>
      <c r="AD440" s="48"/>
      <c r="AE440" s="48"/>
      <c r="AF440" s="60"/>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56"/>
      <c r="BJ440" s="56"/>
      <c r="BK440" s="56"/>
      <c r="BL440" s="56"/>
      <c r="BM440" s="56"/>
      <c r="BN440" s="56"/>
      <c r="BO440" s="56"/>
      <c r="BP440" s="56"/>
      <c r="BQ440" s="56"/>
      <c r="BR440" s="56"/>
      <c r="BS440" s="56"/>
      <c r="BT440" s="56"/>
      <c r="BU440" s="56"/>
      <c r="BV440" s="56"/>
      <c r="BW440" s="56"/>
      <c r="BX440" s="56"/>
    </row>
    <row r="441">
      <c r="A441" s="48"/>
      <c r="B441" s="48"/>
      <c r="C441" s="48"/>
      <c r="D441" s="48"/>
      <c r="E441" s="48"/>
      <c r="F441" s="48"/>
      <c r="G441" s="48"/>
      <c r="H441" s="48"/>
      <c r="I441" s="48"/>
      <c r="J441" s="48"/>
      <c r="K441" s="64"/>
      <c r="L441" s="64"/>
      <c r="M441" s="48"/>
      <c r="N441" s="48"/>
      <c r="O441" s="48"/>
      <c r="P441" s="48"/>
      <c r="Q441" s="48"/>
      <c r="R441" s="48"/>
      <c r="S441" s="60"/>
      <c r="T441" s="48"/>
      <c r="U441" s="48"/>
      <c r="V441" s="48"/>
      <c r="W441" s="48"/>
      <c r="X441" s="48"/>
      <c r="Y441" s="48"/>
      <c r="Z441" s="48"/>
      <c r="AA441" s="48"/>
      <c r="AB441" s="48"/>
      <c r="AC441" s="48"/>
      <c r="AD441" s="48"/>
      <c r="AE441" s="48"/>
      <c r="AF441" s="60"/>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56"/>
      <c r="BJ441" s="56"/>
      <c r="BK441" s="56"/>
      <c r="BL441" s="56"/>
      <c r="BM441" s="56"/>
      <c r="BN441" s="56"/>
      <c r="BO441" s="56"/>
      <c r="BP441" s="56"/>
      <c r="BQ441" s="56"/>
      <c r="BR441" s="56"/>
      <c r="BS441" s="56"/>
      <c r="BT441" s="56"/>
      <c r="BU441" s="56"/>
      <c r="BV441" s="56"/>
      <c r="BW441" s="56"/>
      <c r="BX441" s="56"/>
    </row>
    <row r="442">
      <c r="A442" s="48"/>
      <c r="B442" s="48"/>
      <c r="C442" s="48"/>
      <c r="D442" s="48"/>
      <c r="E442" s="48"/>
      <c r="F442" s="48"/>
      <c r="G442" s="48"/>
      <c r="H442" s="48"/>
      <c r="I442" s="48"/>
      <c r="J442" s="48"/>
      <c r="K442" s="64"/>
      <c r="L442" s="64"/>
      <c r="M442" s="48"/>
      <c r="N442" s="48"/>
      <c r="O442" s="48"/>
      <c r="P442" s="48"/>
      <c r="Q442" s="48"/>
      <c r="R442" s="48"/>
      <c r="S442" s="60"/>
      <c r="T442" s="48"/>
      <c r="U442" s="48"/>
      <c r="V442" s="48"/>
      <c r="W442" s="48"/>
      <c r="X442" s="48"/>
      <c r="Y442" s="48"/>
      <c r="Z442" s="48"/>
      <c r="AA442" s="48"/>
      <c r="AB442" s="48"/>
      <c r="AC442" s="48"/>
      <c r="AD442" s="48"/>
      <c r="AE442" s="48"/>
      <c r="AF442" s="60"/>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56"/>
      <c r="BJ442" s="56"/>
      <c r="BK442" s="56"/>
      <c r="BL442" s="56"/>
      <c r="BM442" s="56"/>
      <c r="BN442" s="56"/>
      <c r="BO442" s="56"/>
      <c r="BP442" s="56"/>
      <c r="BQ442" s="56"/>
      <c r="BR442" s="56"/>
      <c r="BS442" s="56"/>
      <c r="BT442" s="56"/>
      <c r="BU442" s="56"/>
      <c r="BV442" s="56"/>
      <c r="BW442" s="56"/>
      <c r="BX442" s="56"/>
    </row>
    <row r="443">
      <c r="A443" s="48"/>
      <c r="B443" s="48"/>
      <c r="C443" s="48"/>
      <c r="D443" s="48"/>
      <c r="E443" s="48"/>
      <c r="F443" s="48"/>
      <c r="G443" s="48"/>
      <c r="H443" s="48"/>
      <c r="I443" s="48"/>
      <c r="J443" s="48"/>
      <c r="K443" s="64"/>
      <c r="L443" s="64"/>
      <c r="M443" s="48"/>
      <c r="N443" s="48"/>
      <c r="O443" s="48"/>
      <c r="P443" s="48"/>
      <c r="Q443" s="48"/>
      <c r="R443" s="48"/>
      <c r="S443" s="60"/>
      <c r="T443" s="48"/>
      <c r="U443" s="48"/>
      <c r="V443" s="48"/>
      <c r="W443" s="48"/>
      <c r="X443" s="48"/>
      <c r="Y443" s="48"/>
      <c r="Z443" s="48"/>
      <c r="AA443" s="48"/>
      <c r="AB443" s="48"/>
      <c r="AC443" s="48"/>
      <c r="AD443" s="48"/>
      <c r="AE443" s="48"/>
      <c r="AF443" s="60"/>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56"/>
      <c r="BJ443" s="56"/>
      <c r="BK443" s="56"/>
      <c r="BL443" s="56"/>
      <c r="BM443" s="56"/>
      <c r="BN443" s="56"/>
      <c r="BO443" s="56"/>
      <c r="BP443" s="56"/>
      <c r="BQ443" s="56"/>
      <c r="BR443" s="56"/>
      <c r="BS443" s="56"/>
      <c r="BT443" s="56"/>
      <c r="BU443" s="56"/>
      <c r="BV443" s="56"/>
      <c r="BW443" s="56"/>
      <c r="BX443" s="56"/>
    </row>
    <row r="444">
      <c r="A444" s="48"/>
      <c r="B444" s="48"/>
      <c r="C444" s="48"/>
      <c r="D444" s="48"/>
      <c r="E444" s="48"/>
      <c r="F444" s="48"/>
      <c r="G444" s="48"/>
      <c r="H444" s="48"/>
      <c r="I444" s="48"/>
      <c r="J444" s="48"/>
      <c r="K444" s="64"/>
      <c r="L444" s="64"/>
      <c r="M444" s="48"/>
      <c r="N444" s="48"/>
      <c r="O444" s="48"/>
      <c r="P444" s="48"/>
      <c r="Q444" s="48"/>
      <c r="R444" s="48"/>
      <c r="S444" s="60"/>
      <c r="T444" s="48"/>
      <c r="U444" s="48"/>
      <c r="V444" s="48"/>
      <c r="W444" s="48"/>
      <c r="X444" s="48"/>
      <c r="Y444" s="48"/>
      <c r="Z444" s="48"/>
      <c r="AA444" s="48"/>
      <c r="AB444" s="48"/>
      <c r="AC444" s="48"/>
      <c r="AD444" s="48"/>
      <c r="AE444" s="48"/>
      <c r="AF444" s="60"/>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56"/>
      <c r="BJ444" s="56"/>
      <c r="BK444" s="56"/>
      <c r="BL444" s="56"/>
      <c r="BM444" s="56"/>
      <c r="BN444" s="56"/>
      <c r="BO444" s="56"/>
      <c r="BP444" s="56"/>
      <c r="BQ444" s="56"/>
      <c r="BR444" s="56"/>
      <c r="BS444" s="56"/>
      <c r="BT444" s="56"/>
      <c r="BU444" s="56"/>
      <c r="BV444" s="56"/>
      <c r="BW444" s="56"/>
      <c r="BX444" s="56"/>
    </row>
    <row r="445">
      <c r="A445" s="48"/>
      <c r="B445" s="48"/>
      <c r="C445" s="48"/>
      <c r="D445" s="48"/>
      <c r="E445" s="48"/>
      <c r="F445" s="48"/>
      <c r="G445" s="48"/>
      <c r="H445" s="48"/>
      <c r="I445" s="48"/>
      <c r="J445" s="48"/>
      <c r="K445" s="64"/>
      <c r="L445" s="64"/>
      <c r="M445" s="48"/>
      <c r="N445" s="48"/>
      <c r="O445" s="48"/>
      <c r="P445" s="48"/>
      <c r="Q445" s="48"/>
      <c r="R445" s="48"/>
      <c r="S445" s="60"/>
      <c r="T445" s="48"/>
      <c r="U445" s="48"/>
      <c r="V445" s="48"/>
      <c r="W445" s="48"/>
      <c r="X445" s="48"/>
      <c r="Y445" s="48"/>
      <c r="Z445" s="48"/>
      <c r="AA445" s="48"/>
      <c r="AB445" s="48"/>
      <c r="AC445" s="48"/>
      <c r="AD445" s="48"/>
      <c r="AE445" s="48"/>
      <c r="AF445" s="60"/>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56"/>
      <c r="BJ445" s="56"/>
      <c r="BK445" s="56"/>
      <c r="BL445" s="56"/>
      <c r="BM445" s="56"/>
      <c r="BN445" s="56"/>
      <c r="BO445" s="56"/>
      <c r="BP445" s="56"/>
      <c r="BQ445" s="56"/>
      <c r="BR445" s="56"/>
      <c r="BS445" s="56"/>
      <c r="BT445" s="56"/>
      <c r="BU445" s="56"/>
      <c r="BV445" s="56"/>
      <c r="BW445" s="56"/>
      <c r="BX445" s="56"/>
    </row>
    <row r="446">
      <c r="A446" s="48"/>
      <c r="B446" s="48"/>
      <c r="C446" s="48"/>
      <c r="D446" s="48"/>
      <c r="E446" s="48"/>
      <c r="F446" s="48"/>
      <c r="G446" s="48"/>
      <c r="H446" s="48"/>
      <c r="I446" s="48"/>
      <c r="J446" s="48"/>
      <c r="K446" s="64"/>
      <c r="L446" s="64"/>
      <c r="M446" s="48"/>
      <c r="N446" s="48"/>
      <c r="O446" s="48"/>
      <c r="P446" s="48"/>
      <c r="Q446" s="48"/>
      <c r="R446" s="48"/>
      <c r="S446" s="60"/>
      <c r="T446" s="48"/>
      <c r="U446" s="48"/>
      <c r="V446" s="48"/>
      <c r="W446" s="48"/>
      <c r="X446" s="48"/>
      <c r="Y446" s="48"/>
      <c r="Z446" s="48"/>
      <c r="AA446" s="48"/>
      <c r="AB446" s="48"/>
      <c r="AC446" s="48"/>
      <c r="AD446" s="48"/>
      <c r="AE446" s="48"/>
      <c r="AF446" s="60"/>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56"/>
      <c r="BJ446" s="56"/>
      <c r="BK446" s="56"/>
      <c r="BL446" s="56"/>
      <c r="BM446" s="56"/>
      <c r="BN446" s="56"/>
      <c r="BO446" s="56"/>
      <c r="BP446" s="56"/>
      <c r="BQ446" s="56"/>
      <c r="BR446" s="56"/>
      <c r="BS446" s="56"/>
      <c r="BT446" s="56"/>
      <c r="BU446" s="56"/>
      <c r="BV446" s="56"/>
      <c r="BW446" s="56"/>
      <c r="BX446" s="56"/>
    </row>
    <row r="447">
      <c r="A447" s="48"/>
      <c r="B447" s="48"/>
      <c r="C447" s="48"/>
      <c r="D447" s="48"/>
      <c r="E447" s="48"/>
      <c r="F447" s="48"/>
      <c r="G447" s="48"/>
      <c r="H447" s="48"/>
      <c r="I447" s="48"/>
      <c r="J447" s="48"/>
      <c r="K447" s="64"/>
      <c r="L447" s="64"/>
      <c r="M447" s="48"/>
      <c r="N447" s="48"/>
      <c r="O447" s="48"/>
      <c r="P447" s="48"/>
      <c r="Q447" s="48"/>
      <c r="R447" s="48"/>
      <c r="S447" s="60"/>
      <c r="T447" s="48"/>
      <c r="U447" s="48"/>
      <c r="V447" s="48"/>
      <c r="W447" s="48"/>
      <c r="X447" s="48"/>
      <c r="Y447" s="48"/>
      <c r="Z447" s="48"/>
      <c r="AA447" s="48"/>
      <c r="AB447" s="48"/>
      <c r="AC447" s="48"/>
      <c r="AD447" s="48"/>
      <c r="AE447" s="48"/>
      <c r="AF447" s="60"/>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56"/>
      <c r="BJ447" s="56"/>
      <c r="BK447" s="56"/>
      <c r="BL447" s="56"/>
      <c r="BM447" s="56"/>
      <c r="BN447" s="56"/>
      <c r="BO447" s="56"/>
      <c r="BP447" s="56"/>
      <c r="BQ447" s="56"/>
      <c r="BR447" s="56"/>
      <c r="BS447" s="56"/>
      <c r="BT447" s="56"/>
      <c r="BU447" s="56"/>
      <c r="BV447" s="56"/>
      <c r="BW447" s="56"/>
      <c r="BX447" s="56"/>
    </row>
    <row r="448">
      <c r="A448" s="48"/>
      <c r="B448" s="48"/>
      <c r="C448" s="48"/>
      <c r="D448" s="48"/>
      <c r="E448" s="48"/>
      <c r="F448" s="48"/>
      <c r="G448" s="48"/>
      <c r="H448" s="48"/>
      <c r="I448" s="48"/>
      <c r="J448" s="48"/>
      <c r="K448" s="64"/>
      <c r="L448" s="64"/>
      <c r="M448" s="48"/>
      <c r="N448" s="48"/>
      <c r="O448" s="48"/>
      <c r="P448" s="48"/>
      <c r="Q448" s="48"/>
      <c r="R448" s="48"/>
      <c r="S448" s="60"/>
      <c r="T448" s="48"/>
      <c r="U448" s="48"/>
      <c r="V448" s="48"/>
      <c r="W448" s="48"/>
      <c r="X448" s="48"/>
      <c r="Y448" s="48"/>
      <c r="Z448" s="48"/>
      <c r="AA448" s="48"/>
      <c r="AB448" s="48"/>
      <c r="AC448" s="48"/>
      <c r="AD448" s="48"/>
      <c r="AE448" s="48"/>
      <c r="AF448" s="60"/>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56"/>
      <c r="BJ448" s="56"/>
      <c r="BK448" s="56"/>
      <c r="BL448" s="56"/>
      <c r="BM448" s="56"/>
      <c r="BN448" s="56"/>
      <c r="BO448" s="56"/>
      <c r="BP448" s="56"/>
      <c r="BQ448" s="56"/>
      <c r="BR448" s="56"/>
      <c r="BS448" s="56"/>
      <c r="BT448" s="56"/>
      <c r="BU448" s="56"/>
      <c r="BV448" s="56"/>
      <c r="BW448" s="56"/>
      <c r="BX448" s="56"/>
    </row>
    <row r="449">
      <c r="A449" s="48"/>
      <c r="B449" s="48"/>
      <c r="C449" s="48"/>
      <c r="D449" s="48"/>
      <c r="E449" s="48"/>
      <c r="F449" s="48"/>
      <c r="G449" s="48"/>
      <c r="H449" s="48"/>
      <c r="I449" s="48"/>
      <c r="J449" s="48"/>
      <c r="K449" s="64"/>
      <c r="L449" s="64"/>
      <c r="M449" s="48"/>
      <c r="N449" s="48"/>
      <c r="O449" s="48"/>
      <c r="P449" s="48"/>
      <c r="Q449" s="48"/>
      <c r="R449" s="48"/>
      <c r="S449" s="60"/>
      <c r="T449" s="48"/>
      <c r="U449" s="48"/>
      <c r="V449" s="48"/>
      <c r="W449" s="48"/>
      <c r="X449" s="48"/>
      <c r="Y449" s="48"/>
      <c r="Z449" s="48"/>
      <c r="AA449" s="48"/>
      <c r="AB449" s="48"/>
      <c r="AC449" s="48"/>
      <c r="AD449" s="48"/>
      <c r="AE449" s="48"/>
      <c r="AF449" s="60"/>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56"/>
      <c r="BJ449" s="56"/>
      <c r="BK449" s="56"/>
      <c r="BL449" s="56"/>
      <c r="BM449" s="56"/>
      <c r="BN449" s="56"/>
      <c r="BO449" s="56"/>
      <c r="BP449" s="56"/>
      <c r="BQ449" s="56"/>
      <c r="BR449" s="56"/>
      <c r="BS449" s="56"/>
      <c r="BT449" s="56"/>
      <c r="BU449" s="56"/>
      <c r="BV449" s="56"/>
      <c r="BW449" s="56"/>
      <c r="BX449" s="56"/>
    </row>
    <row r="450">
      <c r="A450" s="48"/>
      <c r="B450" s="48"/>
      <c r="C450" s="48"/>
      <c r="D450" s="48"/>
      <c r="E450" s="48"/>
      <c r="F450" s="48"/>
      <c r="G450" s="48"/>
      <c r="H450" s="48"/>
      <c r="I450" s="48"/>
      <c r="J450" s="48"/>
      <c r="K450" s="64"/>
      <c r="L450" s="64"/>
      <c r="M450" s="48"/>
      <c r="N450" s="48"/>
      <c r="O450" s="48"/>
      <c r="P450" s="48"/>
      <c r="Q450" s="48"/>
      <c r="R450" s="48"/>
      <c r="S450" s="60"/>
      <c r="T450" s="48"/>
      <c r="U450" s="48"/>
      <c r="V450" s="48"/>
      <c r="W450" s="48"/>
      <c r="X450" s="48"/>
      <c r="Y450" s="48"/>
      <c r="Z450" s="48"/>
      <c r="AA450" s="48"/>
      <c r="AB450" s="48"/>
      <c r="AC450" s="48"/>
      <c r="AD450" s="48"/>
      <c r="AE450" s="48"/>
      <c r="AF450" s="60"/>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56"/>
      <c r="BJ450" s="56"/>
      <c r="BK450" s="56"/>
      <c r="BL450" s="56"/>
      <c r="BM450" s="56"/>
      <c r="BN450" s="56"/>
      <c r="BO450" s="56"/>
      <c r="BP450" s="56"/>
      <c r="BQ450" s="56"/>
      <c r="BR450" s="56"/>
      <c r="BS450" s="56"/>
      <c r="BT450" s="56"/>
      <c r="BU450" s="56"/>
      <c r="BV450" s="56"/>
      <c r="BW450" s="56"/>
      <c r="BX450" s="56"/>
    </row>
    <row r="451">
      <c r="A451" s="48"/>
      <c r="B451" s="48"/>
      <c r="C451" s="48"/>
      <c r="D451" s="48"/>
      <c r="E451" s="48"/>
      <c r="F451" s="48"/>
      <c r="G451" s="48"/>
      <c r="H451" s="48"/>
      <c r="I451" s="48"/>
      <c r="J451" s="48"/>
      <c r="K451" s="64"/>
      <c r="L451" s="64"/>
      <c r="M451" s="48"/>
      <c r="N451" s="48"/>
      <c r="O451" s="48"/>
      <c r="P451" s="48"/>
      <c r="Q451" s="48"/>
      <c r="R451" s="48"/>
      <c r="S451" s="60"/>
      <c r="T451" s="48"/>
      <c r="U451" s="48"/>
      <c r="V451" s="48"/>
      <c r="W451" s="48"/>
      <c r="X451" s="48"/>
      <c r="Y451" s="48"/>
      <c r="Z451" s="48"/>
      <c r="AA451" s="48"/>
      <c r="AB451" s="48"/>
      <c r="AC451" s="48"/>
      <c r="AD451" s="48"/>
      <c r="AE451" s="48"/>
      <c r="AF451" s="60"/>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56"/>
      <c r="BJ451" s="56"/>
      <c r="BK451" s="56"/>
      <c r="BL451" s="56"/>
      <c r="BM451" s="56"/>
      <c r="BN451" s="56"/>
      <c r="BO451" s="56"/>
      <c r="BP451" s="56"/>
      <c r="BQ451" s="56"/>
      <c r="BR451" s="56"/>
      <c r="BS451" s="56"/>
      <c r="BT451" s="56"/>
      <c r="BU451" s="56"/>
      <c r="BV451" s="56"/>
      <c r="BW451" s="56"/>
      <c r="BX451" s="56"/>
    </row>
    <row r="452">
      <c r="A452" s="48"/>
      <c r="B452" s="48"/>
      <c r="C452" s="48"/>
      <c r="D452" s="48"/>
      <c r="E452" s="48"/>
      <c r="F452" s="48"/>
      <c r="G452" s="48"/>
      <c r="H452" s="48"/>
      <c r="I452" s="48"/>
      <c r="J452" s="48"/>
      <c r="K452" s="64"/>
      <c r="L452" s="64"/>
      <c r="M452" s="48"/>
      <c r="N452" s="48"/>
      <c r="O452" s="48"/>
      <c r="P452" s="48"/>
      <c r="Q452" s="48"/>
      <c r="R452" s="48"/>
      <c r="S452" s="60"/>
      <c r="T452" s="48"/>
      <c r="U452" s="48"/>
      <c r="V452" s="48"/>
      <c r="W452" s="48"/>
      <c r="X452" s="48"/>
      <c r="Y452" s="48"/>
      <c r="Z452" s="48"/>
      <c r="AA452" s="48"/>
      <c r="AB452" s="48"/>
      <c r="AC452" s="48"/>
      <c r="AD452" s="48"/>
      <c r="AE452" s="48"/>
      <c r="AF452" s="60"/>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56"/>
      <c r="BJ452" s="56"/>
      <c r="BK452" s="56"/>
      <c r="BL452" s="56"/>
      <c r="BM452" s="56"/>
      <c r="BN452" s="56"/>
      <c r="BO452" s="56"/>
      <c r="BP452" s="56"/>
      <c r="BQ452" s="56"/>
      <c r="BR452" s="56"/>
      <c r="BS452" s="56"/>
      <c r="BT452" s="56"/>
      <c r="BU452" s="56"/>
      <c r="BV452" s="56"/>
      <c r="BW452" s="56"/>
      <c r="BX452" s="56"/>
    </row>
    <row r="453">
      <c r="A453" s="48"/>
      <c r="B453" s="48"/>
      <c r="C453" s="48"/>
      <c r="D453" s="48"/>
      <c r="E453" s="48"/>
      <c r="F453" s="48"/>
      <c r="G453" s="48"/>
      <c r="H453" s="48"/>
      <c r="I453" s="48"/>
      <c r="J453" s="48"/>
      <c r="K453" s="64"/>
      <c r="L453" s="64"/>
      <c r="M453" s="48"/>
      <c r="N453" s="48"/>
      <c r="O453" s="48"/>
      <c r="P453" s="48"/>
      <c r="Q453" s="48"/>
      <c r="R453" s="48"/>
      <c r="S453" s="60"/>
      <c r="T453" s="48"/>
      <c r="U453" s="48"/>
      <c r="V453" s="48"/>
      <c r="W453" s="48"/>
      <c r="X453" s="48"/>
      <c r="Y453" s="48"/>
      <c r="Z453" s="48"/>
      <c r="AA453" s="48"/>
      <c r="AB453" s="48"/>
      <c r="AC453" s="48"/>
      <c r="AD453" s="48"/>
      <c r="AE453" s="48"/>
      <c r="AF453" s="60"/>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56"/>
      <c r="BJ453" s="56"/>
      <c r="BK453" s="56"/>
      <c r="BL453" s="56"/>
      <c r="BM453" s="56"/>
      <c r="BN453" s="56"/>
      <c r="BO453" s="56"/>
      <c r="BP453" s="56"/>
      <c r="BQ453" s="56"/>
      <c r="BR453" s="56"/>
      <c r="BS453" s="56"/>
      <c r="BT453" s="56"/>
      <c r="BU453" s="56"/>
      <c r="BV453" s="56"/>
      <c r="BW453" s="56"/>
      <c r="BX453" s="56"/>
    </row>
    <row r="454">
      <c r="A454" s="48"/>
      <c r="B454" s="48"/>
      <c r="C454" s="48"/>
      <c r="D454" s="48"/>
      <c r="E454" s="48"/>
      <c r="F454" s="48"/>
      <c r="G454" s="48"/>
      <c r="H454" s="48"/>
      <c r="I454" s="48"/>
      <c r="J454" s="48"/>
      <c r="K454" s="64"/>
      <c r="L454" s="64"/>
      <c r="M454" s="48"/>
      <c r="N454" s="48"/>
      <c r="O454" s="48"/>
      <c r="P454" s="48"/>
      <c r="Q454" s="48"/>
      <c r="R454" s="48"/>
      <c r="S454" s="60"/>
      <c r="T454" s="48"/>
      <c r="U454" s="48"/>
      <c r="V454" s="48"/>
      <c r="W454" s="48"/>
      <c r="X454" s="48"/>
      <c r="Y454" s="48"/>
      <c r="Z454" s="48"/>
      <c r="AA454" s="48"/>
      <c r="AB454" s="48"/>
      <c r="AC454" s="48"/>
      <c r="AD454" s="48"/>
      <c r="AE454" s="48"/>
      <c r="AF454" s="60"/>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56"/>
      <c r="BJ454" s="56"/>
      <c r="BK454" s="56"/>
      <c r="BL454" s="56"/>
      <c r="BM454" s="56"/>
      <c r="BN454" s="56"/>
      <c r="BO454" s="56"/>
      <c r="BP454" s="56"/>
      <c r="BQ454" s="56"/>
      <c r="BR454" s="56"/>
      <c r="BS454" s="56"/>
      <c r="BT454" s="56"/>
      <c r="BU454" s="56"/>
      <c r="BV454" s="56"/>
      <c r="BW454" s="56"/>
      <c r="BX454" s="56"/>
    </row>
    <row r="455">
      <c r="A455" s="48"/>
      <c r="B455" s="48"/>
      <c r="C455" s="48"/>
      <c r="D455" s="48"/>
      <c r="E455" s="48"/>
      <c r="F455" s="48"/>
      <c r="G455" s="48"/>
      <c r="H455" s="48"/>
      <c r="I455" s="48"/>
      <c r="J455" s="48"/>
      <c r="K455" s="64"/>
      <c r="L455" s="64"/>
      <c r="M455" s="48"/>
      <c r="N455" s="48"/>
      <c r="O455" s="48"/>
      <c r="P455" s="48"/>
      <c r="Q455" s="48"/>
      <c r="R455" s="48"/>
      <c r="S455" s="60"/>
      <c r="T455" s="48"/>
      <c r="U455" s="48"/>
      <c r="V455" s="48"/>
      <c r="W455" s="48"/>
      <c r="X455" s="48"/>
      <c r="Y455" s="48"/>
      <c r="Z455" s="48"/>
      <c r="AA455" s="48"/>
      <c r="AB455" s="48"/>
      <c r="AC455" s="48"/>
      <c r="AD455" s="48"/>
      <c r="AE455" s="48"/>
      <c r="AF455" s="60"/>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56"/>
      <c r="BJ455" s="56"/>
      <c r="BK455" s="56"/>
      <c r="BL455" s="56"/>
      <c r="BM455" s="56"/>
      <c r="BN455" s="56"/>
      <c r="BO455" s="56"/>
      <c r="BP455" s="56"/>
      <c r="BQ455" s="56"/>
      <c r="BR455" s="56"/>
      <c r="BS455" s="56"/>
      <c r="BT455" s="56"/>
      <c r="BU455" s="56"/>
      <c r="BV455" s="56"/>
      <c r="BW455" s="56"/>
      <c r="BX455" s="56"/>
    </row>
    <row r="456">
      <c r="A456" s="48"/>
      <c r="B456" s="48"/>
      <c r="C456" s="48"/>
      <c r="D456" s="48"/>
      <c r="E456" s="48"/>
      <c r="F456" s="48"/>
      <c r="G456" s="48"/>
      <c r="H456" s="48"/>
      <c r="I456" s="48"/>
      <c r="J456" s="48"/>
      <c r="K456" s="64"/>
      <c r="L456" s="64"/>
      <c r="M456" s="48"/>
      <c r="N456" s="48"/>
      <c r="O456" s="48"/>
      <c r="P456" s="48"/>
      <c r="Q456" s="48"/>
      <c r="R456" s="48"/>
      <c r="S456" s="60"/>
      <c r="T456" s="48"/>
      <c r="U456" s="48"/>
      <c r="V456" s="48"/>
      <c r="W456" s="48"/>
      <c r="X456" s="48"/>
      <c r="Y456" s="48"/>
      <c r="Z456" s="48"/>
      <c r="AA456" s="48"/>
      <c r="AB456" s="48"/>
      <c r="AC456" s="48"/>
      <c r="AD456" s="48"/>
      <c r="AE456" s="48"/>
      <c r="AF456" s="60"/>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56"/>
      <c r="BJ456" s="56"/>
      <c r="BK456" s="56"/>
      <c r="BL456" s="56"/>
      <c r="BM456" s="56"/>
      <c r="BN456" s="56"/>
      <c r="BO456" s="56"/>
      <c r="BP456" s="56"/>
      <c r="BQ456" s="56"/>
      <c r="BR456" s="56"/>
      <c r="BS456" s="56"/>
      <c r="BT456" s="56"/>
      <c r="BU456" s="56"/>
      <c r="BV456" s="56"/>
      <c r="BW456" s="56"/>
      <c r="BX456" s="56"/>
    </row>
    <row r="457">
      <c r="A457" s="48"/>
      <c r="B457" s="48"/>
      <c r="C457" s="48"/>
      <c r="D457" s="48"/>
      <c r="E457" s="48"/>
      <c r="F457" s="48"/>
      <c r="G457" s="48"/>
      <c r="H457" s="48"/>
      <c r="I457" s="48"/>
      <c r="J457" s="48"/>
      <c r="K457" s="64"/>
      <c r="L457" s="64"/>
      <c r="M457" s="48"/>
      <c r="N457" s="48"/>
      <c r="O457" s="48"/>
      <c r="P457" s="48"/>
      <c r="Q457" s="48"/>
      <c r="R457" s="48"/>
      <c r="S457" s="60"/>
      <c r="T457" s="48"/>
      <c r="U457" s="48"/>
      <c r="V457" s="48"/>
      <c r="W457" s="48"/>
      <c r="X457" s="48"/>
      <c r="Y457" s="48"/>
      <c r="Z457" s="48"/>
      <c r="AA457" s="48"/>
      <c r="AB457" s="48"/>
      <c r="AC457" s="48"/>
      <c r="AD457" s="48"/>
      <c r="AE457" s="48"/>
      <c r="AF457" s="60"/>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56"/>
      <c r="BJ457" s="56"/>
      <c r="BK457" s="56"/>
      <c r="BL457" s="56"/>
      <c r="BM457" s="56"/>
      <c r="BN457" s="56"/>
      <c r="BO457" s="56"/>
      <c r="BP457" s="56"/>
      <c r="BQ457" s="56"/>
      <c r="BR457" s="56"/>
      <c r="BS457" s="56"/>
      <c r="BT457" s="56"/>
      <c r="BU457" s="56"/>
      <c r="BV457" s="56"/>
      <c r="BW457" s="56"/>
      <c r="BX457" s="56"/>
    </row>
    <row r="458">
      <c r="A458" s="48"/>
      <c r="B458" s="48"/>
      <c r="C458" s="48"/>
      <c r="D458" s="48"/>
      <c r="E458" s="48"/>
      <c r="F458" s="48"/>
      <c r="G458" s="48"/>
      <c r="H458" s="48"/>
      <c r="I458" s="48"/>
      <c r="J458" s="48"/>
      <c r="K458" s="64"/>
      <c r="L458" s="64"/>
      <c r="M458" s="48"/>
      <c r="N458" s="48"/>
      <c r="O458" s="48"/>
      <c r="P458" s="48"/>
      <c r="Q458" s="48"/>
      <c r="R458" s="48"/>
      <c r="S458" s="60"/>
      <c r="T458" s="48"/>
      <c r="U458" s="48"/>
      <c r="V458" s="48"/>
      <c r="W458" s="48"/>
      <c r="X458" s="48"/>
      <c r="Y458" s="48"/>
      <c r="Z458" s="48"/>
      <c r="AA458" s="48"/>
      <c r="AB458" s="48"/>
      <c r="AC458" s="48"/>
      <c r="AD458" s="48"/>
      <c r="AE458" s="48"/>
      <c r="AF458" s="60"/>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56"/>
      <c r="BJ458" s="56"/>
      <c r="BK458" s="56"/>
      <c r="BL458" s="56"/>
      <c r="BM458" s="56"/>
      <c r="BN458" s="56"/>
      <c r="BO458" s="56"/>
      <c r="BP458" s="56"/>
      <c r="BQ458" s="56"/>
      <c r="BR458" s="56"/>
      <c r="BS458" s="56"/>
      <c r="BT458" s="56"/>
      <c r="BU458" s="56"/>
      <c r="BV458" s="56"/>
      <c r="BW458" s="56"/>
      <c r="BX458" s="56"/>
    </row>
    <row r="459">
      <c r="A459" s="48"/>
      <c r="B459" s="48"/>
      <c r="C459" s="48"/>
      <c r="D459" s="48"/>
      <c r="E459" s="48"/>
      <c r="F459" s="48"/>
      <c r="G459" s="48"/>
      <c r="H459" s="48"/>
      <c r="I459" s="48"/>
      <c r="J459" s="48"/>
      <c r="K459" s="64"/>
      <c r="L459" s="64"/>
      <c r="M459" s="48"/>
      <c r="N459" s="48"/>
      <c r="O459" s="48"/>
      <c r="P459" s="48"/>
      <c r="Q459" s="48"/>
      <c r="R459" s="48"/>
      <c r="S459" s="60"/>
      <c r="T459" s="48"/>
      <c r="U459" s="48"/>
      <c r="V459" s="48"/>
      <c r="W459" s="48"/>
      <c r="X459" s="48"/>
      <c r="Y459" s="48"/>
      <c r="Z459" s="48"/>
      <c r="AA459" s="48"/>
      <c r="AB459" s="48"/>
      <c r="AC459" s="48"/>
      <c r="AD459" s="48"/>
      <c r="AE459" s="48"/>
      <c r="AF459" s="60"/>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56"/>
      <c r="BJ459" s="56"/>
      <c r="BK459" s="56"/>
      <c r="BL459" s="56"/>
      <c r="BM459" s="56"/>
      <c r="BN459" s="56"/>
      <c r="BO459" s="56"/>
      <c r="BP459" s="56"/>
      <c r="BQ459" s="56"/>
      <c r="BR459" s="56"/>
      <c r="BS459" s="56"/>
      <c r="BT459" s="56"/>
      <c r="BU459" s="56"/>
      <c r="BV459" s="56"/>
      <c r="BW459" s="56"/>
      <c r="BX459" s="56"/>
    </row>
    <row r="460">
      <c r="A460" s="48"/>
      <c r="B460" s="48"/>
      <c r="C460" s="48"/>
      <c r="D460" s="48"/>
      <c r="E460" s="48"/>
      <c r="F460" s="48"/>
      <c r="G460" s="48"/>
      <c r="H460" s="48"/>
      <c r="I460" s="48"/>
      <c r="J460" s="48"/>
      <c r="K460" s="64"/>
      <c r="L460" s="64"/>
      <c r="M460" s="48"/>
      <c r="N460" s="48"/>
      <c r="O460" s="48"/>
      <c r="P460" s="48"/>
      <c r="Q460" s="48"/>
      <c r="R460" s="48"/>
      <c r="S460" s="60"/>
      <c r="T460" s="48"/>
      <c r="U460" s="48"/>
      <c r="V460" s="48"/>
      <c r="W460" s="48"/>
      <c r="X460" s="48"/>
      <c r="Y460" s="48"/>
      <c r="Z460" s="48"/>
      <c r="AA460" s="48"/>
      <c r="AB460" s="48"/>
      <c r="AC460" s="48"/>
      <c r="AD460" s="48"/>
      <c r="AE460" s="48"/>
      <c r="AF460" s="60"/>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56"/>
      <c r="BJ460" s="56"/>
      <c r="BK460" s="56"/>
      <c r="BL460" s="56"/>
      <c r="BM460" s="56"/>
      <c r="BN460" s="56"/>
      <c r="BO460" s="56"/>
      <c r="BP460" s="56"/>
      <c r="BQ460" s="56"/>
      <c r="BR460" s="56"/>
      <c r="BS460" s="56"/>
      <c r="BT460" s="56"/>
      <c r="BU460" s="56"/>
      <c r="BV460" s="56"/>
      <c r="BW460" s="56"/>
      <c r="BX460" s="56"/>
    </row>
    <row r="461">
      <c r="A461" s="48"/>
      <c r="B461" s="48"/>
      <c r="C461" s="48"/>
      <c r="D461" s="48"/>
      <c r="E461" s="48"/>
      <c r="F461" s="48"/>
      <c r="G461" s="48"/>
      <c r="H461" s="48"/>
      <c r="I461" s="48"/>
      <c r="J461" s="48"/>
      <c r="K461" s="64"/>
      <c r="L461" s="64"/>
      <c r="M461" s="48"/>
      <c r="N461" s="48"/>
      <c r="O461" s="48"/>
      <c r="P461" s="48"/>
      <c r="Q461" s="48"/>
      <c r="R461" s="48"/>
      <c r="S461" s="60"/>
      <c r="T461" s="48"/>
      <c r="U461" s="48"/>
      <c r="V461" s="48"/>
      <c r="W461" s="48"/>
      <c r="X461" s="48"/>
      <c r="Y461" s="48"/>
      <c r="Z461" s="48"/>
      <c r="AA461" s="48"/>
      <c r="AB461" s="48"/>
      <c r="AC461" s="48"/>
      <c r="AD461" s="48"/>
      <c r="AE461" s="48"/>
      <c r="AF461" s="60"/>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56"/>
      <c r="BJ461" s="56"/>
      <c r="BK461" s="56"/>
      <c r="BL461" s="56"/>
      <c r="BM461" s="56"/>
      <c r="BN461" s="56"/>
      <c r="BO461" s="56"/>
      <c r="BP461" s="56"/>
      <c r="BQ461" s="56"/>
      <c r="BR461" s="56"/>
      <c r="BS461" s="56"/>
      <c r="BT461" s="56"/>
      <c r="BU461" s="56"/>
      <c r="BV461" s="56"/>
      <c r="BW461" s="56"/>
      <c r="BX461" s="56"/>
    </row>
    <row r="462">
      <c r="A462" s="48"/>
      <c r="B462" s="48"/>
      <c r="C462" s="48"/>
      <c r="D462" s="48"/>
      <c r="E462" s="48"/>
      <c r="F462" s="48"/>
      <c r="G462" s="48"/>
      <c r="H462" s="48"/>
      <c r="I462" s="48"/>
      <c r="J462" s="48"/>
      <c r="K462" s="64"/>
      <c r="L462" s="64"/>
      <c r="M462" s="48"/>
      <c r="N462" s="48"/>
      <c r="O462" s="48"/>
      <c r="P462" s="48"/>
      <c r="Q462" s="48"/>
      <c r="R462" s="48"/>
      <c r="S462" s="60"/>
      <c r="T462" s="48"/>
      <c r="U462" s="48"/>
      <c r="V462" s="48"/>
      <c r="W462" s="48"/>
      <c r="X462" s="48"/>
      <c r="Y462" s="48"/>
      <c r="Z462" s="48"/>
      <c r="AA462" s="48"/>
      <c r="AB462" s="48"/>
      <c r="AC462" s="48"/>
      <c r="AD462" s="48"/>
      <c r="AE462" s="48"/>
      <c r="AF462" s="60"/>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56"/>
      <c r="BJ462" s="56"/>
      <c r="BK462" s="56"/>
      <c r="BL462" s="56"/>
      <c r="BM462" s="56"/>
      <c r="BN462" s="56"/>
      <c r="BO462" s="56"/>
      <c r="BP462" s="56"/>
      <c r="BQ462" s="56"/>
      <c r="BR462" s="56"/>
      <c r="BS462" s="56"/>
      <c r="BT462" s="56"/>
      <c r="BU462" s="56"/>
      <c r="BV462" s="56"/>
      <c r="BW462" s="56"/>
      <c r="BX462" s="56"/>
    </row>
    <row r="463">
      <c r="A463" s="48"/>
      <c r="B463" s="48"/>
      <c r="C463" s="48"/>
      <c r="D463" s="48"/>
      <c r="E463" s="48"/>
      <c r="F463" s="48"/>
      <c r="G463" s="48"/>
      <c r="H463" s="48"/>
      <c r="I463" s="48"/>
      <c r="J463" s="48"/>
      <c r="K463" s="64"/>
      <c r="L463" s="64"/>
      <c r="M463" s="48"/>
      <c r="N463" s="48"/>
      <c r="O463" s="48"/>
      <c r="P463" s="48"/>
      <c r="Q463" s="48"/>
      <c r="R463" s="48"/>
      <c r="S463" s="60"/>
      <c r="T463" s="48"/>
      <c r="U463" s="48"/>
      <c r="V463" s="48"/>
      <c r="W463" s="48"/>
      <c r="X463" s="48"/>
      <c r="Y463" s="48"/>
      <c r="Z463" s="48"/>
      <c r="AA463" s="48"/>
      <c r="AB463" s="48"/>
      <c r="AC463" s="48"/>
      <c r="AD463" s="48"/>
      <c r="AE463" s="48"/>
      <c r="AF463" s="60"/>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56"/>
      <c r="BJ463" s="56"/>
      <c r="BK463" s="56"/>
      <c r="BL463" s="56"/>
      <c r="BM463" s="56"/>
      <c r="BN463" s="56"/>
      <c r="BO463" s="56"/>
      <c r="BP463" s="56"/>
      <c r="BQ463" s="56"/>
      <c r="BR463" s="56"/>
      <c r="BS463" s="56"/>
      <c r="BT463" s="56"/>
      <c r="BU463" s="56"/>
      <c r="BV463" s="56"/>
      <c r="BW463" s="56"/>
      <c r="BX463" s="56"/>
    </row>
    <row r="464">
      <c r="A464" s="48"/>
      <c r="B464" s="48"/>
      <c r="C464" s="48"/>
      <c r="D464" s="48"/>
      <c r="E464" s="48"/>
      <c r="F464" s="48"/>
      <c r="G464" s="48"/>
      <c r="H464" s="48"/>
      <c r="I464" s="48"/>
      <c r="J464" s="48"/>
      <c r="K464" s="64"/>
      <c r="L464" s="64"/>
      <c r="M464" s="48"/>
      <c r="N464" s="48"/>
      <c r="O464" s="48"/>
      <c r="P464" s="48"/>
      <c r="Q464" s="48"/>
      <c r="R464" s="48"/>
      <c r="S464" s="60"/>
      <c r="T464" s="48"/>
      <c r="U464" s="48"/>
      <c r="V464" s="48"/>
      <c r="W464" s="48"/>
      <c r="X464" s="48"/>
      <c r="Y464" s="48"/>
      <c r="Z464" s="48"/>
      <c r="AA464" s="48"/>
      <c r="AB464" s="48"/>
      <c r="AC464" s="48"/>
      <c r="AD464" s="48"/>
      <c r="AE464" s="48"/>
      <c r="AF464" s="60"/>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56"/>
      <c r="BJ464" s="56"/>
      <c r="BK464" s="56"/>
      <c r="BL464" s="56"/>
      <c r="BM464" s="56"/>
      <c r="BN464" s="56"/>
      <c r="BO464" s="56"/>
      <c r="BP464" s="56"/>
      <c r="BQ464" s="56"/>
      <c r="BR464" s="56"/>
      <c r="BS464" s="56"/>
      <c r="BT464" s="56"/>
      <c r="BU464" s="56"/>
      <c r="BV464" s="56"/>
      <c r="BW464" s="56"/>
      <c r="BX464" s="56"/>
    </row>
    <row r="465">
      <c r="A465" s="48"/>
      <c r="B465" s="48"/>
      <c r="C465" s="48"/>
      <c r="D465" s="48"/>
      <c r="E465" s="48"/>
      <c r="F465" s="48"/>
      <c r="G465" s="48"/>
      <c r="H465" s="48"/>
      <c r="I465" s="48"/>
      <c r="J465" s="48"/>
      <c r="K465" s="64"/>
      <c r="L465" s="64"/>
      <c r="M465" s="48"/>
      <c r="N465" s="48"/>
      <c r="O465" s="48"/>
      <c r="P465" s="48"/>
      <c r="Q465" s="48"/>
      <c r="R465" s="48"/>
      <c r="S465" s="60"/>
      <c r="T465" s="48"/>
      <c r="U465" s="48"/>
      <c r="V465" s="48"/>
      <c r="W465" s="48"/>
      <c r="X465" s="48"/>
      <c r="Y465" s="48"/>
      <c r="Z465" s="48"/>
      <c r="AA465" s="48"/>
      <c r="AB465" s="48"/>
      <c r="AC465" s="48"/>
      <c r="AD465" s="48"/>
      <c r="AE465" s="48"/>
      <c r="AF465" s="60"/>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56"/>
      <c r="BJ465" s="56"/>
      <c r="BK465" s="56"/>
      <c r="BL465" s="56"/>
      <c r="BM465" s="56"/>
      <c r="BN465" s="56"/>
      <c r="BO465" s="56"/>
      <c r="BP465" s="56"/>
      <c r="BQ465" s="56"/>
      <c r="BR465" s="56"/>
      <c r="BS465" s="56"/>
      <c r="BT465" s="56"/>
      <c r="BU465" s="56"/>
      <c r="BV465" s="56"/>
      <c r="BW465" s="56"/>
      <c r="BX465" s="56"/>
    </row>
    <row r="466">
      <c r="A466" s="48"/>
      <c r="B466" s="48"/>
      <c r="C466" s="48"/>
      <c r="D466" s="48"/>
      <c r="E466" s="48"/>
      <c r="F466" s="48"/>
      <c r="G466" s="48"/>
      <c r="H466" s="48"/>
      <c r="I466" s="48"/>
      <c r="J466" s="48"/>
      <c r="K466" s="64"/>
      <c r="L466" s="64"/>
      <c r="M466" s="48"/>
      <c r="N466" s="48"/>
      <c r="O466" s="48"/>
      <c r="P466" s="48"/>
      <c r="Q466" s="48"/>
      <c r="R466" s="48"/>
      <c r="S466" s="60"/>
      <c r="T466" s="48"/>
      <c r="U466" s="48"/>
      <c r="V466" s="48"/>
      <c r="W466" s="48"/>
      <c r="X466" s="48"/>
      <c r="Y466" s="48"/>
      <c r="Z466" s="48"/>
      <c r="AA466" s="48"/>
      <c r="AB466" s="48"/>
      <c r="AC466" s="48"/>
      <c r="AD466" s="48"/>
      <c r="AE466" s="48"/>
      <c r="AF466" s="60"/>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56"/>
      <c r="BJ466" s="56"/>
      <c r="BK466" s="56"/>
      <c r="BL466" s="56"/>
      <c r="BM466" s="56"/>
      <c r="BN466" s="56"/>
      <c r="BO466" s="56"/>
      <c r="BP466" s="56"/>
      <c r="BQ466" s="56"/>
      <c r="BR466" s="56"/>
      <c r="BS466" s="56"/>
      <c r="BT466" s="56"/>
      <c r="BU466" s="56"/>
      <c r="BV466" s="56"/>
      <c r="BW466" s="56"/>
      <c r="BX466" s="56"/>
    </row>
    <row r="467">
      <c r="A467" s="48"/>
      <c r="B467" s="48"/>
      <c r="C467" s="48"/>
      <c r="D467" s="48"/>
      <c r="E467" s="48"/>
      <c r="F467" s="48"/>
      <c r="G467" s="48"/>
      <c r="H467" s="48"/>
      <c r="I467" s="48"/>
      <c r="J467" s="48"/>
      <c r="K467" s="64"/>
      <c r="L467" s="64"/>
      <c r="M467" s="48"/>
      <c r="N467" s="48"/>
      <c r="O467" s="48"/>
      <c r="P467" s="48"/>
      <c r="Q467" s="48"/>
      <c r="R467" s="48"/>
      <c r="S467" s="60"/>
      <c r="T467" s="48"/>
      <c r="U467" s="48"/>
      <c r="V467" s="48"/>
      <c r="W467" s="48"/>
      <c r="X467" s="48"/>
      <c r="Y467" s="48"/>
      <c r="Z467" s="48"/>
      <c r="AA467" s="48"/>
      <c r="AB467" s="48"/>
      <c r="AC467" s="48"/>
      <c r="AD467" s="48"/>
      <c r="AE467" s="48"/>
      <c r="AF467" s="60"/>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56"/>
      <c r="BJ467" s="56"/>
      <c r="BK467" s="56"/>
      <c r="BL467" s="56"/>
      <c r="BM467" s="56"/>
      <c r="BN467" s="56"/>
      <c r="BO467" s="56"/>
      <c r="BP467" s="56"/>
      <c r="BQ467" s="56"/>
      <c r="BR467" s="56"/>
      <c r="BS467" s="56"/>
      <c r="BT467" s="56"/>
      <c r="BU467" s="56"/>
      <c r="BV467" s="56"/>
      <c r="BW467" s="56"/>
      <c r="BX467" s="56"/>
    </row>
    <row r="468">
      <c r="A468" s="48"/>
      <c r="B468" s="48"/>
      <c r="C468" s="48"/>
      <c r="D468" s="48"/>
      <c r="E468" s="48"/>
      <c r="F468" s="48"/>
      <c r="G468" s="48"/>
      <c r="H468" s="48"/>
      <c r="I468" s="48"/>
      <c r="J468" s="48"/>
      <c r="K468" s="64"/>
      <c r="L468" s="64"/>
      <c r="M468" s="48"/>
      <c r="N468" s="48"/>
      <c r="O468" s="48"/>
      <c r="P468" s="48"/>
      <c r="Q468" s="48"/>
      <c r="R468" s="48"/>
      <c r="S468" s="60"/>
      <c r="T468" s="48"/>
      <c r="U468" s="48"/>
      <c r="V468" s="48"/>
      <c r="W468" s="48"/>
      <c r="X468" s="48"/>
      <c r="Y468" s="48"/>
      <c r="Z468" s="48"/>
      <c r="AA468" s="48"/>
      <c r="AB468" s="48"/>
      <c r="AC468" s="48"/>
      <c r="AD468" s="48"/>
      <c r="AE468" s="48"/>
      <c r="AF468" s="60"/>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56"/>
      <c r="BJ468" s="56"/>
      <c r="BK468" s="56"/>
      <c r="BL468" s="56"/>
      <c r="BM468" s="56"/>
      <c r="BN468" s="56"/>
      <c r="BO468" s="56"/>
      <c r="BP468" s="56"/>
      <c r="BQ468" s="56"/>
      <c r="BR468" s="56"/>
      <c r="BS468" s="56"/>
      <c r="BT468" s="56"/>
      <c r="BU468" s="56"/>
      <c r="BV468" s="56"/>
      <c r="BW468" s="56"/>
      <c r="BX468" s="56"/>
    </row>
    <row r="469">
      <c r="A469" s="48"/>
      <c r="B469" s="48"/>
      <c r="C469" s="48"/>
      <c r="D469" s="48"/>
      <c r="E469" s="48"/>
      <c r="F469" s="48"/>
      <c r="G469" s="48"/>
      <c r="H469" s="48"/>
      <c r="I469" s="48"/>
      <c r="J469" s="48"/>
      <c r="K469" s="64"/>
      <c r="L469" s="64"/>
      <c r="M469" s="48"/>
      <c r="N469" s="48"/>
      <c r="O469" s="48"/>
      <c r="P469" s="48"/>
      <c r="Q469" s="48"/>
      <c r="R469" s="48"/>
      <c r="S469" s="60"/>
      <c r="T469" s="48"/>
      <c r="U469" s="48"/>
      <c r="V469" s="48"/>
      <c r="W469" s="48"/>
      <c r="X469" s="48"/>
      <c r="Y469" s="48"/>
      <c r="Z469" s="48"/>
      <c r="AA469" s="48"/>
      <c r="AB469" s="48"/>
      <c r="AC469" s="48"/>
      <c r="AD469" s="48"/>
      <c r="AE469" s="48"/>
      <c r="AF469" s="60"/>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56"/>
      <c r="BJ469" s="56"/>
      <c r="BK469" s="56"/>
      <c r="BL469" s="56"/>
      <c r="BM469" s="56"/>
      <c r="BN469" s="56"/>
      <c r="BO469" s="56"/>
      <c r="BP469" s="56"/>
      <c r="BQ469" s="56"/>
      <c r="BR469" s="56"/>
      <c r="BS469" s="56"/>
      <c r="BT469" s="56"/>
      <c r="BU469" s="56"/>
      <c r="BV469" s="56"/>
      <c r="BW469" s="56"/>
      <c r="BX469" s="56"/>
    </row>
    <row r="470">
      <c r="A470" s="48"/>
      <c r="B470" s="48"/>
      <c r="C470" s="48"/>
      <c r="D470" s="48"/>
      <c r="E470" s="48"/>
      <c r="F470" s="48"/>
      <c r="G470" s="48"/>
      <c r="H470" s="48"/>
      <c r="I470" s="48"/>
      <c r="J470" s="48"/>
      <c r="K470" s="64"/>
      <c r="L470" s="64"/>
      <c r="M470" s="48"/>
      <c r="N470" s="48"/>
      <c r="O470" s="48"/>
      <c r="P470" s="48"/>
      <c r="Q470" s="48"/>
      <c r="R470" s="48"/>
      <c r="S470" s="60"/>
      <c r="T470" s="48"/>
      <c r="U470" s="48"/>
      <c r="V470" s="48"/>
      <c r="W470" s="48"/>
      <c r="X470" s="48"/>
      <c r="Y470" s="48"/>
      <c r="Z470" s="48"/>
      <c r="AA470" s="48"/>
      <c r="AB470" s="48"/>
      <c r="AC470" s="48"/>
      <c r="AD470" s="48"/>
      <c r="AE470" s="48"/>
      <c r="AF470" s="60"/>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56"/>
      <c r="BJ470" s="56"/>
      <c r="BK470" s="56"/>
      <c r="BL470" s="56"/>
      <c r="BM470" s="56"/>
      <c r="BN470" s="56"/>
      <c r="BO470" s="56"/>
      <c r="BP470" s="56"/>
      <c r="BQ470" s="56"/>
      <c r="BR470" s="56"/>
      <c r="BS470" s="56"/>
      <c r="BT470" s="56"/>
      <c r="BU470" s="56"/>
      <c r="BV470" s="56"/>
      <c r="BW470" s="56"/>
      <c r="BX470" s="56"/>
    </row>
    <row r="471">
      <c r="A471" s="48"/>
      <c r="B471" s="48"/>
      <c r="C471" s="48"/>
      <c r="D471" s="48"/>
      <c r="E471" s="48"/>
      <c r="F471" s="48"/>
      <c r="G471" s="48"/>
      <c r="H471" s="48"/>
      <c r="I471" s="48"/>
      <c r="J471" s="48"/>
      <c r="K471" s="64"/>
      <c r="L471" s="64"/>
      <c r="M471" s="48"/>
      <c r="N471" s="48"/>
      <c r="O471" s="48"/>
      <c r="P471" s="48"/>
      <c r="Q471" s="48"/>
      <c r="R471" s="48"/>
      <c r="S471" s="60"/>
      <c r="T471" s="48"/>
      <c r="U471" s="48"/>
      <c r="V471" s="48"/>
      <c r="W471" s="48"/>
      <c r="X471" s="48"/>
      <c r="Y471" s="48"/>
      <c r="Z471" s="48"/>
      <c r="AA471" s="48"/>
      <c r="AB471" s="48"/>
      <c r="AC471" s="48"/>
      <c r="AD471" s="48"/>
      <c r="AE471" s="48"/>
      <c r="AF471" s="60"/>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56"/>
      <c r="BJ471" s="56"/>
      <c r="BK471" s="56"/>
      <c r="BL471" s="56"/>
      <c r="BM471" s="56"/>
      <c r="BN471" s="56"/>
      <c r="BO471" s="56"/>
      <c r="BP471" s="56"/>
      <c r="BQ471" s="56"/>
      <c r="BR471" s="56"/>
      <c r="BS471" s="56"/>
      <c r="BT471" s="56"/>
      <c r="BU471" s="56"/>
      <c r="BV471" s="56"/>
      <c r="BW471" s="56"/>
      <c r="BX471" s="56"/>
    </row>
    <row r="472">
      <c r="A472" s="48"/>
      <c r="B472" s="48"/>
      <c r="C472" s="48"/>
      <c r="D472" s="48"/>
      <c r="E472" s="48"/>
      <c r="F472" s="48"/>
      <c r="G472" s="48"/>
      <c r="H472" s="48"/>
      <c r="I472" s="48"/>
      <c r="J472" s="48"/>
      <c r="K472" s="64"/>
      <c r="L472" s="64"/>
      <c r="M472" s="48"/>
      <c r="N472" s="48"/>
      <c r="O472" s="48"/>
      <c r="P472" s="48"/>
      <c r="Q472" s="48"/>
      <c r="R472" s="48"/>
      <c r="S472" s="60"/>
      <c r="T472" s="48"/>
      <c r="U472" s="48"/>
      <c r="V472" s="48"/>
      <c r="W472" s="48"/>
      <c r="X472" s="48"/>
      <c r="Y472" s="48"/>
      <c r="Z472" s="48"/>
      <c r="AA472" s="48"/>
      <c r="AB472" s="48"/>
      <c r="AC472" s="48"/>
      <c r="AD472" s="48"/>
      <c r="AE472" s="48"/>
      <c r="AF472" s="60"/>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56"/>
      <c r="BJ472" s="56"/>
      <c r="BK472" s="56"/>
      <c r="BL472" s="56"/>
      <c r="BM472" s="56"/>
      <c r="BN472" s="56"/>
      <c r="BO472" s="56"/>
      <c r="BP472" s="56"/>
      <c r="BQ472" s="56"/>
      <c r="BR472" s="56"/>
      <c r="BS472" s="56"/>
      <c r="BT472" s="56"/>
      <c r="BU472" s="56"/>
      <c r="BV472" s="56"/>
      <c r="BW472" s="56"/>
      <c r="BX472" s="56"/>
    </row>
    <row r="473">
      <c r="A473" s="48"/>
      <c r="B473" s="48"/>
      <c r="C473" s="48"/>
      <c r="D473" s="48"/>
      <c r="E473" s="48"/>
      <c r="F473" s="48"/>
      <c r="G473" s="48"/>
      <c r="H473" s="48"/>
      <c r="I473" s="48"/>
      <c r="J473" s="48"/>
      <c r="K473" s="64"/>
      <c r="L473" s="64"/>
      <c r="M473" s="48"/>
      <c r="N473" s="48"/>
      <c r="O473" s="48"/>
      <c r="P473" s="48"/>
      <c r="Q473" s="48"/>
      <c r="R473" s="48"/>
      <c r="S473" s="60"/>
      <c r="T473" s="48"/>
      <c r="U473" s="48"/>
      <c r="V473" s="48"/>
      <c r="W473" s="48"/>
      <c r="X473" s="48"/>
      <c r="Y473" s="48"/>
      <c r="Z473" s="48"/>
      <c r="AA473" s="48"/>
      <c r="AB473" s="48"/>
      <c r="AC473" s="48"/>
      <c r="AD473" s="48"/>
      <c r="AE473" s="48"/>
      <c r="AF473" s="60"/>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56"/>
      <c r="BJ473" s="56"/>
      <c r="BK473" s="56"/>
      <c r="BL473" s="56"/>
      <c r="BM473" s="56"/>
      <c r="BN473" s="56"/>
      <c r="BO473" s="56"/>
      <c r="BP473" s="56"/>
      <c r="BQ473" s="56"/>
      <c r="BR473" s="56"/>
      <c r="BS473" s="56"/>
      <c r="BT473" s="56"/>
      <c r="BU473" s="56"/>
      <c r="BV473" s="56"/>
      <c r="BW473" s="56"/>
      <c r="BX473" s="56"/>
    </row>
    <row r="474">
      <c r="A474" s="48"/>
      <c r="B474" s="48"/>
      <c r="C474" s="48"/>
      <c r="D474" s="48"/>
      <c r="E474" s="48"/>
      <c r="F474" s="48"/>
      <c r="G474" s="48"/>
      <c r="H474" s="48"/>
      <c r="I474" s="48"/>
      <c r="J474" s="48"/>
      <c r="K474" s="64"/>
      <c r="L474" s="64"/>
      <c r="M474" s="48"/>
      <c r="N474" s="48"/>
      <c r="O474" s="48"/>
      <c r="P474" s="48"/>
      <c r="Q474" s="48"/>
      <c r="R474" s="48"/>
      <c r="S474" s="60"/>
      <c r="T474" s="48"/>
      <c r="U474" s="48"/>
      <c r="V474" s="48"/>
      <c r="W474" s="48"/>
      <c r="X474" s="48"/>
      <c r="Y474" s="48"/>
      <c r="Z474" s="48"/>
      <c r="AA474" s="48"/>
      <c r="AB474" s="48"/>
      <c r="AC474" s="48"/>
      <c r="AD474" s="48"/>
      <c r="AE474" s="48"/>
      <c r="AF474" s="60"/>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56"/>
      <c r="BJ474" s="56"/>
      <c r="BK474" s="56"/>
      <c r="BL474" s="56"/>
      <c r="BM474" s="56"/>
      <c r="BN474" s="56"/>
      <c r="BO474" s="56"/>
      <c r="BP474" s="56"/>
      <c r="BQ474" s="56"/>
      <c r="BR474" s="56"/>
      <c r="BS474" s="56"/>
      <c r="BT474" s="56"/>
      <c r="BU474" s="56"/>
      <c r="BV474" s="56"/>
      <c r="BW474" s="56"/>
      <c r="BX474" s="56"/>
    </row>
    <row r="475">
      <c r="A475" s="48"/>
      <c r="B475" s="48"/>
      <c r="C475" s="48"/>
      <c r="D475" s="48"/>
      <c r="E475" s="48"/>
      <c r="F475" s="48"/>
      <c r="G475" s="48"/>
      <c r="H475" s="48"/>
      <c r="I475" s="48"/>
      <c r="J475" s="48"/>
      <c r="K475" s="64"/>
      <c r="L475" s="64"/>
      <c r="M475" s="48"/>
      <c r="N475" s="48"/>
      <c r="O475" s="48"/>
      <c r="P475" s="48"/>
      <c r="Q475" s="48"/>
      <c r="R475" s="48"/>
      <c r="S475" s="60"/>
      <c r="T475" s="48"/>
      <c r="U475" s="48"/>
      <c r="V475" s="48"/>
      <c r="W475" s="48"/>
      <c r="X475" s="48"/>
      <c r="Y475" s="48"/>
      <c r="Z475" s="48"/>
      <c r="AA475" s="48"/>
      <c r="AB475" s="48"/>
      <c r="AC475" s="48"/>
      <c r="AD475" s="48"/>
      <c r="AE475" s="48"/>
      <c r="AF475" s="60"/>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56"/>
      <c r="BJ475" s="56"/>
      <c r="BK475" s="56"/>
      <c r="BL475" s="56"/>
      <c r="BM475" s="56"/>
      <c r="BN475" s="56"/>
      <c r="BO475" s="56"/>
      <c r="BP475" s="56"/>
      <c r="BQ475" s="56"/>
      <c r="BR475" s="56"/>
      <c r="BS475" s="56"/>
      <c r="BT475" s="56"/>
      <c r="BU475" s="56"/>
      <c r="BV475" s="56"/>
      <c r="BW475" s="56"/>
      <c r="BX475" s="56"/>
    </row>
    <row r="476">
      <c r="A476" s="48"/>
      <c r="B476" s="48"/>
      <c r="C476" s="48"/>
      <c r="D476" s="48"/>
      <c r="E476" s="48"/>
      <c r="F476" s="48"/>
      <c r="G476" s="48"/>
      <c r="H476" s="48"/>
      <c r="I476" s="48"/>
      <c r="J476" s="48"/>
      <c r="K476" s="64"/>
      <c r="L476" s="64"/>
      <c r="M476" s="48"/>
      <c r="N476" s="48"/>
      <c r="O476" s="48"/>
      <c r="P476" s="48"/>
      <c r="Q476" s="48"/>
      <c r="R476" s="48"/>
      <c r="S476" s="60"/>
      <c r="T476" s="48"/>
      <c r="U476" s="48"/>
      <c r="V476" s="48"/>
      <c r="W476" s="48"/>
      <c r="X476" s="48"/>
      <c r="Y476" s="48"/>
      <c r="Z476" s="48"/>
      <c r="AA476" s="48"/>
      <c r="AB476" s="48"/>
      <c r="AC476" s="48"/>
      <c r="AD476" s="48"/>
      <c r="AE476" s="48"/>
      <c r="AF476" s="60"/>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56"/>
      <c r="BJ476" s="56"/>
      <c r="BK476" s="56"/>
      <c r="BL476" s="56"/>
      <c r="BM476" s="56"/>
      <c r="BN476" s="56"/>
      <c r="BO476" s="56"/>
      <c r="BP476" s="56"/>
      <c r="BQ476" s="56"/>
      <c r="BR476" s="56"/>
      <c r="BS476" s="56"/>
      <c r="BT476" s="56"/>
      <c r="BU476" s="56"/>
      <c r="BV476" s="56"/>
      <c r="BW476" s="56"/>
      <c r="BX476" s="56"/>
    </row>
    <row r="477">
      <c r="A477" s="48"/>
      <c r="B477" s="48"/>
      <c r="C477" s="48"/>
      <c r="D477" s="48"/>
      <c r="E477" s="48"/>
      <c r="F477" s="48"/>
      <c r="G477" s="48"/>
      <c r="H477" s="48"/>
      <c r="I477" s="48"/>
      <c r="J477" s="48"/>
      <c r="K477" s="64"/>
      <c r="L477" s="64"/>
      <c r="M477" s="48"/>
      <c r="N477" s="48"/>
      <c r="O477" s="48"/>
      <c r="P477" s="48"/>
      <c r="Q477" s="48"/>
      <c r="R477" s="48"/>
      <c r="S477" s="60"/>
      <c r="T477" s="48"/>
      <c r="U477" s="48"/>
      <c r="V477" s="48"/>
      <c r="W477" s="48"/>
      <c r="X477" s="48"/>
      <c r="Y477" s="48"/>
      <c r="Z477" s="48"/>
      <c r="AA477" s="48"/>
      <c r="AB477" s="48"/>
      <c r="AC477" s="48"/>
      <c r="AD477" s="48"/>
      <c r="AE477" s="48"/>
      <c r="AF477" s="60"/>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56"/>
      <c r="BJ477" s="56"/>
      <c r="BK477" s="56"/>
      <c r="BL477" s="56"/>
      <c r="BM477" s="56"/>
      <c r="BN477" s="56"/>
      <c r="BO477" s="56"/>
      <c r="BP477" s="56"/>
      <c r="BQ477" s="56"/>
      <c r="BR477" s="56"/>
      <c r="BS477" s="56"/>
      <c r="BT477" s="56"/>
      <c r="BU477" s="56"/>
      <c r="BV477" s="56"/>
      <c r="BW477" s="56"/>
      <c r="BX477" s="56"/>
    </row>
    <row r="478">
      <c r="A478" s="48"/>
      <c r="B478" s="48"/>
      <c r="C478" s="48"/>
      <c r="D478" s="48"/>
      <c r="E478" s="48"/>
      <c r="F478" s="48"/>
      <c r="G478" s="48"/>
      <c r="H478" s="48"/>
      <c r="I478" s="48"/>
      <c r="J478" s="48"/>
      <c r="K478" s="64"/>
      <c r="L478" s="64"/>
      <c r="M478" s="48"/>
      <c r="N478" s="48"/>
      <c r="O478" s="48"/>
      <c r="P478" s="48"/>
      <c r="Q478" s="48"/>
      <c r="R478" s="48"/>
      <c r="S478" s="60"/>
      <c r="T478" s="48"/>
      <c r="U478" s="48"/>
      <c r="V478" s="48"/>
      <c r="W478" s="48"/>
      <c r="X478" s="48"/>
      <c r="Y478" s="48"/>
      <c r="Z478" s="48"/>
      <c r="AA478" s="48"/>
      <c r="AB478" s="48"/>
      <c r="AC478" s="48"/>
      <c r="AD478" s="48"/>
      <c r="AE478" s="48"/>
      <c r="AF478" s="60"/>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56"/>
      <c r="BJ478" s="56"/>
      <c r="BK478" s="56"/>
      <c r="BL478" s="56"/>
      <c r="BM478" s="56"/>
      <c r="BN478" s="56"/>
      <c r="BO478" s="56"/>
      <c r="BP478" s="56"/>
      <c r="BQ478" s="56"/>
      <c r="BR478" s="56"/>
      <c r="BS478" s="56"/>
      <c r="BT478" s="56"/>
      <c r="BU478" s="56"/>
      <c r="BV478" s="56"/>
      <c r="BW478" s="56"/>
      <c r="BX478" s="56"/>
    </row>
    <row r="479">
      <c r="A479" s="48"/>
      <c r="B479" s="48"/>
      <c r="C479" s="48"/>
      <c r="D479" s="48"/>
      <c r="E479" s="48"/>
      <c r="F479" s="48"/>
      <c r="G479" s="48"/>
      <c r="H479" s="48"/>
      <c r="I479" s="48"/>
      <c r="J479" s="48"/>
      <c r="K479" s="64"/>
      <c r="L479" s="64"/>
      <c r="M479" s="48"/>
      <c r="N479" s="48"/>
      <c r="O479" s="48"/>
      <c r="P479" s="48"/>
      <c r="Q479" s="48"/>
      <c r="R479" s="48"/>
      <c r="S479" s="60"/>
      <c r="T479" s="48"/>
      <c r="U479" s="48"/>
      <c r="V479" s="48"/>
      <c r="W479" s="48"/>
      <c r="X479" s="48"/>
      <c r="Y479" s="48"/>
      <c r="Z479" s="48"/>
      <c r="AA479" s="48"/>
      <c r="AB479" s="48"/>
      <c r="AC479" s="48"/>
      <c r="AD479" s="48"/>
      <c r="AE479" s="48"/>
      <c r="AF479" s="60"/>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56"/>
      <c r="BJ479" s="56"/>
      <c r="BK479" s="56"/>
      <c r="BL479" s="56"/>
      <c r="BM479" s="56"/>
      <c r="BN479" s="56"/>
      <c r="BO479" s="56"/>
      <c r="BP479" s="56"/>
      <c r="BQ479" s="56"/>
      <c r="BR479" s="56"/>
      <c r="BS479" s="56"/>
      <c r="BT479" s="56"/>
      <c r="BU479" s="56"/>
      <c r="BV479" s="56"/>
      <c r="BW479" s="56"/>
      <c r="BX479" s="56"/>
    </row>
    <row r="480">
      <c r="A480" s="48"/>
      <c r="B480" s="48"/>
      <c r="C480" s="48"/>
      <c r="D480" s="48"/>
      <c r="E480" s="48"/>
      <c r="F480" s="48"/>
      <c r="G480" s="48"/>
      <c r="H480" s="48"/>
      <c r="I480" s="48"/>
      <c r="J480" s="48"/>
      <c r="K480" s="64"/>
      <c r="L480" s="64"/>
      <c r="M480" s="48"/>
      <c r="N480" s="48"/>
      <c r="O480" s="48"/>
      <c r="P480" s="48"/>
      <c r="Q480" s="48"/>
      <c r="R480" s="48"/>
      <c r="S480" s="60"/>
      <c r="T480" s="48"/>
      <c r="U480" s="48"/>
      <c r="V480" s="48"/>
      <c r="W480" s="48"/>
      <c r="X480" s="48"/>
      <c r="Y480" s="48"/>
      <c r="Z480" s="48"/>
      <c r="AA480" s="48"/>
      <c r="AB480" s="48"/>
      <c r="AC480" s="48"/>
      <c r="AD480" s="48"/>
      <c r="AE480" s="48"/>
      <c r="AF480" s="60"/>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56"/>
      <c r="BJ480" s="56"/>
      <c r="BK480" s="56"/>
      <c r="BL480" s="56"/>
      <c r="BM480" s="56"/>
      <c r="BN480" s="56"/>
      <c r="BO480" s="56"/>
      <c r="BP480" s="56"/>
      <c r="BQ480" s="56"/>
      <c r="BR480" s="56"/>
      <c r="BS480" s="56"/>
      <c r="BT480" s="56"/>
      <c r="BU480" s="56"/>
      <c r="BV480" s="56"/>
      <c r="BW480" s="56"/>
      <c r="BX480" s="56"/>
    </row>
    <row r="481">
      <c r="A481" s="48"/>
      <c r="B481" s="48"/>
      <c r="C481" s="48"/>
      <c r="D481" s="48"/>
      <c r="E481" s="48"/>
      <c r="F481" s="48"/>
      <c r="G481" s="48"/>
      <c r="H481" s="48"/>
      <c r="I481" s="48"/>
      <c r="J481" s="48"/>
      <c r="K481" s="64"/>
      <c r="L481" s="64"/>
      <c r="M481" s="48"/>
      <c r="N481" s="48"/>
      <c r="O481" s="48"/>
      <c r="P481" s="48"/>
      <c r="Q481" s="48"/>
      <c r="R481" s="48"/>
      <c r="S481" s="60"/>
      <c r="T481" s="48"/>
      <c r="U481" s="48"/>
      <c r="V481" s="48"/>
      <c r="W481" s="48"/>
      <c r="X481" s="48"/>
      <c r="Y481" s="48"/>
      <c r="Z481" s="48"/>
      <c r="AA481" s="48"/>
      <c r="AB481" s="48"/>
      <c r="AC481" s="48"/>
      <c r="AD481" s="48"/>
      <c r="AE481" s="48"/>
      <c r="AF481" s="60"/>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56"/>
      <c r="BJ481" s="56"/>
      <c r="BK481" s="56"/>
      <c r="BL481" s="56"/>
      <c r="BM481" s="56"/>
      <c r="BN481" s="56"/>
      <c r="BO481" s="56"/>
      <c r="BP481" s="56"/>
      <c r="BQ481" s="56"/>
      <c r="BR481" s="56"/>
      <c r="BS481" s="56"/>
      <c r="BT481" s="56"/>
      <c r="BU481" s="56"/>
      <c r="BV481" s="56"/>
      <c r="BW481" s="56"/>
      <c r="BX481" s="56"/>
    </row>
    <row r="482">
      <c r="A482" s="48"/>
      <c r="B482" s="48"/>
      <c r="C482" s="48"/>
      <c r="D482" s="48"/>
      <c r="E482" s="48"/>
      <c r="F482" s="48"/>
      <c r="G482" s="48"/>
      <c r="H482" s="48"/>
      <c r="I482" s="48"/>
      <c r="J482" s="48"/>
      <c r="K482" s="64"/>
      <c r="L482" s="64"/>
      <c r="M482" s="48"/>
      <c r="N482" s="48"/>
      <c r="O482" s="48"/>
      <c r="P482" s="48"/>
      <c r="Q482" s="48"/>
      <c r="R482" s="48"/>
      <c r="S482" s="60"/>
      <c r="T482" s="48"/>
      <c r="U482" s="48"/>
      <c r="V482" s="48"/>
      <c r="W482" s="48"/>
      <c r="X482" s="48"/>
      <c r="Y482" s="48"/>
      <c r="Z482" s="48"/>
      <c r="AA482" s="48"/>
      <c r="AB482" s="48"/>
      <c r="AC482" s="48"/>
      <c r="AD482" s="48"/>
      <c r="AE482" s="48"/>
      <c r="AF482" s="60"/>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56"/>
      <c r="BJ482" s="56"/>
      <c r="BK482" s="56"/>
      <c r="BL482" s="56"/>
      <c r="BM482" s="56"/>
      <c r="BN482" s="56"/>
      <c r="BO482" s="56"/>
      <c r="BP482" s="56"/>
      <c r="BQ482" s="56"/>
      <c r="BR482" s="56"/>
      <c r="BS482" s="56"/>
      <c r="BT482" s="56"/>
      <c r="BU482" s="56"/>
      <c r="BV482" s="56"/>
      <c r="BW482" s="56"/>
      <c r="BX482" s="56"/>
    </row>
    <row r="483">
      <c r="A483" s="48"/>
      <c r="B483" s="48"/>
      <c r="C483" s="48"/>
      <c r="D483" s="48"/>
      <c r="E483" s="48"/>
      <c r="F483" s="48"/>
      <c r="G483" s="48"/>
      <c r="H483" s="48"/>
      <c r="I483" s="48"/>
      <c r="J483" s="48"/>
      <c r="K483" s="64"/>
      <c r="L483" s="64"/>
      <c r="M483" s="48"/>
      <c r="N483" s="48"/>
      <c r="O483" s="48"/>
      <c r="P483" s="48"/>
      <c r="Q483" s="48"/>
      <c r="R483" s="48"/>
      <c r="S483" s="60"/>
      <c r="T483" s="48"/>
      <c r="U483" s="48"/>
      <c r="V483" s="48"/>
      <c r="W483" s="48"/>
      <c r="X483" s="48"/>
      <c r="Y483" s="48"/>
      <c r="Z483" s="48"/>
      <c r="AA483" s="48"/>
      <c r="AB483" s="48"/>
      <c r="AC483" s="48"/>
      <c r="AD483" s="48"/>
      <c r="AE483" s="48"/>
      <c r="AF483" s="60"/>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56"/>
      <c r="BJ483" s="56"/>
      <c r="BK483" s="56"/>
      <c r="BL483" s="56"/>
      <c r="BM483" s="56"/>
      <c r="BN483" s="56"/>
      <c r="BO483" s="56"/>
      <c r="BP483" s="56"/>
      <c r="BQ483" s="56"/>
      <c r="BR483" s="56"/>
      <c r="BS483" s="56"/>
      <c r="BT483" s="56"/>
      <c r="BU483" s="56"/>
      <c r="BV483" s="56"/>
      <c r="BW483" s="56"/>
      <c r="BX483" s="56"/>
    </row>
    <row r="484">
      <c r="A484" s="48"/>
      <c r="B484" s="48"/>
      <c r="C484" s="48"/>
      <c r="D484" s="48"/>
      <c r="E484" s="48"/>
      <c r="F484" s="48"/>
      <c r="G484" s="48"/>
      <c r="H484" s="48"/>
      <c r="I484" s="48"/>
      <c r="J484" s="48"/>
      <c r="K484" s="64"/>
      <c r="L484" s="64"/>
      <c r="M484" s="48"/>
      <c r="N484" s="48"/>
      <c r="O484" s="48"/>
      <c r="P484" s="48"/>
      <c r="Q484" s="48"/>
      <c r="R484" s="48"/>
      <c r="S484" s="60"/>
      <c r="T484" s="48"/>
      <c r="U484" s="48"/>
      <c r="V484" s="48"/>
      <c r="W484" s="48"/>
      <c r="X484" s="48"/>
      <c r="Y484" s="48"/>
      <c r="Z484" s="48"/>
      <c r="AA484" s="48"/>
      <c r="AB484" s="48"/>
      <c r="AC484" s="48"/>
      <c r="AD484" s="48"/>
      <c r="AE484" s="48"/>
      <c r="AF484" s="60"/>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56"/>
      <c r="BJ484" s="56"/>
      <c r="BK484" s="56"/>
      <c r="BL484" s="56"/>
      <c r="BM484" s="56"/>
      <c r="BN484" s="56"/>
      <c r="BO484" s="56"/>
      <c r="BP484" s="56"/>
      <c r="BQ484" s="56"/>
      <c r="BR484" s="56"/>
      <c r="BS484" s="56"/>
      <c r="BT484" s="56"/>
      <c r="BU484" s="56"/>
      <c r="BV484" s="56"/>
      <c r="BW484" s="56"/>
      <c r="BX484" s="56"/>
    </row>
    <row r="485">
      <c r="A485" s="48"/>
      <c r="B485" s="48"/>
      <c r="C485" s="48"/>
      <c r="D485" s="48"/>
      <c r="E485" s="48"/>
      <c r="F485" s="48"/>
      <c r="G485" s="48"/>
      <c r="H485" s="48"/>
      <c r="I485" s="48"/>
      <c r="J485" s="48"/>
      <c r="K485" s="64"/>
      <c r="L485" s="64"/>
      <c r="M485" s="48"/>
      <c r="N485" s="48"/>
      <c r="O485" s="48"/>
      <c r="P485" s="48"/>
      <c r="Q485" s="48"/>
      <c r="R485" s="48"/>
      <c r="S485" s="60"/>
      <c r="T485" s="48"/>
      <c r="U485" s="48"/>
      <c r="V485" s="48"/>
      <c r="W485" s="48"/>
      <c r="X485" s="48"/>
      <c r="Y485" s="48"/>
      <c r="Z485" s="48"/>
      <c r="AA485" s="48"/>
      <c r="AB485" s="48"/>
      <c r="AC485" s="48"/>
      <c r="AD485" s="48"/>
      <c r="AE485" s="48"/>
      <c r="AF485" s="60"/>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56"/>
      <c r="BJ485" s="56"/>
      <c r="BK485" s="56"/>
      <c r="BL485" s="56"/>
      <c r="BM485" s="56"/>
      <c r="BN485" s="56"/>
      <c r="BO485" s="56"/>
      <c r="BP485" s="56"/>
      <c r="BQ485" s="56"/>
      <c r="BR485" s="56"/>
      <c r="BS485" s="56"/>
      <c r="BT485" s="56"/>
      <c r="BU485" s="56"/>
      <c r="BV485" s="56"/>
      <c r="BW485" s="56"/>
      <c r="BX485" s="56"/>
    </row>
    <row r="486">
      <c r="A486" s="48"/>
      <c r="B486" s="48"/>
      <c r="C486" s="48"/>
      <c r="D486" s="48"/>
      <c r="E486" s="48"/>
      <c r="F486" s="48"/>
      <c r="G486" s="48"/>
      <c r="H486" s="48"/>
      <c r="I486" s="48"/>
      <c r="J486" s="48"/>
      <c r="K486" s="64"/>
      <c r="L486" s="64"/>
      <c r="M486" s="48"/>
      <c r="N486" s="48"/>
      <c r="O486" s="48"/>
      <c r="P486" s="48"/>
      <c r="Q486" s="48"/>
      <c r="R486" s="48"/>
      <c r="S486" s="60"/>
      <c r="T486" s="48"/>
      <c r="U486" s="48"/>
      <c r="V486" s="48"/>
      <c r="W486" s="48"/>
      <c r="X486" s="48"/>
      <c r="Y486" s="48"/>
      <c r="Z486" s="48"/>
      <c r="AA486" s="48"/>
      <c r="AB486" s="48"/>
      <c r="AC486" s="48"/>
      <c r="AD486" s="48"/>
      <c r="AE486" s="48"/>
      <c r="AF486" s="60"/>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56"/>
      <c r="BJ486" s="56"/>
      <c r="BK486" s="56"/>
      <c r="BL486" s="56"/>
      <c r="BM486" s="56"/>
      <c r="BN486" s="56"/>
      <c r="BO486" s="56"/>
      <c r="BP486" s="56"/>
      <c r="BQ486" s="56"/>
      <c r="BR486" s="56"/>
      <c r="BS486" s="56"/>
      <c r="BT486" s="56"/>
      <c r="BU486" s="56"/>
      <c r="BV486" s="56"/>
      <c r="BW486" s="56"/>
      <c r="BX486" s="56"/>
    </row>
    <row r="487">
      <c r="A487" s="48"/>
      <c r="B487" s="48"/>
      <c r="C487" s="48"/>
      <c r="D487" s="48"/>
      <c r="E487" s="48"/>
      <c r="F487" s="48"/>
      <c r="G487" s="48"/>
      <c r="H487" s="48"/>
      <c r="I487" s="48"/>
      <c r="J487" s="48"/>
      <c r="K487" s="64"/>
      <c r="L487" s="64"/>
      <c r="M487" s="48"/>
      <c r="N487" s="48"/>
      <c r="O487" s="48"/>
      <c r="P487" s="48"/>
      <c r="Q487" s="48"/>
      <c r="R487" s="48"/>
      <c r="S487" s="60"/>
      <c r="T487" s="48"/>
      <c r="U487" s="48"/>
      <c r="V487" s="48"/>
      <c r="W487" s="48"/>
      <c r="X487" s="48"/>
      <c r="Y487" s="48"/>
      <c r="Z487" s="48"/>
      <c r="AA487" s="48"/>
      <c r="AB487" s="48"/>
      <c r="AC487" s="48"/>
      <c r="AD487" s="48"/>
      <c r="AE487" s="48"/>
      <c r="AF487" s="60"/>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56"/>
      <c r="BJ487" s="56"/>
      <c r="BK487" s="56"/>
      <c r="BL487" s="56"/>
      <c r="BM487" s="56"/>
      <c r="BN487" s="56"/>
      <c r="BO487" s="56"/>
      <c r="BP487" s="56"/>
      <c r="BQ487" s="56"/>
      <c r="BR487" s="56"/>
      <c r="BS487" s="56"/>
      <c r="BT487" s="56"/>
      <c r="BU487" s="56"/>
      <c r="BV487" s="56"/>
      <c r="BW487" s="56"/>
      <c r="BX487" s="56"/>
    </row>
    <row r="488">
      <c r="A488" s="48"/>
      <c r="B488" s="48"/>
      <c r="C488" s="48"/>
      <c r="D488" s="48"/>
      <c r="E488" s="48"/>
      <c r="F488" s="48"/>
      <c r="G488" s="48"/>
      <c r="H488" s="48"/>
      <c r="I488" s="48"/>
      <c r="J488" s="48"/>
      <c r="K488" s="64"/>
      <c r="L488" s="64"/>
      <c r="M488" s="48"/>
      <c r="N488" s="48"/>
      <c r="O488" s="48"/>
      <c r="P488" s="48"/>
      <c r="Q488" s="48"/>
      <c r="R488" s="48"/>
      <c r="S488" s="60"/>
      <c r="T488" s="48"/>
      <c r="U488" s="48"/>
      <c r="V488" s="48"/>
      <c r="W488" s="48"/>
      <c r="X488" s="48"/>
      <c r="Y488" s="48"/>
      <c r="Z488" s="48"/>
      <c r="AA488" s="48"/>
      <c r="AB488" s="48"/>
      <c r="AC488" s="48"/>
      <c r="AD488" s="48"/>
      <c r="AE488" s="48"/>
      <c r="AF488" s="60"/>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56"/>
      <c r="BJ488" s="56"/>
      <c r="BK488" s="56"/>
      <c r="BL488" s="56"/>
      <c r="BM488" s="56"/>
      <c r="BN488" s="56"/>
      <c r="BO488" s="56"/>
      <c r="BP488" s="56"/>
      <c r="BQ488" s="56"/>
      <c r="BR488" s="56"/>
      <c r="BS488" s="56"/>
      <c r="BT488" s="56"/>
      <c r="BU488" s="56"/>
      <c r="BV488" s="56"/>
      <c r="BW488" s="56"/>
      <c r="BX488" s="56"/>
    </row>
    <row r="489">
      <c r="A489" s="48"/>
      <c r="B489" s="48"/>
      <c r="C489" s="48"/>
      <c r="D489" s="48"/>
      <c r="E489" s="48"/>
      <c r="F489" s="48"/>
      <c r="G489" s="48"/>
      <c r="H489" s="48"/>
      <c r="I489" s="48"/>
      <c r="J489" s="48"/>
      <c r="K489" s="64"/>
      <c r="L489" s="64"/>
      <c r="M489" s="48"/>
      <c r="N489" s="48"/>
      <c r="O489" s="48"/>
      <c r="P489" s="48"/>
      <c r="Q489" s="48"/>
      <c r="R489" s="48"/>
      <c r="S489" s="60"/>
      <c r="T489" s="48"/>
      <c r="U489" s="48"/>
      <c r="V489" s="48"/>
      <c r="W489" s="48"/>
      <c r="X489" s="48"/>
      <c r="Y489" s="48"/>
      <c r="Z489" s="48"/>
      <c r="AA489" s="48"/>
      <c r="AB489" s="48"/>
      <c r="AC489" s="48"/>
      <c r="AD489" s="48"/>
      <c r="AE489" s="48"/>
      <c r="AF489" s="60"/>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56"/>
      <c r="BJ489" s="56"/>
      <c r="BK489" s="56"/>
      <c r="BL489" s="56"/>
      <c r="BM489" s="56"/>
      <c r="BN489" s="56"/>
      <c r="BO489" s="56"/>
      <c r="BP489" s="56"/>
      <c r="BQ489" s="56"/>
      <c r="BR489" s="56"/>
      <c r="BS489" s="56"/>
      <c r="BT489" s="56"/>
      <c r="BU489" s="56"/>
      <c r="BV489" s="56"/>
      <c r="BW489" s="56"/>
      <c r="BX489" s="56"/>
    </row>
    <row r="490">
      <c r="A490" s="48"/>
      <c r="B490" s="48"/>
      <c r="C490" s="48"/>
      <c r="D490" s="48"/>
      <c r="E490" s="48"/>
      <c r="F490" s="48"/>
      <c r="G490" s="48"/>
      <c r="H490" s="48"/>
      <c r="I490" s="48"/>
      <c r="J490" s="48"/>
      <c r="K490" s="64"/>
      <c r="L490" s="64"/>
      <c r="M490" s="48"/>
      <c r="N490" s="48"/>
      <c r="O490" s="48"/>
      <c r="P490" s="48"/>
      <c r="Q490" s="48"/>
      <c r="R490" s="48"/>
      <c r="S490" s="60"/>
      <c r="T490" s="48"/>
      <c r="U490" s="48"/>
      <c r="V490" s="48"/>
      <c r="W490" s="48"/>
      <c r="X490" s="48"/>
      <c r="Y490" s="48"/>
      <c r="Z490" s="48"/>
      <c r="AA490" s="48"/>
      <c r="AB490" s="48"/>
      <c r="AC490" s="48"/>
      <c r="AD490" s="48"/>
      <c r="AE490" s="48"/>
      <c r="AF490" s="60"/>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56"/>
      <c r="BJ490" s="56"/>
      <c r="BK490" s="56"/>
      <c r="BL490" s="56"/>
      <c r="BM490" s="56"/>
      <c r="BN490" s="56"/>
      <c r="BO490" s="56"/>
      <c r="BP490" s="56"/>
      <c r="BQ490" s="56"/>
      <c r="BR490" s="56"/>
      <c r="BS490" s="56"/>
      <c r="BT490" s="56"/>
      <c r="BU490" s="56"/>
      <c r="BV490" s="56"/>
      <c r="BW490" s="56"/>
      <c r="BX490" s="56"/>
    </row>
    <row r="491">
      <c r="A491" s="48"/>
      <c r="B491" s="48"/>
      <c r="C491" s="48"/>
      <c r="D491" s="48"/>
      <c r="E491" s="48"/>
      <c r="F491" s="48"/>
      <c r="G491" s="48"/>
      <c r="H491" s="48"/>
      <c r="I491" s="48"/>
      <c r="J491" s="48"/>
      <c r="K491" s="64"/>
      <c r="L491" s="64"/>
      <c r="M491" s="48"/>
      <c r="N491" s="48"/>
      <c r="O491" s="48"/>
      <c r="P491" s="48"/>
      <c r="Q491" s="48"/>
      <c r="R491" s="48"/>
      <c r="S491" s="60"/>
      <c r="T491" s="48"/>
      <c r="U491" s="48"/>
      <c r="V491" s="48"/>
      <c r="W491" s="48"/>
      <c r="X491" s="48"/>
      <c r="Y491" s="48"/>
      <c r="Z491" s="48"/>
      <c r="AA491" s="48"/>
      <c r="AB491" s="48"/>
      <c r="AC491" s="48"/>
      <c r="AD491" s="48"/>
      <c r="AE491" s="48"/>
      <c r="AF491" s="60"/>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56"/>
      <c r="BJ491" s="56"/>
      <c r="BK491" s="56"/>
      <c r="BL491" s="56"/>
      <c r="BM491" s="56"/>
      <c r="BN491" s="56"/>
      <c r="BO491" s="56"/>
      <c r="BP491" s="56"/>
      <c r="BQ491" s="56"/>
      <c r="BR491" s="56"/>
      <c r="BS491" s="56"/>
      <c r="BT491" s="56"/>
      <c r="BU491" s="56"/>
      <c r="BV491" s="56"/>
      <c r="BW491" s="56"/>
      <c r="BX491" s="56"/>
    </row>
    <row r="492">
      <c r="A492" s="48"/>
      <c r="B492" s="48"/>
      <c r="C492" s="48"/>
      <c r="D492" s="48"/>
      <c r="E492" s="48"/>
      <c r="F492" s="48"/>
      <c r="G492" s="48"/>
      <c r="H492" s="48"/>
      <c r="I492" s="48"/>
      <c r="J492" s="48"/>
      <c r="K492" s="64"/>
      <c r="L492" s="64"/>
      <c r="M492" s="48"/>
      <c r="N492" s="48"/>
      <c r="O492" s="48"/>
      <c r="P492" s="48"/>
      <c r="Q492" s="48"/>
      <c r="R492" s="48"/>
      <c r="S492" s="60"/>
      <c r="T492" s="48"/>
      <c r="U492" s="48"/>
      <c r="V492" s="48"/>
      <c r="W492" s="48"/>
      <c r="X492" s="48"/>
      <c r="Y492" s="48"/>
      <c r="Z492" s="48"/>
      <c r="AA492" s="48"/>
      <c r="AB492" s="48"/>
      <c r="AC492" s="48"/>
      <c r="AD492" s="48"/>
      <c r="AE492" s="48"/>
      <c r="AF492" s="60"/>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56"/>
      <c r="BJ492" s="56"/>
      <c r="BK492" s="56"/>
      <c r="BL492" s="56"/>
      <c r="BM492" s="56"/>
      <c r="BN492" s="56"/>
      <c r="BO492" s="56"/>
      <c r="BP492" s="56"/>
      <c r="BQ492" s="56"/>
      <c r="BR492" s="56"/>
      <c r="BS492" s="56"/>
      <c r="BT492" s="56"/>
      <c r="BU492" s="56"/>
      <c r="BV492" s="56"/>
      <c r="BW492" s="56"/>
      <c r="BX492" s="56"/>
    </row>
    <row r="493">
      <c r="A493" s="48"/>
      <c r="B493" s="48"/>
      <c r="C493" s="48"/>
      <c r="D493" s="48"/>
      <c r="E493" s="48"/>
      <c r="F493" s="48"/>
      <c r="G493" s="48"/>
      <c r="H493" s="48"/>
      <c r="I493" s="48"/>
      <c r="J493" s="48"/>
      <c r="K493" s="64"/>
      <c r="L493" s="64"/>
      <c r="M493" s="48"/>
      <c r="N493" s="48"/>
      <c r="O493" s="48"/>
      <c r="P493" s="48"/>
      <c r="Q493" s="48"/>
      <c r="R493" s="48"/>
      <c r="S493" s="60"/>
      <c r="T493" s="48"/>
      <c r="U493" s="48"/>
      <c r="V493" s="48"/>
      <c r="W493" s="48"/>
      <c r="X493" s="48"/>
      <c r="Y493" s="48"/>
      <c r="Z493" s="48"/>
      <c r="AA493" s="48"/>
      <c r="AB493" s="48"/>
      <c r="AC493" s="48"/>
      <c r="AD493" s="48"/>
      <c r="AE493" s="48"/>
      <c r="AF493" s="60"/>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56"/>
      <c r="BJ493" s="56"/>
      <c r="BK493" s="56"/>
      <c r="BL493" s="56"/>
      <c r="BM493" s="56"/>
      <c r="BN493" s="56"/>
      <c r="BO493" s="56"/>
      <c r="BP493" s="56"/>
      <c r="BQ493" s="56"/>
      <c r="BR493" s="56"/>
      <c r="BS493" s="56"/>
      <c r="BT493" s="56"/>
      <c r="BU493" s="56"/>
      <c r="BV493" s="56"/>
      <c r="BW493" s="56"/>
      <c r="BX493" s="56"/>
    </row>
    <row r="494">
      <c r="A494" s="48"/>
      <c r="B494" s="48"/>
      <c r="C494" s="48"/>
      <c r="D494" s="48"/>
      <c r="E494" s="48"/>
      <c r="F494" s="48"/>
      <c r="G494" s="48"/>
      <c r="H494" s="48"/>
      <c r="I494" s="48"/>
      <c r="J494" s="48"/>
      <c r="K494" s="64"/>
      <c r="L494" s="64"/>
      <c r="M494" s="48"/>
      <c r="N494" s="48"/>
      <c r="O494" s="48"/>
      <c r="P494" s="48"/>
      <c r="Q494" s="48"/>
      <c r="R494" s="48"/>
      <c r="S494" s="60"/>
      <c r="T494" s="48"/>
      <c r="U494" s="48"/>
      <c r="V494" s="48"/>
      <c r="W494" s="48"/>
      <c r="X494" s="48"/>
      <c r="Y494" s="48"/>
      <c r="Z494" s="48"/>
      <c r="AA494" s="48"/>
      <c r="AB494" s="48"/>
      <c r="AC494" s="48"/>
      <c r="AD494" s="48"/>
      <c r="AE494" s="48"/>
      <c r="AF494" s="60"/>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56"/>
      <c r="BJ494" s="56"/>
      <c r="BK494" s="56"/>
      <c r="BL494" s="56"/>
      <c r="BM494" s="56"/>
      <c r="BN494" s="56"/>
      <c r="BO494" s="56"/>
      <c r="BP494" s="56"/>
      <c r="BQ494" s="56"/>
      <c r="BR494" s="56"/>
      <c r="BS494" s="56"/>
      <c r="BT494" s="56"/>
      <c r="BU494" s="56"/>
      <c r="BV494" s="56"/>
      <c r="BW494" s="56"/>
      <c r="BX494" s="56"/>
    </row>
    <row r="495">
      <c r="A495" s="48"/>
      <c r="B495" s="48"/>
      <c r="C495" s="48"/>
      <c r="D495" s="48"/>
      <c r="E495" s="48"/>
      <c r="F495" s="48"/>
      <c r="G495" s="48"/>
      <c r="H495" s="48"/>
      <c r="I495" s="48"/>
      <c r="J495" s="48"/>
      <c r="K495" s="64"/>
      <c r="L495" s="64"/>
      <c r="M495" s="48"/>
      <c r="N495" s="48"/>
      <c r="O495" s="48"/>
      <c r="P495" s="48"/>
      <c r="Q495" s="48"/>
      <c r="R495" s="48"/>
      <c r="S495" s="60"/>
      <c r="T495" s="48"/>
      <c r="U495" s="48"/>
      <c r="V495" s="48"/>
      <c r="W495" s="48"/>
      <c r="X495" s="48"/>
      <c r="Y495" s="48"/>
      <c r="Z495" s="48"/>
      <c r="AA495" s="48"/>
      <c r="AB495" s="48"/>
      <c r="AC495" s="48"/>
      <c r="AD495" s="48"/>
      <c r="AE495" s="48"/>
      <c r="AF495" s="60"/>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56"/>
      <c r="BJ495" s="56"/>
      <c r="BK495" s="56"/>
      <c r="BL495" s="56"/>
      <c r="BM495" s="56"/>
      <c r="BN495" s="56"/>
      <c r="BO495" s="56"/>
      <c r="BP495" s="56"/>
      <c r="BQ495" s="56"/>
      <c r="BR495" s="56"/>
      <c r="BS495" s="56"/>
      <c r="BT495" s="56"/>
      <c r="BU495" s="56"/>
      <c r="BV495" s="56"/>
      <c r="BW495" s="56"/>
      <c r="BX495" s="56"/>
    </row>
    <row r="496">
      <c r="A496" s="48"/>
      <c r="B496" s="48"/>
      <c r="C496" s="48"/>
      <c r="D496" s="48"/>
      <c r="E496" s="48"/>
      <c r="F496" s="48"/>
      <c r="G496" s="48"/>
      <c r="H496" s="48"/>
      <c r="I496" s="48"/>
      <c r="J496" s="48"/>
      <c r="K496" s="64"/>
      <c r="L496" s="64"/>
      <c r="M496" s="48"/>
      <c r="N496" s="48"/>
      <c r="O496" s="48"/>
      <c r="P496" s="48"/>
      <c r="Q496" s="48"/>
      <c r="R496" s="48"/>
      <c r="S496" s="60"/>
      <c r="T496" s="48"/>
      <c r="U496" s="48"/>
      <c r="V496" s="48"/>
      <c r="W496" s="48"/>
      <c r="X496" s="48"/>
      <c r="Y496" s="48"/>
      <c r="Z496" s="48"/>
      <c r="AA496" s="48"/>
      <c r="AB496" s="48"/>
      <c r="AC496" s="48"/>
      <c r="AD496" s="48"/>
      <c r="AE496" s="48"/>
      <c r="AF496" s="60"/>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56"/>
      <c r="BJ496" s="56"/>
      <c r="BK496" s="56"/>
      <c r="BL496" s="56"/>
      <c r="BM496" s="56"/>
      <c r="BN496" s="56"/>
      <c r="BO496" s="56"/>
      <c r="BP496" s="56"/>
      <c r="BQ496" s="56"/>
      <c r="BR496" s="56"/>
      <c r="BS496" s="56"/>
      <c r="BT496" s="56"/>
      <c r="BU496" s="56"/>
      <c r="BV496" s="56"/>
      <c r="BW496" s="56"/>
      <c r="BX496" s="56"/>
    </row>
    <row r="497">
      <c r="A497" s="48"/>
      <c r="B497" s="48"/>
      <c r="C497" s="48"/>
      <c r="D497" s="48"/>
      <c r="E497" s="48"/>
      <c r="F497" s="48"/>
      <c r="G497" s="48"/>
      <c r="H497" s="48"/>
      <c r="I497" s="48"/>
      <c r="J497" s="48"/>
      <c r="K497" s="64"/>
      <c r="L497" s="64"/>
      <c r="M497" s="48"/>
      <c r="N497" s="48"/>
      <c r="O497" s="48"/>
      <c r="P497" s="48"/>
      <c r="Q497" s="48"/>
      <c r="R497" s="48"/>
      <c r="S497" s="60"/>
      <c r="T497" s="48"/>
      <c r="U497" s="48"/>
      <c r="V497" s="48"/>
      <c r="W497" s="48"/>
      <c r="X497" s="48"/>
      <c r="Y497" s="48"/>
      <c r="Z497" s="48"/>
      <c r="AA497" s="48"/>
      <c r="AB497" s="48"/>
      <c r="AC497" s="48"/>
      <c r="AD497" s="48"/>
      <c r="AE497" s="48"/>
      <c r="AF497" s="60"/>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56"/>
      <c r="BJ497" s="56"/>
      <c r="BK497" s="56"/>
      <c r="BL497" s="56"/>
      <c r="BM497" s="56"/>
      <c r="BN497" s="56"/>
      <c r="BO497" s="56"/>
      <c r="BP497" s="56"/>
      <c r="BQ497" s="56"/>
      <c r="BR497" s="56"/>
      <c r="BS497" s="56"/>
      <c r="BT497" s="56"/>
      <c r="BU497" s="56"/>
      <c r="BV497" s="56"/>
      <c r="BW497" s="56"/>
      <c r="BX497" s="56"/>
    </row>
    <row r="498">
      <c r="A498" s="48"/>
      <c r="B498" s="48"/>
      <c r="C498" s="48"/>
      <c r="D498" s="48"/>
      <c r="E498" s="48"/>
      <c r="F498" s="48"/>
      <c r="G498" s="48"/>
      <c r="H498" s="48"/>
      <c r="I498" s="48"/>
      <c r="J498" s="48"/>
      <c r="K498" s="64"/>
      <c r="L498" s="64"/>
      <c r="M498" s="48"/>
      <c r="N498" s="48"/>
      <c r="O498" s="48"/>
      <c r="P498" s="48"/>
      <c r="Q498" s="48"/>
      <c r="R498" s="48"/>
      <c r="S498" s="60"/>
      <c r="T498" s="48"/>
      <c r="U498" s="48"/>
      <c r="V498" s="48"/>
      <c r="W498" s="48"/>
      <c r="X498" s="48"/>
      <c r="Y498" s="48"/>
      <c r="Z498" s="48"/>
      <c r="AA498" s="48"/>
      <c r="AB498" s="48"/>
      <c r="AC498" s="48"/>
      <c r="AD498" s="48"/>
      <c r="AE498" s="48"/>
      <c r="AF498" s="60"/>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56"/>
      <c r="BJ498" s="56"/>
      <c r="BK498" s="56"/>
      <c r="BL498" s="56"/>
      <c r="BM498" s="56"/>
      <c r="BN498" s="56"/>
      <c r="BO498" s="56"/>
      <c r="BP498" s="56"/>
      <c r="BQ498" s="56"/>
      <c r="BR498" s="56"/>
      <c r="BS498" s="56"/>
      <c r="BT498" s="56"/>
      <c r="BU498" s="56"/>
      <c r="BV498" s="56"/>
      <c r="BW498" s="56"/>
      <c r="BX498" s="56"/>
    </row>
    <row r="499">
      <c r="A499" s="48"/>
      <c r="B499" s="48"/>
      <c r="C499" s="48"/>
      <c r="D499" s="48"/>
      <c r="E499" s="48"/>
      <c r="F499" s="48"/>
      <c r="G499" s="48"/>
      <c r="H499" s="48"/>
      <c r="I499" s="48"/>
      <c r="J499" s="48"/>
      <c r="K499" s="64"/>
      <c r="L499" s="64"/>
      <c r="M499" s="48"/>
      <c r="N499" s="48"/>
      <c r="O499" s="48"/>
      <c r="P499" s="48"/>
      <c r="Q499" s="48"/>
      <c r="R499" s="48"/>
      <c r="S499" s="60"/>
      <c r="T499" s="48"/>
      <c r="U499" s="48"/>
      <c r="V499" s="48"/>
      <c r="W499" s="48"/>
      <c r="X499" s="48"/>
      <c r="Y499" s="48"/>
      <c r="Z499" s="48"/>
      <c r="AA499" s="48"/>
      <c r="AB499" s="48"/>
      <c r="AC499" s="48"/>
      <c r="AD499" s="48"/>
      <c r="AE499" s="48"/>
      <c r="AF499" s="60"/>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56"/>
      <c r="BJ499" s="56"/>
      <c r="BK499" s="56"/>
      <c r="BL499" s="56"/>
      <c r="BM499" s="56"/>
      <c r="BN499" s="56"/>
      <c r="BO499" s="56"/>
      <c r="BP499" s="56"/>
      <c r="BQ499" s="56"/>
      <c r="BR499" s="56"/>
      <c r="BS499" s="56"/>
      <c r="BT499" s="56"/>
      <c r="BU499" s="56"/>
      <c r="BV499" s="56"/>
      <c r="BW499" s="56"/>
      <c r="BX499" s="56"/>
    </row>
    <row r="500">
      <c r="A500" s="48"/>
      <c r="B500" s="48"/>
      <c r="C500" s="48"/>
      <c r="D500" s="48"/>
      <c r="E500" s="48"/>
      <c r="F500" s="48"/>
      <c r="G500" s="48"/>
      <c r="H500" s="48"/>
      <c r="I500" s="48"/>
      <c r="J500" s="48"/>
      <c r="K500" s="64"/>
      <c r="L500" s="64"/>
      <c r="M500" s="48"/>
      <c r="N500" s="48"/>
      <c r="O500" s="48"/>
      <c r="P500" s="48"/>
      <c r="Q500" s="48"/>
      <c r="R500" s="48"/>
      <c r="S500" s="60"/>
      <c r="T500" s="48"/>
      <c r="U500" s="48"/>
      <c r="V500" s="48"/>
      <c r="W500" s="48"/>
      <c r="X500" s="48"/>
      <c r="Y500" s="48"/>
      <c r="Z500" s="48"/>
      <c r="AA500" s="48"/>
      <c r="AB500" s="48"/>
      <c r="AC500" s="48"/>
      <c r="AD500" s="48"/>
      <c r="AE500" s="48"/>
      <c r="AF500" s="60"/>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56"/>
      <c r="BJ500" s="56"/>
      <c r="BK500" s="56"/>
      <c r="BL500" s="56"/>
      <c r="BM500" s="56"/>
      <c r="BN500" s="56"/>
      <c r="BO500" s="56"/>
      <c r="BP500" s="56"/>
      <c r="BQ500" s="56"/>
      <c r="BR500" s="56"/>
      <c r="BS500" s="56"/>
      <c r="BT500" s="56"/>
      <c r="BU500" s="56"/>
      <c r="BV500" s="56"/>
      <c r="BW500" s="56"/>
      <c r="BX500" s="56"/>
    </row>
    <row r="501">
      <c r="A501" s="48"/>
      <c r="B501" s="48"/>
      <c r="C501" s="48"/>
      <c r="D501" s="48"/>
      <c r="E501" s="48"/>
      <c r="F501" s="48"/>
      <c r="G501" s="48"/>
      <c r="H501" s="48"/>
      <c r="I501" s="48"/>
      <c r="J501" s="48"/>
      <c r="K501" s="64"/>
      <c r="L501" s="64"/>
      <c r="M501" s="48"/>
      <c r="N501" s="48"/>
      <c r="O501" s="48"/>
      <c r="P501" s="48"/>
      <c r="Q501" s="48"/>
      <c r="R501" s="48"/>
      <c r="S501" s="60"/>
      <c r="T501" s="48"/>
      <c r="U501" s="48"/>
      <c r="V501" s="48"/>
      <c r="W501" s="48"/>
      <c r="X501" s="48"/>
      <c r="Y501" s="48"/>
      <c r="Z501" s="48"/>
      <c r="AA501" s="48"/>
      <c r="AB501" s="48"/>
      <c r="AC501" s="48"/>
      <c r="AD501" s="48"/>
      <c r="AE501" s="48"/>
      <c r="AF501" s="60"/>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56"/>
      <c r="BJ501" s="56"/>
      <c r="BK501" s="56"/>
      <c r="BL501" s="56"/>
      <c r="BM501" s="56"/>
      <c r="BN501" s="56"/>
      <c r="BO501" s="56"/>
      <c r="BP501" s="56"/>
      <c r="BQ501" s="56"/>
      <c r="BR501" s="56"/>
      <c r="BS501" s="56"/>
      <c r="BT501" s="56"/>
      <c r="BU501" s="56"/>
      <c r="BV501" s="56"/>
      <c r="BW501" s="56"/>
      <c r="BX501" s="56"/>
    </row>
    <row r="502">
      <c r="A502" s="48"/>
      <c r="B502" s="48"/>
      <c r="C502" s="48"/>
      <c r="D502" s="48"/>
      <c r="E502" s="48"/>
      <c r="F502" s="48"/>
      <c r="G502" s="48"/>
      <c r="H502" s="48"/>
      <c r="I502" s="48"/>
      <c r="J502" s="48"/>
      <c r="K502" s="64"/>
      <c r="L502" s="64"/>
      <c r="M502" s="48"/>
      <c r="N502" s="48"/>
      <c r="O502" s="48"/>
      <c r="P502" s="48"/>
      <c r="Q502" s="48"/>
      <c r="R502" s="48"/>
      <c r="S502" s="60"/>
      <c r="T502" s="48"/>
      <c r="U502" s="48"/>
      <c r="V502" s="48"/>
      <c r="W502" s="48"/>
      <c r="X502" s="48"/>
      <c r="Y502" s="48"/>
      <c r="Z502" s="48"/>
      <c r="AA502" s="48"/>
      <c r="AB502" s="48"/>
      <c r="AC502" s="48"/>
      <c r="AD502" s="48"/>
      <c r="AE502" s="48"/>
      <c r="AF502" s="60"/>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56"/>
      <c r="BJ502" s="56"/>
      <c r="BK502" s="56"/>
      <c r="BL502" s="56"/>
      <c r="BM502" s="56"/>
      <c r="BN502" s="56"/>
      <c r="BO502" s="56"/>
      <c r="BP502" s="56"/>
      <c r="BQ502" s="56"/>
      <c r="BR502" s="56"/>
      <c r="BS502" s="56"/>
      <c r="BT502" s="56"/>
      <c r="BU502" s="56"/>
      <c r="BV502" s="56"/>
      <c r="BW502" s="56"/>
      <c r="BX502" s="56"/>
    </row>
    <row r="503">
      <c r="A503" s="48"/>
      <c r="B503" s="48"/>
      <c r="C503" s="48"/>
      <c r="D503" s="48"/>
      <c r="E503" s="48"/>
      <c r="F503" s="48"/>
      <c r="G503" s="48"/>
      <c r="H503" s="48"/>
      <c r="I503" s="48"/>
      <c r="J503" s="48"/>
      <c r="K503" s="64"/>
      <c r="L503" s="64"/>
      <c r="M503" s="48"/>
      <c r="N503" s="48"/>
      <c r="O503" s="48"/>
      <c r="P503" s="48"/>
      <c r="Q503" s="48"/>
      <c r="R503" s="48"/>
      <c r="S503" s="60"/>
      <c r="T503" s="48"/>
      <c r="U503" s="48"/>
      <c r="V503" s="48"/>
      <c r="W503" s="48"/>
      <c r="X503" s="48"/>
      <c r="Y503" s="48"/>
      <c r="Z503" s="48"/>
      <c r="AA503" s="48"/>
      <c r="AB503" s="48"/>
      <c r="AC503" s="48"/>
      <c r="AD503" s="48"/>
      <c r="AE503" s="48"/>
      <c r="AF503" s="60"/>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56"/>
      <c r="BJ503" s="56"/>
      <c r="BK503" s="56"/>
      <c r="BL503" s="56"/>
      <c r="BM503" s="56"/>
      <c r="BN503" s="56"/>
      <c r="BO503" s="56"/>
      <c r="BP503" s="56"/>
      <c r="BQ503" s="56"/>
      <c r="BR503" s="56"/>
      <c r="BS503" s="56"/>
      <c r="BT503" s="56"/>
      <c r="BU503" s="56"/>
      <c r="BV503" s="56"/>
      <c r="BW503" s="56"/>
      <c r="BX503" s="56"/>
    </row>
    <row r="504">
      <c r="A504" s="48"/>
      <c r="B504" s="48"/>
      <c r="C504" s="48"/>
      <c r="D504" s="48"/>
      <c r="E504" s="48"/>
      <c r="F504" s="48"/>
      <c r="G504" s="48"/>
      <c r="H504" s="48"/>
      <c r="I504" s="48"/>
      <c r="J504" s="48"/>
      <c r="K504" s="64"/>
      <c r="L504" s="64"/>
      <c r="M504" s="48"/>
      <c r="N504" s="48"/>
      <c r="O504" s="48"/>
      <c r="P504" s="48"/>
      <c r="Q504" s="48"/>
      <c r="R504" s="48"/>
      <c r="S504" s="60"/>
      <c r="T504" s="48"/>
      <c r="U504" s="48"/>
      <c r="V504" s="48"/>
      <c r="W504" s="48"/>
      <c r="X504" s="48"/>
      <c r="Y504" s="48"/>
      <c r="Z504" s="48"/>
      <c r="AA504" s="48"/>
      <c r="AB504" s="48"/>
      <c r="AC504" s="48"/>
      <c r="AD504" s="48"/>
      <c r="AE504" s="48"/>
      <c r="AF504" s="60"/>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56"/>
      <c r="BJ504" s="56"/>
      <c r="BK504" s="56"/>
      <c r="BL504" s="56"/>
      <c r="BM504" s="56"/>
      <c r="BN504" s="56"/>
      <c r="BO504" s="56"/>
      <c r="BP504" s="56"/>
      <c r="BQ504" s="56"/>
      <c r="BR504" s="56"/>
      <c r="BS504" s="56"/>
      <c r="BT504" s="56"/>
      <c r="BU504" s="56"/>
      <c r="BV504" s="56"/>
      <c r="BW504" s="56"/>
      <c r="BX504" s="56"/>
    </row>
    <row r="505">
      <c r="A505" s="48"/>
      <c r="B505" s="48"/>
      <c r="C505" s="48"/>
      <c r="D505" s="48"/>
      <c r="E505" s="48"/>
      <c r="F505" s="48"/>
      <c r="G505" s="48"/>
      <c r="H505" s="48"/>
      <c r="I505" s="48"/>
      <c r="J505" s="48"/>
      <c r="K505" s="64"/>
      <c r="L505" s="64"/>
      <c r="M505" s="48"/>
      <c r="N505" s="48"/>
      <c r="O505" s="48"/>
      <c r="P505" s="48"/>
      <c r="Q505" s="48"/>
      <c r="R505" s="48"/>
      <c r="S505" s="60"/>
      <c r="T505" s="48"/>
      <c r="U505" s="48"/>
      <c r="V505" s="48"/>
      <c r="W505" s="48"/>
      <c r="X505" s="48"/>
      <c r="Y505" s="48"/>
      <c r="Z505" s="48"/>
      <c r="AA505" s="48"/>
      <c r="AB505" s="48"/>
      <c r="AC505" s="48"/>
      <c r="AD505" s="48"/>
      <c r="AE505" s="48"/>
      <c r="AF505" s="60"/>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56"/>
      <c r="BJ505" s="56"/>
      <c r="BK505" s="56"/>
      <c r="BL505" s="56"/>
      <c r="BM505" s="56"/>
      <c r="BN505" s="56"/>
      <c r="BO505" s="56"/>
      <c r="BP505" s="56"/>
      <c r="BQ505" s="56"/>
      <c r="BR505" s="56"/>
      <c r="BS505" s="56"/>
      <c r="BT505" s="56"/>
      <c r="BU505" s="56"/>
      <c r="BV505" s="56"/>
      <c r="BW505" s="56"/>
      <c r="BX505" s="56"/>
    </row>
    <row r="506">
      <c r="A506" s="48"/>
      <c r="B506" s="48"/>
      <c r="C506" s="48"/>
      <c r="D506" s="48"/>
      <c r="E506" s="48"/>
      <c r="F506" s="48"/>
      <c r="G506" s="48"/>
      <c r="H506" s="48"/>
      <c r="I506" s="48"/>
      <c r="J506" s="48"/>
      <c r="K506" s="64"/>
      <c r="L506" s="64"/>
      <c r="M506" s="48"/>
      <c r="N506" s="48"/>
      <c r="O506" s="48"/>
      <c r="P506" s="48"/>
      <c r="Q506" s="48"/>
      <c r="R506" s="48"/>
      <c r="S506" s="60"/>
      <c r="T506" s="48"/>
      <c r="U506" s="48"/>
      <c r="V506" s="48"/>
      <c r="W506" s="48"/>
      <c r="X506" s="48"/>
      <c r="Y506" s="48"/>
      <c r="Z506" s="48"/>
      <c r="AA506" s="48"/>
      <c r="AB506" s="48"/>
      <c r="AC506" s="48"/>
      <c r="AD506" s="48"/>
      <c r="AE506" s="48"/>
      <c r="AF506" s="60"/>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56"/>
      <c r="BJ506" s="56"/>
      <c r="BK506" s="56"/>
      <c r="BL506" s="56"/>
      <c r="BM506" s="56"/>
      <c r="BN506" s="56"/>
      <c r="BO506" s="56"/>
      <c r="BP506" s="56"/>
      <c r="BQ506" s="56"/>
      <c r="BR506" s="56"/>
      <c r="BS506" s="56"/>
      <c r="BT506" s="56"/>
      <c r="BU506" s="56"/>
      <c r="BV506" s="56"/>
      <c r="BW506" s="56"/>
      <c r="BX506" s="56"/>
    </row>
    <row r="507">
      <c r="A507" s="48"/>
      <c r="B507" s="48"/>
      <c r="C507" s="48"/>
      <c r="D507" s="48"/>
      <c r="E507" s="48"/>
      <c r="F507" s="48"/>
      <c r="G507" s="48"/>
      <c r="H507" s="48"/>
      <c r="I507" s="48"/>
      <c r="J507" s="48"/>
      <c r="K507" s="64"/>
      <c r="L507" s="64"/>
      <c r="M507" s="48"/>
      <c r="N507" s="48"/>
      <c r="O507" s="48"/>
      <c r="P507" s="48"/>
      <c r="Q507" s="48"/>
      <c r="R507" s="48"/>
      <c r="S507" s="60"/>
      <c r="T507" s="48"/>
      <c r="U507" s="48"/>
      <c r="V507" s="48"/>
      <c r="W507" s="48"/>
      <c r="X507" s="48"/>
      <c r="Y507" s="48"/>
      <c r="Z507" s="48"/>
      <c r="AA507" s="48"/>
      <c r="AB507" s="48"/>
      <c r="AC507" s="48"/>
      <c r="AD507" s="48"/>
      <c r="AE507" s="48"/>
      <c r="AF507" s="60"/>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56"/>
      <c r="BJ507" s="56"/>
      <c r="BK507" s="56"/>
      <c r="BL507" s="56"/>
      <c r="BM507" s="56"/>
      <c r="BN507" s="56"/>
      <c r="BO507" s="56"/>
      <c r="BP507" s="56"/>
      <c r="BQ507" s="56"/>
      <c r="BR507" s="56"/>
      <c r="BS507" s="56"/>
      <c r="BT507" s="56"/>
      <c r="BU507" s="56"/>
      <c r="BV507" s="56"/>
      <c r="BW507" s="56"/>
      <c r="BX507" s="56"/>
    </row>
    <row r="508">
      <c r="A508" s="48"/>
      <c r="B508" s="48"/>
      <c r="C508" s="48"/>
      <c r="D508" s="48"/>
      <c r="E508" s="48"/>
      <c r="F508" s="48"/>
      <c r="G508" s="48"/>
      <c r="H508" s="48"/>
      <c r="I508" s="48"/>
      <c r="J508" s="48"/>
      <c r="K508" s="64"/>
      <c r="L508" s="64"/>
      <c r="M508" s="48"/>
      <c r="N508" s="48"/>
      <c r="O508" s="48"/>
      <c r="P508" s="48"/>
      <c r="Q508" s="48"/>
      <c r="R508" s="48"/>
      <c r="S508" s="60"/>
      <c r="T508" s="48"/>
      <c r="U508" s="48"/>
      <c r="V508" s="48"/>
      <c r="W508" s="48"/>
      <c r="X508" s="48"/>
      <c r="Y508" s="48"/>
      <c r="Z508" s="48"/>
      <c r="AA508" s="48"/>
      <c r="AB508" s="48"/>
      <c r="AC508" s="48"/>
      <c r="AD508" s="48"/>
      <c r="AE508" s="48"/>
      <c r="AF508" s="60"/>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56"/>
      <c r="BJ508" s="56"/>
      <c r="BK508" s="56"/>
      <c r="BL508" s="56"/>
      <c r="BM508" s="56"/>
      <c r="BN508" s="56"/>
      <c r="BO508" s="56"/>
      <c r="BP508" s="56"/>
      <c r="BQ508" s="56"/>
      <c r="BR508" s="56"/>
      <c r="BS508" s="56"/>
      <c r="BT508" s="56"/>
      <c r="BU508" s="56"/>
      <c r="BV508" s="56"/>
      <c r="BW508" s="56"/>
      <c r="BX508" s="56"/>
    </row>
    <row r="509">
      <c r="A509" s="48"/>
      <c r="B509" s="48"/>
      <c r="C509" s="48"/>
      <c r="D509" s="48"/>
      <c r="E509" s="48"/>
      <c r="F509" s="48"/>
      <c r="G509" s="48"/>
      <c r="H509" s="48"/>
      <c r="I509" s="48"/>
      <c r="J509" s="48"/>
      <c r="K509" s="64"/>
      <c r="L509" s="64"/>
      <c r="M509" s="48"/>
      <c r="N509" s="48"/>
      <c r="O509" s="48"/>
      <c r="P509" s="48"/>
      <c r="Q509" s="48"/>
      <c r="R509" s="48"/>
      <c r="S509" s="60"/>
      <c r="T509" s="48"/>
      <c r="U509" s="48"/>
      <c r="V509" s="48"/>
      <c r="W509" s="48"/>
      <c r="X509" s="48"/>
      <c r="Y509" s="48"/>
      <c r="Z509" s="48"/>
      <c r="AA509" s="48"/>
      <c r="AB509" s="48"/>
      <c r="AC509" s="48"/>
      <c r="AD509" s="48"/>
      <c r="AE509" s="48"/>
      <c r="AF509" s="60"/>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56"/>
      <c r="BJ509" s="56"/>
      <c r="BK509" s="56"/>
      <c r="BL509" s="56"/>
      <c r="BM509" s="56"/>
      <c r="BN509" s="56"/>
      <c r="BO509" s="56"/>
      <c r="BP509" s="56"/>
      <c r="BQ509" s="56"/>
      <c r="BR509" s="56"/>
      <c r="BS509" s="56"/>
      <c r="BT509" s="56"/>
      <c r="BU509" s="56"/>
      <c r="BV509" s="56"/>
      <c r="BW509" s="56"/>
      <c r="BX509" s="56"/>
    </row>
    <row r="510">
      <c r="A510" s="48"/>
      <c r="B510" s="48"/>
      <c r="C510" s="48"/>
      <c r="D510" s="48"/>
      <c r="E510" s="48"/>
      <c r="F510" s="48"/>
      <c r="G510" s="48"/>
      <c r="H510" s="48"/>
      <c r="I510" s="48"/>
      <c r="J510" s="48"/>
      <c r="K510" s="64"/>
      <c r="L510" s="64"/>
      <c r="M510" s="48"/>
      <c r="N510" s="48"/>
      <c r="O510" s="48"/>
      <c r="P510" s="48"/>
      <c r="Q510" s="48"/>
      <c r="R510" s="48"/>
      <c r="S510" s="60"/>
      <c r="T510" s="48"/>
      <c r="U510" s="48"/>
      <c r="V510" s="48"/>
      <c r="W510" s="48"/>
      <c r="X510" s="48"/>
      <c r="Y510" s="48"/>
      <c r="Z510" s="48"/>
      <c r="AA510" s="48"/>
      <c r="AB510" s="48"/>
      <c r="AC510" s="48"/>
      <c r="AD510" s="48"/>
      <c r="AE510" s="48"/>
      <c r="AF510" s="60"/>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56"/>
      <c r="BJ510" s="56"/>
      <c r="BK510" s="56"/>
      <c r="BL510" s="56"/>
      <c r="BM510" s="56"/>
      <c r="BN510" s="56"/>
      <c r="BO510" s="56"/>
      <c r="BP510" s="56"/>
      <c r="BQ510" s="56"/>
      <c r="BR510" s="56"/>
      <c r="BS510" s="56"/>
      <c r="BT510" s="56"/>
      <c r="BU510" s="56"/>
      <c r="BV510" s="56"/>
      <c r="BW510" s="56"/>
      <c r="BX510" s="56"/>
    </row>
    <row r="511">
      <c r="A511" s="48"/>
      <c r="B511" s="48"/>
      <c r="C511" s="48"/>
      <c r="D511" s="48"/>
      <c r="E511" s="48"/>
      <c r="F511" s="48"/>
      <c r="G511" s="48"/>
      <c r="H511" s="48"/>
      <c r="I511" s="48"/>
      <c r="J511" s="48"/>
      <c r="K511" s="64"/>
      <c r="L511" s="64"/>
      <c r="M511" s="48"/>
      <c r="N511" s="48"/>
      <c r="O511" s="48"/>
      <c r="P511" s="48"/>
      <c r="Q511" s="48"/>
      <c r="R511" s="48"/>
      <c r="S511" s="60"/>
      <c r="T511" s="48"/>
      <c r="U511" s="48"/>
      <c r="V511" s="48"/>
      <c r="W511" s="48"/>
      <c r="X511" s="48"/>
      <c r="Y511" s="48"/>
      <c r="Z511" s="48"/>
      <c r="AA511" s="48"/>
      <c r="AB511" s="48"/>
      <c r="AC511" s="48"/>
      <c r="AD511" s="48"/>
      <c r="AE511" s="48"/>
      <c r="AF511" s="60"/>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56"/>
      <c r="BJ511" s="56"/>
      <c r="BK511" s="56"/>
      <c r="BL511" s="56"/>
      <c r="BM511" s="56"/>
      <c r="BN511" s="56"/>
      <c r="BO511" s="56"/>
      <c r="BP511" s="56"/>
      <c r="BQ511" s="56"/>
      <c r="BR511" s="56"/>
      <c r="BS511" s="56"/>
      <c r="BT511" s="56"/>
      <c r="BU511" s="56"/>
      <c r="BV511" s="56"/>
      <c r="BW511" s="56"/>
      <c r="BX511" s="56"/>
    </row>
    <row r="512">
      <c r="A512" s="48"/>
      <c r="B512" s="48"/>
      <c r="C512" s="48"/>
      <c r="D512" s="48"/>
      <c r="E512" s="48"/>
      <c r="F512" s="48"/>
      <c r="G512" s="48"/>
      <c r="H512" s="48"/>
      <c r="I512" s="48"/>
      <c r="J512" s="48"/>
      <c r="K512" s="64"/>
      <c r="L512" s="64"/>
      <c r="M512" s="48"/>
      <c r="N512" s="48"/>
      <c r="O512" s="48"/>
      <c r="P512" s="48"/>
      <c r="Q512" s="48"/>
      <c r="R512" s="48"/>
      <c r="S512" s="60"/>
      <c r="T512" s="48"/>
      <c r="U512" s="48"/>
      <c r="V512" s="48"/>
      <c r="W512" s="48"/>
      <c r="X512" s="48"/>
      <c r="Y512" s="48"/>
      <c r="Z512" s="48"/>
      <c r="AA512" s="48"/>
      <c r="AB512" s="48"/>
      <c r="AC512" s="48"/>
      <c r="AD512" s="48"/>
      <c r="AE512" s="48"/>
      <c r="AF512" s="60"/>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56"/>
      <c r="BJ512" s="56"/>
      <c r="BK512" s="56"/>
      <c r="BL512" s="56"/>
      <c r="BM512" s="56"/>
      <c r="BN512" s="56"/>
      <c r="BO512" s="56"/>
      <c r="BP512" s="56"/>
      <c r="BQ512" s="56"/>
      <c r="BR512" s="56"/>
      <c r="BS512" s="56"/>
      <c r="BT512" s="56"/>
      <c r="BU512" s="56"/>
      <c r="BV512" s="56"/>
      <c r="BW512" s="56"/>
      <c r="BX512" s="56"/>
    </row>
    <row r="513">
      <c r="A513" s="48"/>
      <c r="B513" s="48"/>
      <c r="C513" s="48"/>
      <c r="D513" s="48"/>
      <c r="E513" s="48"/>
      <c r="F513" s="48"/>
      <c r="G513" s="48"/>
      <c r="H513" s="48"/>
      <c r="I513" s="48"/>
      <c r="J513" s="48"/>
      <c r="K513" s="64"/>
      <c r="L513" s="64"/>
      <c r="M513" s="48"/>
      <c r="N513" s="48"/>
      <c r="O513" s="48"/>
      <c r="P513" s="48"/>
      <c r="Q513" s="48"/>
      <c r="R513" s="48"/>
      <c r="S513" s="60"/>
      <c r="T513" s="48"/>
      <c r="U513" s="48"/>
      <c r="V513" s="48"/>
      <c r="W513" s="48"/>
      <c r="X513" s="48"/>
      <c r="Y513" s="48"/>
      <c r="Z513" s="48"/>
      <c r="AA513" s="48"/>
      <c r="AB513" s="48"/>
      <c r="AC513" s="48"/>
      <c r="AD513" s="48"/>
      <c r="AE513" s="48"/>
      <c r="AF513" s="60"/>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56"/>
      <c r="BJ513" s="56"/>
      <c r="BK513" s="56"/>
      <c r="BL513" s="56"/>
      <c r="BM513" s="56"/>
      <c r="BN513" s="56"/>
      <c r="BO513" s="56"/>
      <c r="BP513" s="56"/>
      <c r="BQ513" s="56"/>
      <c r="BR513" s="56"/>
      <c r="BS513" s="56"/>
      <c r="BT513" s="56"/>
      <c r="BU513" s="56"/>
      <c r="BV513" s="56"/>
      <c r="BW513" s="56"/>
      <c r="BX513" s="56"/>
    </row>
    <row r="514">
      <c r="A514" s="48"/>
      <c r="B514" s="48"/>
      <c r="C514" s="48"/>
      <c r="D514" s="48"/>
      <c r="E514" s="48"/>
      <c r="F514" s="48"/>
      <c r="G514" s="48"/>
      <c r="H514" s="48"/>
      <c r="I514" s="48"/>
      <c r="J514" s="48"/>
      <c r="K514" s="64"/>
      <c r="L514" s="64"/>
      <c r="M514" s="48"/>
      <c r="N514" s="48"/>
      <c r="O514" s="48"/>
      <c r="P514" s="48"/>
      <c r="Q514" s="48"/>
      <c r="R514" s="48"/>
      <c r="S514" s="60"/>
      <c r="T514" s="48"/>
      <c r="U514" s="48"/>
      <c r="V514" s="48"/>
      <c r="W514" s="48"/>
      <c r="X514" s="48"/>
      <c r="Y514" s="48"/>
      <c r="Z514" s="48"/>
      <c r="AA514" s="48"/>
      <c r="AB514" s="48"/>
      <c r="AC514" s="48"/>
      <c r="AD514" s="48"/>
      <c r="AE514" s="48"/>
      <c r="AF514" s="60"/>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56"/>
      <c r="BJ514" s="56"/>
      <c r="BK514" s="56"/>
      <c r="BL514" s="56"/>
      <c r="BM514" s="56"/>
      <c r="BN514" s="56"/>
      <c r="BO514" s="56"/>
      <c r="BP514" s="56"/>
      <c r="BQ514" s="56"/>
      <c r="BR514" s="56"/>
      <c r="BS514" s="56"/>
      <c r="BT514" s="56"/>
      <c r="BU514" s="56"/>
      <c r="BV514" s="56"/>
      <c r="BW514" s="56"/>
      <c r="BX514" s="56"/>
    </row>
    <row r="515">
      <c r="A515" s="48"/>
      <c r="B515" s="48"/>
      <c r="C515" s="48"/>
      <c r="D515" s="48"/>
      <c r="E515" s="48"/>
      <c r="F515" s="48"/>
      <c r="G515" s="48"/>
      <c r="H515" s="48"/>
      <c r="I515" s="48"/>
      <c r="J515" s="48"/>
      <c r="K515" s="64"/>
      <c r="L515" s="64"/>
      <c r="M515" s="48"/>
      <c r="N515" s="48"/>
      <c r="O515" s="48"/>
      <c r="P515" s="48"/>
      <c r="Q515" s="48"/>
      <c r="R515" s="48"/>
      <c r="S515" s="60"/>
      <c r="T515" s="48"/>
      <c r="U515" s="48"/>
      <c r="V515" s="48"/>
      <c r="W515" s="48"/>
      <c r="X515" s="48"/>
      <c r="Y515" s="48"/>
      <c r="Z515" s="48"/>
      <c r="AA515" s="48"/>
      <c r="AB515" s="48"/>
      <c r="AC515" s="48"/>
      <c r="AD515" s="48"/>
      <c r="AE515" s="48"/>
      <c r="AF515" s="60"/>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56"/>
      <c r="BJ515" s="56"/>
      <c r="BK515" s="56"/>
      <c r="BL515" s="56"/>
      <c r="BM515" s="56"/>
      <c r="BN515" s="56"/>
      <c r="BO515" s="56"/>
      <c r="BP515" s="56"/>
      <c r="BQ515" s="56"/>
      <c r="BR515" s="56"/>
      <c r="BS515" s="56"/>
      <c r="BT515" s="56"/>
      <c r="BU515" s="56"/>
      <c r="BV515" s="56"/>
      <c r="BW515" s="56"/>
      <c r="BX515" s="56"/>
    </row>
    <row r="516">
      <c r="A516" s="48"/>
      <c r="B516" s="48"/>
      <c r="C516" s="48"/>
      <c r="D516" s="48"/>
      <c r="E516" s="48"/>
      <c r="F516" s="48"/>
      <c r="G516" s="48"/>
      <c r="H516" s="48"/>
      <c r="I516" s="48"/>
      <c r="J516" s="48"/>
      <c r="K516" s="64"/>
      <c r="L516" s="64"/>
      <c r="M516" s="48"/>
      <c r="N516" s="48"/>
      <c r="O516" s="48"/>
      <c r="P516" s="48"/>
      <c r="Q516" s="48"/>
      <c r="R516" s="48"/>
      <c r="S516" s="60"/>
      <c r="T516" s="48"/>
      <c r="U516" s="48"/>
      <c r="V516" s="48"/>
      <c r="W516" s="48"/>
      <c r="X516" s="48"/>
      <c r="Y516" s="48"/>
      <c r="Z516" s="48"/>
      <c r="AA516" s="48"/>
      <c r="AB516" s="48"/>
      <c r="AC516" s="48"/>
      <c r="AD516" s="48"/>
      <c r="AE516" s="48"/>
      <c r="AF516" s="60"/>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56"/>
      <c r="BJ516" s="56"/>
      <c r="BK516" s="56"/>
      <c r="BL516" s="56"/>
      <c r="BM516" s="56"/>
      <c r="BN516" s="56"/>
      <c r="BO516" s="56"/>
      <c r="BP516" s="56"/>
      <c r="BQ516" s="56"/>
      <c r="BR516" s="56"/>
      <c r="BS516" s="56"/>
      <c r="BT516" s="56"/>
      <c r="BU516" s="56"/>
      <c r="BV516" s="56"/>
      <c r="BW516" s="56"/>
      <c r="BX516" s="56"/>
    </row>
    <row r="517">
      <c r="A517" s="48"/>
      <c r="B517" s="48"/>
      <c r="C517" s="48"/>
      <c r="D517" s="48"/>
      <c r="E517" s="48"/>
      <c r="F517" s="48"/>
      <c r="G517" s="48"/>
      <c r="H517" s="48"/>
      <c r="I517" s="48"/>
      <c r="J517" s="48"/>
      <c r="K517" s="64"/>
      <c r="L517" s="64"/>
      <c r="M517" s="48"/>
      <c r="N517" s="48"/>
      <c r="O517" s="48"/>
      <c r="P517" s="48"/>
      <c r="Q517" s="48"/>
      <c r="R517" s="48"/>
      <c r="S517" s="60"/>
      <c r="T517" s="48"/>
      <c r="U517" s="48"/>
      <c r="V517" s="48"/>
      <c r="W517" s="48"/>
      <c r="X517" s="48"/>
      <c r="Y517" s="48"/>
      <c r="Z517" s="48"/>
      <c r="AA517" s="48"/>
      <c r="AB517" s="48"/>
      <c r="AC517" s="48"/>
      <c r="AD517" s="48"/>
      <c r="AE517" s="48"/>
      <c r="AF517" s="60"/>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56"/>
      <c r="BJ517" s="56"/>
      <c r="BK517" s="56"/>
      <c r="BL517" s="56"/>
      <c r="BM517" s="56"/>
      <c r="BN517" s="56"/>
      <c r="BO517" s="56"/>
      <c r="BP517" s="56"/>
      <c r="BQ517" s="56"/>
      <c r="BR517" s="56"/>
      <c r="BS517" s="56"/>
      <c r="BT517" s="56"/>
      <c r="BU517" s="56"/>
      <c r="BV517" s="56"/>
      <c r="BW517" s="56"/>
      <c r="BX517" s="56"/>
    </row>
    <row r="518">
      <c r="A518" s="48"/>
      <c r="B518" s="48"/>
      <c r="C518" s="48"/>
      <c r="D518" s="48"/>
      <c r="E518" s="48"/>
      <c r="F518" s="48"/>
      <c r="G518" s="48"/>
      <c r="H518" s="48"/>
      <c r="I518" s="48"/>
      <c r="J518" s="48"/>
      <c r="K518" s="64"/>
      <c r="L518" s="64"/>
      <c r="M518" s="48"/>
      <c r="N518" s="48"/>
      <c r="O518" s="48"/>
      <c r="P518" s="48"/>
      <c r="Q518" s="48"/>
      <c r="R518" s="48"/>
      <c r="S518" s="60"/>
      <c r="T518" s="48"/>
      <c r="U518" s="48"/>
      <c r="V518" s="48"/>
      <c r="W518" s="48"/>
      <c r="X518" s="48"/>
      <c r="Y518" s="48"/>
      <c r="Z518" s="48"/>
      <c r="AA518" s="48"/>
      <c r="AB518" s="48"/>
      <c r="AC518" s="48"/>
      <c r="AD518" s="48"/>
      <c r="AE518" s="48"/>
      <c r="AF518" s="60"/>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56"/>
      <c r="BJ518" s="56"/>
      <c r="BK518" s="56"/>
      <c r="BL518" s="56"/>
      <c r="BM518" s="56"/>
      <c r="BN518" s="56"/>
      <c r="BO518" s="56"/>
      <c r="BP518" s="56"/>
      <c r="BQ518" s="56"/>
      <c r="BR518" s="56"/>
      <c r="BS518" s="56"/>
      <c r="BT518" s="56"/>
      <c r="BU518" s="56"/>
      <c r="BV518" s="56"/>
      <c r="BW518" s="56"/>
      <c r="BX518" s="56"/>
    </row>
    <row r="519">
      <c r="A519" s="48"/>
      <c r="B519" s="48"/>
      <c r="C519" s="48"/>
      <c r="D519" s="48"/>
      <c r="E519" s="48"/>
      <c r="F519" s="48"/>
      <c r="G519" s="48"/>
      <c r="H519" s="48"/>
      <c r="I519" s="48"/>
      <c r="J519" s="48"/>
      <c r="K519" s="64"/>
      <c r="L519" s="64"/>
      <c r="M519" s="48"/>
      <c r="N519" s="48"/>
      <c r="O519" s="48"/>
      <c r="P519" s="48"/>
      <c r="Q519" s="48"/>
      <c r="R519" s="48"/>
      <c r="S519" s="60"/>
      <c r="T519" s="48"/>
      <c r="U519" s="48"/>
      <c r="V519" s="48"/>
      <c r="W519" s="48"/>
      <c r="X519" s="48"/>
      <c r="Y519" s="48"/>
      <c r="Z519" s="48"/>
      <c r="AA519" s="48"/>
      <c r="AB519" s="48"/>
      <c r="AC519" s="48"/>
      <c r="AD519" s="48"/>
      <c r="AE519" s="48"/>
      <c r="AF519" s="60"/>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56"/>
      <c r="BJ519" s="56"/>
      <c r="BK519" s="56"/>
      <c r="BL519" s="56"/>
      <c r="BM519" s="56"/>
      <c r="BN519" s="56"/>
      <c r="BO519" s="56"/>
      <c r="BP519" s="56"/>
      <c r="BQ519" s="56"/>
      <c r="BR519" s="56"/>
      <c r="BS519" s="56"/>
      <c r="BT519" s="56"/>
      <c r="BU519" s="56"/>
      <c r="BV519" s="56"/>
      <c r="BW519" s="56"/>
      <c r="BX519" s="56"/>
    </row>
    <row r="520">
      <c r="A520" s="48"/>
      <c r="B520" s="48"/>
      <c r="C520" s="48"/>
      <c r="D520" s="48"/>
      <c r="E520" s="48"/>
      <c r="F520" s="48"/>
      <c r="G520" s="48"/>
      <c r="H520" s="48"/>
      <c r="I520" s="48"/>
      <c r="J520" s="48"/>
      <c r="K520" s="64"/>
      <c r="L520" s="64"/>
      <c r="M520" s="48"/>
      <c r="N520" s="48"/>
      <c r="O520" s="48"/>
      <c r="P520" s="48"/>
      <c r="Q520" s="48"/>
      <c r="R520" s="48"/>
      <c r="S520" s="60"/>
      <c r="T520" s="48"/>
      <c r="U520" s="48"/>
      <c r="V520" s="48"/>
      <c r="W520" s="48"/>
      <c r="X520" s="48"/>
      <c r="Y520" s="48"/>
      <c r="Z520" s="48"/>
      <c r="AA520" s="48"/>
      <c r="AB520" s="48"/>
      <c r="AC520" s="48"/>
      <c r="AD520" s="48"/>
      <c r="AE520" s="48"/>
      <c r="AF520" s="60"/>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56"/>
      <c r="BJ520" s="56"/>
      <c r="BK520" s="56"/>
      <c r="BL520" s="56"/>
      <c r="BM520" s="56"/>
      <c r="BN520" s="56"/>
      <c r="BO520" s="56"/>
      <c r="BP520" s="56"/>
      <c r="BQ520" s="56"/>
      <c r="BR520" s="56"/>
      <c r="BS520" s="56"/>
      <c r="BT520" s="56"/>
      <c r="BU520" s="56"/>
      <c r="BV520" s="56"/>
      <c r="BW520" s="56"/>
      <c r="BX520" s="56"/>
    </row>
    <row r="521">
      <c r="A521" s="48"/>
      <c r="B521" s="48"/>
      <c r="C521" s="48"/>
      <c r="D521" s="48"/>
      <c r="E521" s="48"/>
      <c r="F521" s="48"/>
      <c r="G521" s="48"/>
      <c r="H521" s="48"/>
      <c r="I521" s="48"/>
      <c r="J521" s="48"/>
      <c r="K521" s="64"/>
      <c r="L521" s="64"/>
      <c r="M521" s="48"/>
      <c r="N521" s="48"/>
      <c r="O521" s="48"/>
      <c r="P521" s="48"/>
      <c r="Q521" s="48"/>
      <c r="R521" s="48"/>
      <c r="S521" s="60"/>
      <c r="T521" s="48"/>
      <c r="U521" s="48"/>
      <c r="V521" s="48"/>
      <c r="W521" s="48"/>
      <c r="X521" s="48"/>
      <c r="Y521" s="48"/>
      <c r="Z521" s="48"/>
      <c r="AA521" s="48"/>
      <c r="AB521" s="48"/>
      <c r="AC521" s="48"/>
      <c r="AD521" s="48"/>
      <c r="AE521" s="48"/>
      <c r="AF521" s="60"/>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56"/>
      <c r="BJ521" s="56"/>
      <c r="BK521" s="56"/>
      <c r="BL521" s="56"/>
      <c r="BM521" s="56"/>
      <c r="BN521" s="56"/>
      <c r="BO521" s="56"/>
      <c r="BP521" s="56"/>
      <c r="BQ521" s="56"/>
      <c r="BR521" s="56"/>
      <c r="BS521" s="56"/>
      <c r="BT521" s="56"/>
      <c r="BU521" s="56"/>
      <c r="BV521" s="56"/>
      <c r="BW521" s="56"/>
      <c r="BX521" s="56"/>
    </row>
    <row r="522">
      <c r="A522" s="48"/>
      <c r="B522" s="48"/>
      <c r="C522" s="48"/>
      <c r="D522" s="48"/>
      <c r="E522" s="48"/>
      <c r="F522" s="48"/>
      <c r="G522" s="48"/>
      <c r="H522" s="48"/>
      <c r="I522" s="48"/>
      <c r="J522" s="48"/>
      <c r="K522" s="64"/>
      <c r="L522" s="64"/>
      <c r="M522" s="48"/>
      <c r="N522" s="48"/>
      <c r="O522" s="48"/>
      <c r="P522" s="48"/>
      <c r="Q522" s="48"/>
      <c r="R522" s="48"/>
      <c r="S522" s="60"/>
      <c r="T522" s="48"/>
      <c r="U522" s="48"/>
      <c r="V522" s="48"/>
      <c r="W522" s="48"/>
      <c r="X522" s="48"/>
      <c r="Y522" s="48"/>
      <c r="Z522" s="48"/>
      <c r="AA522" s="48"/>
      <c r="AB522" s="48"/>
      <c r="AC522" s="48"/>
      <c r="AD522" s="48"/>
      <c r="AE522" s="48"/>
      <c r="AF522" s="60"/>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56"/>
      <c r="BJ522" s="56"/>
      <c r="BK522" s="56"/>
      <c r="BL522" s="56"/>
      <c r="BM522" s="56"/>
      <c r="BN522" s="56"/>
      <c r="BO522" s="56"/>
      <c r="BP522" s="56"/>
      <c r="BQ522" s="56"/>
      <c r="BR522" s="56"/>
      <c r="BS522" s="56"/>
      <c r="BT522" s="56"/>
      <c r="BU522" s="56"/>
      <c r="BV522" s="56"/>
      <c r="BW522" s="56"/>
      <c r="BX522" s="56"/>
    </row>
    <row r="523">
      <c r="A523" s="48"/>
      <c r="B523" s="48"/>
      <c r="C523" s="48"/>
      <c r="D523" s="48"/>
      <c r="E523" s="48"/>
      <c r="F523" s="48"/>
      <c r="G523" s="48"/>
      <c r="H523" s="48"/>
      <c r="I523" s="48"/>
      <c r="J523" s="48"/>
      <c r="K523" s="64"/>
      <c r="L523" s="64"/>
      <c r="M523" s="48"/>
      <c r="N523" s="48"/>
      <c r="O523" s="48"/>
      <c r="P523" s="48"/>
      <c r="Q523" s="48"/>
      <c r="R523" s="48"/>
      <c r="S523" s="60"/>
      <c r="T523" s="48"/>
      <c r="U523" s="48"/>
      <c r="V523" s="48"/>
      <c r="W523" s="48"/>
      <c r="X523" s="48"/>
      <c r="Y523" s="48"/>
      <c r="Z523" s="48"/>
      <c r="AA523" s="48"/>
      <c r="AB523" s="48"/>
      <c r="AC523" s="48"/>
      <c r="AD523" s="48"/>
      <c r="AE523" s="48"/>
      <c r="AF523" s="60"/>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56"/>
      <c r="BJ523" s="56"/>
      <c r="BK523" s="56"/>
      <c r="BL523" s="56"/>
      <c r="BM523" s="56"/>
      <c r="BN523" s="56"/>
      <c r="BO523" s="56"/>
      <c r="BP523" s="56"/>
      <c r="BQ523" s="56"/>
      <c r="BR523" s="56"/>
      <c r="BS523" s="56"/>
      <c r="BT523" s="56"/>
      <c r="BU523" s="56"/>
      <c r="BV523" s="56"/>
      <c r="BW523" s="56"/>
      <c r="BX523" s="56"/>
    </row>
    <row r="524">
      <c r="A524" s="48"/>
      <c r="B524" s="48"/>
      <c r="C524" s="48"/>
      <c r="D524" s="48"/>
      <c r="E524" s="48"/>
      <c r="F524" s="48"/>
      <c r="G524" s="48"/>
      <c r="H524" s="48"/>
      <c r="I524" s="48"/>
      <c r="J524" s="48"/>
      <c r="K524" s="64"/>
      <c r="L524" s="64"/>
      <c r="M524" s="48"/>
      <c r="N524" s="48"/>
      <c r="O524" s="48"/>
      <c r="P524" s="48"/>
      <c r="Q524" s="48"/>
      <c r="R524" s="48"/>
      <c r="S524" s="60"/>
      <c r="T524" s="48"/>
      <c r="U524" s="48"/>
      <c r="V524" s="48"/>
      <c r="W524" s="48"/>
      <c r="X524" s="48"/>
      <c r="Y524" s="48"/>
      <c r="Z524" s="48"/>
      <c r="AA524" s="48"/>
      <c r="AB524" s="48"/>
      <c r="AC524" s="48"/>
      <c r="AD524" s="48"/>
      <c r="AE524" s="48"/>
      <c r="AF524" s="60"/>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56"/>
      <c r="BJ524" s="56"/>
      <c r="BK524" s="56"/>
      <c r="BL524" s="56"/>
      <c r="BM524" s="56"/>
      <c r="BN524" s="56"/>
      <c r="BO524" s="56"/>
      <c r="BP524" s="56"/>
      <c r="BQ524" s="56"/>
      <c r="BR524" s="56"/>
      <c r="BS524" s="56"/>
      <c r="BT524" s="56"/>
      <c r="BU524" s="56"/>
      <c r="BV524" s="56"/>
      <c r="BW524" s="56"/>
      <c r="BX524" s="56"/>
    </row>
    <row r="525">
      <c r="A525" s="48"/>
      <c r="B525" s="48"/>
      <c r="C525" s="48"/>
      <c r="D525" s="48"/>
      <c r="E525" s="48"/>
      <c r="F525" s="48"/>
      <c r="G525" s="48"/>
      <c r="H525" s="48"/>
      <c r="I525" s="48"/>
      <c r="J525" s="48"/>
      <c r="K525" s="64"/>
      <c r="L525" s="64"/>
      <c r="M525" s="48"/>
      <c r="N525" s="48"/>
      <c r="O525" s="48"/>
      <c r="P525" s="48"/>
      <c r="Q525" s="48"/>
      <c r="R525" s="48"/>
      <c r="S525" s="60"/>
      <c r="T525" s="48"/>
      <c r="U525" s="48"/>
      <c r="V525" s="48"/>
      <c r="W525" s="48"/>
      <c r="X525" s="48"/>
      <c r="Y525" s="48"/>
      <c r="Z525" s="48"/>
      <c r="AA525" s="48"/>
      <c r="AB525" s="48"/>
      <c r="AC525" s="48"/>
      <c r="AD525" s="48"/>
      <c r="AE525" s="48"/>
      <c r="AF525" s="60"/>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56"/>
      <c r="BJ525" s="56"/>
      <c r="BK525" s="56"/>
      <c r="BL525" s="56"/>
      <c r="BM525" s="56"/>
      <c r="BN525" s="56"/>
      <c r="BO525" s="56"/>
      <c r="BP525" s="56"/>
      <c r="BQ525" s="56"/>
      <c r="BR525" s="56"/>
      <c r="BS525" s="56"/>
      <c r="BT525" s="56"/>
      <c r="BU525" s="56"/>
      <c r="BV525" s="56"/>
      <c r="BW525" s="56"/>
      <c r="BX525" s="56"/>
    </row>
    <row r="526">
      <c r="A526" s="48"/>
      <c r="B526" s="48"/>
      <c r="C526" s="48"/>
      <c r="D526" s="48"/>
      <c r="E526" s="48"/>
      <c r="F526" s="48"/>
      <c r="G526" s="48"/>
      <c r="H526" s="48"/>
      <c r="I526" s="48"/>
      <c r="J526" s="48"/>
      <c r="K526" s="64"/>
      <c r="L526" s="64"/>
      <c r="M526" s="48"/>
      <c r="N526" s="48"/>
      <c r="O526" s="48"/>
      <c r="P526" s="48"/>
      <c r="Q526" s="48"/>
      <c r="R526" s="48"/>
      <c r="S526" s="60"/>
      <c r="T526" s="48"/>
      <c r="U526" s="48"/>
      <c r="V526" s="48"/>
      <c r="W526" s="48"/>
      <c r="X526" s="48"/>
      <c r="Y526" s="48"/>
      <c r="Z526" s="48"/>
      <c r="AA526" s="48"/>
      <c r="AB526" s="48"/>
      <c r="AC526" s="48"/>
      <c r="AD526" s="48"/>
      <c r="AE526" s="48"/>
      <c r="AF526" s="60"/>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56"/>
      <c r="BJ526" s="56"/>
      <c r="BK526" s="56"/>
      <c r="BL526" s="56"/>
      <c r="BM526" s="56"/>
      <c r="BN526" s="56"/>
      <c r="BO526" s="56"/>
      <c r="BP526" s="56"/>
      <c r="BQ526" s="56"/>
      <c r="BR526" s="56"/>
      <c r="BS526" s="56"/>
      <c r="BT526" s="56"/>
      <c r="BU526" s="56"/>
      <c r="BV526" s="56"/>
      <c r="BW526" s="56"/>
      <c r="BX526" s="56"/>
    </row>
    <row r="527">
      <c r="A527" s="48"/>
      <c r="B527" s="48"/>
      <c r="C527" s="48"/>
      <c r="D527" s="48"/>
      <c r="E527" s="48"/>
      <c r="F527" s="48"/>
      <c r="G527" s="48"/>
      <c r="H527" s="48"/>
      <c r="I527" s="48"/>
      <c r="J527" s="48"/>
      <c r="K527" s="64"/>
      <c r="L527" s="64"/>
      <c r="M527" s="48"/>
      <c r="N527" s="48"/>
      <c r="O527" s="48"/>
      <c r="P527" s="48"/>
      <c r="Q527" s="48"/>
      <c r="R527" s="48"/>
      <c r="S527" s="60"/>
      <c r="T527" s="48"/>
      <c r="U527" s="48"/>
      <c r="V527" s="48"/>
      <c r="W527" s="48"/>
      <c r="X527" s="48"/>
      <c r="Y527" s="48"/>
      <c r="Z527" s="48"/>
      <c r="AA527" s="48"/>
      <c r="AB527" s="48"/>
      <c r="AC527" s="48"/>
      <c r="AD527" s="48"/>
      <c r="AE527" s="48"/>
      <c r="AF527" s="60"/>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56"/>
      <c r="BJ527" s="56"/>
      <c r="BK527" s="56"/>
      <c r="BL527" s="56"/>
      <c r="BM527" s="56"/>
      <c r="BN527" s="56"/>
      <c r="BO527" s="56"/>
      <c r="BP527" s="56"/>
      <c r="BQ527" s="56"/>
      <c r="BR527" s="56"/>
      <c r="BS527" s="56"/>
      <c r="BT527" s="56"/>
      <c r="BU527" s="56"/>
      <c r="BV527" s="56"/>
      <c r="BW527" s="56"/>
      <c r="BX527" s="56"/>
    </row>
    <row r="528">
      <c r="A528" s="48"/>
      <c r="B528" s="48"/>
      <c r="C528" s="48"/>
      <c r="D528" s="48"/>
      <c r="E528" s="48"/>
      <c r="F528" s="48"/>
      <c r="G528" s="48"/>
      <c r="H528" s="48"/>
      <c r="I528" s="48"/>
      <c r="J528" s="48"/>
      <c r="K528" s="64"/>
      <c r="L528" s="64"/>
      <c r="M528" s="48"/>
      <c r="N528" s="48"/>
      <c r="O528" s="48"/>
      <c r="P528" s="48"/>
      <c r="Q528" s="48"/>
      <c r="R528" s="48"/>
      <c r="S528" s="60"/>
      <c r="T528" s="48"/>
      <c r="U528" s="48"/>
      <c r="V528" s="48"/>
      <c r="W528" s="48"/>
      <c r="X528" s="48"/>
      <c r="Y528" s="48"/>
      <c r="Z528" s="48"/>
      <c r="AA528" s="48"/>
      <c r="AB528" s="48"/>
      <c r="AC528" s="48"/>
      <c r="AD528" s="48"/>
      <c r="AE528" s="48"/>
      <c r="AF528" s="60"/>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56"/>
      <c r="BJ528" s="56"/>
      <c r="BK528" s="56"/>
      <c r="BL528" s="56"/>
      <c r="BM528" s="56"/>
      <c r="BN528" s="56"/>
      <c r="BO528" s="56"/>
      <c r="BP528" s="56"/>
      <c r="BQ528" s="56"/>
      <c r="BR528" s="56"/>
      <c r="BS528" s="56"/>
      <c r="BT528" s="56"/>
      <c r="BU528" s="56"/>
      <c r="BV528" s="56"/>
      <c r="BW528" s="56"/>
      <c r="BX528" s="56"/>
    </row>
    <row r="529">
      <c r="A529" s="48"/>
      <c r="B529" s="48"/>
      <c r="C529" s="48"/>
      <c r="D529" s="48"/>
      <c r="E529" s="48"/>
      <c r="F529" s="48"/>
      <c r="G529" s="48"/>
      <c r="H529" s="48"/>
      <c r="I529" s="48"/>
      <c r="J529" s="48"/>
      <c r="K529" s="64"/>
      <c r="L529" s="64"/>
      <c r="M529" s="48"/>
      <c r="N529" s="48"/>
      <c r="O529" s="48"/>
      <c r="P529" s="48"/>
      <c r="Q529" s="48"/>
      <c r="R529" s="48"/>
      <c r="S529" s="60"/>
      <c r="T529" s="48"/>
      <c r="U529" s="48"/>
      <c r="V529" s="48"/>
      <c r="W529" s="48"/>
      <c r="X529" s="48"/>
      <c r="Y529" s="48"/>
      <c r="Z529" s="48"/>
      <c r="AA529" s="48"/>
      <c r="AB529" s="48"/>
      <c r="AC529" s="48"/>
      <c r="AD529" s="48"/>
      <c r="AE529" s="48"/>
      <c r="AF529" s="60"/>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56"/>
      <c r="BJ529" s="56"/>
      <c r="BK529" s="56"/>
      <c r="BL529" s="56"/>
      <c r="BM529" s="56"/>
      <c r="BN529" s="56"/>
      <c r="BO529" s="56"/>
      <c r="BP529" s="56"/>
      <c r="BQ529" s="56"/>
      <c r="BR529" s="56"/>
      <c r="BS529" s="56"/>
      <c r="BT529" s="56"/>
      <c r="BU529" s="56"/>
      <c r="BV529" s="56"/>
      <c r="BW529" s="56"/>
      <c r="BX529" s="56"/>
    </row>
    <row r="530">
      <c r="A530" s="48"/>
      <c r="B530" s="48"/>
      <c r="C530" s="48"/>
      <c r="D530" s="48"/>
      <c r="E530" s="48"/>
      <c r="F530" s="48"/>
      <c r="G530" s="48"/>
      <c r="H530" s="48"/>
      <c r="I530" s="48"/>
      <c r="J530" s="48"/>
      <c r="K530" s="64"/>
      <c r="L530" s="64"/>
      <c r="M530" s="48"/>
      <c r="N530" s="48"/>
      <c r="O530" s="48"/>
      <c r="P530" s="48"/>
      <c r="Q530" s="48"/>
      <c r="R530" s="48"/>
      <c r="S530" s="60"/>
      <c r="T530" s="48"/>
      <c r="U530" s="48"/>
      <c r="V530" s="48"/>
      <c r="W530" s="48"/>
      <c r="X530" s="48"/>
      <c r="Y530" s="48"/>
      <c r="Z530" s="48"/>
      <c r="AA530" s="48"/>
      <c r="AB530" s="48"/>
      <c r="AC530" s="48"/>
      <c r="AD530" s="48"/>
      <c r="AE530" s="48"/>
      <c r="AF530" s="60"/>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56"/>
      <c r="BJ530" s="56"/>
      <c r="BK530" s="56"/>
      <c r="BL530" s="56"/>
      <c r="BM530" s="56"/>
      <c r="BN530" s="56"/>
      <c r="BO530" s="56"/>
      <c r="BP530" s="56"/>
      <c r="BQ530" s="56"/>
      <c r="BR530" s="56"/>
      <c r="BS530" s="56"/>
      <c r="BT530" s="56"/>
      <c r="BU530" s="56"/>
      <c r="BV530" s="56"/>
      <c r="BW530" s="56"/>
      <c r="BX530" s="56"/>
    </row>
    <row r="531">
      <c r="A531" s="48"/>
      <c r="B531" s="48"/>
      <c r="C531" s="48"/>
      <c r="D531" s="48"/>
      <c r="E531" s="48"/>
      <c r="F531" s="48"/>
      <c r="G531" s="48"/>
      <c r="H531" s="48"/>
      <c r="I531" s="48"/>
      <c r="J531" s="48"/>
      <c r="K531" s="64"/>
      <c r="L531" s="64"/>
      <c r="M531" s="48"/>
      <c r="N531" s="48"/>
      <c r="O531" s="48"/>
      <c r="P531" s="48"/>
      <c r="Q531" s="48"/>
      <c r="R531" s="48"/>
      <c r="S531" s="60"/>
      <c r="T531" s="48"/>
      <c r="U531" s="48"/>
      <c r="V531" s="48"/>
      <c r="W531" s="48"/>
      <c r="X531" s="48"/>
      <c r="Y531" s="48"/>
      <c r="Z531" s="48"/>
      <c r="AA531" s="48"/>
      <c r="AB531" s="48"/>
      <c r="AC531" s="48"/>
      <c r="AD531" s="48"/>
      <c r="AE531" s="48"/>
      <c r="AF531" s="60"/>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56"/>
      <c r="BJ531" s="56"/>
      <c r="BK531" s="56"/>
      <c r="BL531" s="56"/>
      <c r="BM531" s="56"/>
      <c r="BN531" s="56"/>
      <c r="BO531" s="56"/>
      <c r="BP531" s="56"/>
      <c r="BQ531" s="56"/>
      <c r="BR531" s="56"/>
      <c r="BS531" s="56"/>
      <c r="BT531" s="56"/>
      <c r="BU531" s="56"/>
      <c r="BV531" s="56"/>
      <c r="BW531" s="56"/>
      <c r="BX531" s="56"/>
    </row>
    <row r="532">
      <c r="A532" s="48"/>
      <c r="B532" s="48"/>
      <c r="C532" s="48"/>
      <c r="D532" s="48"/>
      <c r="E532" s="48"/>
      <c r="F532" s="48"/>
      <c r="G532" s="48"/>
      <c r="H532" s="48"/>
      <c r="I532" s="48"/>
      <c r="J532" s="48"/>
      <c r="K532" s="64"/>
      <c r="L532" s="64"/>
      <c r="M532" s="48"/>
      <c r="N532" s="48"/>
      <c r="O532" s="48"/>
      <c r="P532" s="48"/>
      <c r="Q532" s="48"/>
      <c r="R532" s="48"/>
      <c r="S532" s="60"/>
      <c r="T532" s="48"/>
      <c r="U532" s="48"/>
      <c r="V532" s="48"/>
      <c r="W532" s="48"/>
      <c r="X532" s="48"/>
      <c r="Y532" s="48"/>
      <c r="Z532" s="48"/>
      <c r="AA532" s="48"/>
      <c r="AB532" s="48"/>
      <c r="AC532" s="48"/>
      <c r="AD532" s="48"/>
      <c r="AE532" s="48"/>
      <c r="AF532" s="60"/>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56"/>
      <c r="BJ532" s="56"/>
      <c r="BK532" s="56"/>
      <c r="BL532" s="56"/>
      <c r="BM532" s="56"/>
      <c r="BN532" s="56"/>
      <c r="BO532" s="56"/>
      <c r="BP532" s="56"/>
      <c r="BQ532" s="56"/>
      <c r="BR532" s="56"/>
      <c r="BS532" s="56"/>
      <c r="BT532" s="56"/>
      <c r="BU532" s="56"/>
      <c r="BV532" s="56"/>
      <c r="BW532" s="56"/>
      <c r="BX532" s="56"/>
    </row>
    <row r="533">
      <c r="A533" s="48"/>
      <c r="B533" s="48"/>
      <c r="C533" s="48"/>
      <c r="D533" s="48"/>
      <c r="E533" s="48"/>
      <c r="F533" s="48"/>
      <c r="G533" s="48"/>
      <c r="H533" s="48"/>
      <c r="I533" s="48"/>
      <c r="J533" s="48"/>
      <c r="K533" s="64"/>
      <c r="L533" s="64"/>
      <c r="M533" s="48"/>
      <c r="N533" s="48"/>
      <c r="O533" s="48"/>
      <c r="P533" s="48"/>
      <c r="Q533" s="48"/>
      <c r="R533" s="48"/>
      <c r="S533" s="60"/>
      <c r="T533" s="48"/>
      <c r="U533" s="48"/>
      <c r="V533" s="48"/>
      <c r="W533" s="48"/>
      <c r="X533" s="48"/>
      <c r="Y533" s="48"/>
      <c r="Z533" s="48"/>
      <c r="AA533" s="48"/>
      <c r="AB533" s="48"/>
      <c r="AC533" s="48"/>
      <c r="AD533" s="48"/>
      <c r="AE533" s="48"/>
      <c r="AF533" s="60"/>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56"/>
      <c r="BJ533" s="56"/>
      <c r="BK533" s="56"/>
      <c r="BL533" s="56"/>
      <c r="BM533" s="56"/>
      <c r="BN533" s="56"/>
      <c r="BO533" s="56"/>
      <c r="BP533" s="56"/>
      <c r="BQ533" s="56"/>
      <c r="BR533" s="56"/>
      <c r="BS533" s="56"/>
      <c r="BT533" s="56"/>
      <c r="BU533" s="56"/>
      <c r="BV533" s="56"/>
      <c r="BW533" s="56"/>
      <c r="BX533" s="56"/>
    </row>
    <row r="534">
      <c r="A534" s="48"/>
      <c r="B534" s="48"/>
      <c r="C534" s="48"/>
      <c r="D534" s="48"/>
      <c r="E534" s="48"/>
      <c r="F534" s="48"/>
      <c r="G534" s="48"/>
      <c r="H534" s="48"/>
      <c r="I534" s="48"/>
      <c r="J534" s="48"/>
      <c r="K534" s="64"/>
      <c r="L534" s="64"/>
      <c r="M534" s="48"/>
      <c r="N534" s="48"/>
      <c r="O534" s="48"/>
      <c r="P534" s="48"/>
      <c r="Q534" s="48"/>
      <c r="R534" s="48"/>
      <c r="S534" s="60"/>
      <c r="T534" s="48"/>
      <c r="U534" s="48"/>
      <c r="V534" s="48"/>
      <c r="W534" s="48"/>
      <c r="X534" s="48"/>
      <c r="Y534" s="48"/>
      <c r="Z534" s="48"/>
      <c r="AA534" s="48"/>
      <c r="AB534" s="48"/>
      <c r="AC534" s="48"/>
      <c r="AD534" s="48"/>
      <c r="AE534" s="48"/>
      <c r="AF534" s="60"/>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56"/>
      <c r="BJ534" s="56"/>
      <c r="BK534" s="56"/>
      <c r="BL534" s="56"/>
      <c r="BM534" s="56"/>
      <c r="BN534" s="56"/>
      <c r="BO534" s="56"/>
      <c r="BP534" s="56"/>
      <c r="BQ534" s="56"/>
      <c r="BR534" s="56"/>
      <c r="BS534" s="56"/>
      <c r="BT534" s="56"/>
      <c r="BU534" s="56"/>
      <c r="BV534" s="56"/>
      <c r="BW534" s="56"/>
      <c r="BX534" s="56"/>
    </row>
    <row r="535">
      <c r="A535" s="48"/>
      <c r="B535" s="48"/>
      <c r="C535" s="48"/>
      <c r="D535" s="48"/>
      <c r="E535" s="48"/>
      <c r="F535" s="48"/>
      <c r="G535" s="48"/>
      <c r="H535" s="48"/>
      <c r="I535" s="48"/>
      <c r="J535" s="48"/>
      <c r="K535" s="64"/>
      <c r="L535" s="64"/>
      <c r="M535" s="48"/>
      <c r="N535" s="48"/>
      <c r="O535" s="48"/>
      <c r="P535" s="48"/>
      <c r="Q535" s="48"/>
      <c r="R535" s="48"/>
      <c r="S535" s="60"/>
      <c r="T535" s="48"/>
      <c r="U535" s="48"/>
      <c r="V535" s="48"/>
      <c r="W535" s="48"/>
      <c r="X535" s="48"/>
      <c r="Y535" s="48"/>
      <c r="Z535" s="48"/>
      <c r="AA535" s="48"/>
      <c r="AB535" s="48"/>
      <c r="AC535" s="48"/>
      <c r="AD535" s="48"/>
      <c r="AE535" s="48"/>
      <c r="AF535" s="60"/>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56"/>
      <c r="BJ535" s="56"/>
      <c r="BK535" s="56"/>
      <c r="BL535" s="56"/>
      <c r="BM535" s="56"/>
      <c r="BN535" s="56"/>
      <c r="BO535" s="56"/>
      <c r="BP535" s="56"/>
      <c r="BQ535" s="56"/>
      <c r="BR535" s="56"/>
      <c r="BS535" s="56"/>
      <c r="BT535" s="56"/>
      <c r="BU535" s="56"/>
      <c r="BV535" s="56"/>
      <c r="BW535" s="56"/>
      <c r="BX535" s="56"/>
    </row>
    <row r="536">
      <c r="A536" s="48"/>
      <c r="B536" s="48"/>
      <c r="C536" s="48"/>
      <c r="D536" s="48"/>
      <c r="E536" s="48"/>
      <c r="F536" s="48"/>
      <c r="G536" s="48"/>
      <c r="H536" s="48"/>
      <c r="I536" s="48"/>
      <c r="J536" s="48"/>
      <c r="K536" s="64"/>
      <c r="L536" s="64"/>
      <c r="M536" s="48"/>
      <c r="N536" s="48"/>
      <c r="O536" s="48"/>
      <c r="P536" s="48"/>
      <c r="Q536" s="48"/>
      <c r="R536" s="48"/>
      <c r="S536" s="60"/>
      <c r="T536" s="48"/>
      <c r="U536" s="48"/>
      <c r="V536" s="48"/>
      <c r="W536" s="48"/>
      <c r="X536" s="48"/>
      <c r="Y536" s="48"/>
      <c r="Z536" s="48"/>
      <c r="AA536" s="48"/>
      <c r="AB536" s="48"/>
      <c r="AC536" s="48"/>
      <c r="AD536" s="48"/>
      <c r="AE536" s="48"/>
      <c r="AF536" s="60"/>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56"/>
      <c r="BJ536" s="56"/>
      <c r="BK536" s="56"/>
      <c r="BL536" s="56"/>
      <c r="BM536" s="56"/>
      <c r="BN536" s="56"/>
      <c r="BO536" s="56"/>
      <c r="BP536" s="56"/>
      <c r="BQ536" s="56"/>
      <c r="BR536" s="56"/>
      <c r="BS536" s="56"/>
      <c r="BT536" s="56"/>
      <c r="BU536" s="56"/>
      <c r="BV536" s="56"/>
      <c r="BW536" s="56"/>
      <c r="BX536" s="56"/>
    </row>
    <row r="537">
      <c r="A537" s="48"/>
      <c r="B537" s="48"/>
      <c r="C537" s="48"/>
      <c r="D537" s="48"/>
      <c r="E537" s="48"/>
      <c r="F537" s="48"/>
      <c r="G537" s="48"/>
      <c r="H537" s="48"/>
      <c r="I537" s="48"/>
      <c r="J537" s="48"/>
      <c r="K537" s="64"/>
      <c r="L537" s="64"/>
      <c r="M537" s="48"/>
      <c r="N537" s="48"/>
      <c r="O537" s="48"/>
      <c r="P537" s="48"/>
      <c r="Q537" s="48"/>
      <c r="R537" s="48"/>
      <c r="S537" s="60"/>
      <c r="T537" s="48"/>
      <c r="U537" s="48"/>
      <c r="V537" s="48"/>
      <c r="W537" s="48"/>
      <c r="X537" s="48"/>
      <c r="Y537" s="48"/>
      <c r="Z537" s="48"/>
      <c r="AA537" s="48"/>
      <c r="AB537" s="48"/>
      <c r="AC537" s="48"/>
      <c r="AD537" s="48"/>
      <c r="AE537" s="48"/>
      <c r="AF537" s="60"/>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56"/>
      <c r="BJ537" s="56"/>
      <c r="BK537" s="56"/>
      <c r="BL537" s="56"/>
      <c r="BM537" s="56"/>
      <c r="BN537" s="56"/>
      <c r="BO537" s="56"/>
      <c r="BP537" s="56"/>
      <c r="BQ537" s="56"/>
      <c r="BR537" s="56"/>
      <c r="BS537" s="56"/>
      <c r="BT537" s="56"/>
      <c r="BU537" s="56"/>
      <c r="BV537" s="56"/>
      <c r="BW537" s="56"/>
      <c r="BX537" s="56"/>
    </row>
    <row r="538">
      <c r="A538" s="48"/>
      <c r="B538" s="48"/>
      <c r="C538" s="48"/>
      <c r="D538" s="48"/>
      <c r="E538" s="48"/>
      <c r="F538" s="48"/>
      <c r="G538" s="48"/>
      <c r="H538" s="48"/>
      <c r="I538" s="48"/>
      <c r="J538" s="48"/>
      <c r="K538" s="64"/>
      <c r="L538" s="64"/>
      <c r="M538" s="48"/>
      <c r="N538" s="48"/>
      <c r="O538" s="48"/>
      <c r="P538" s="48"/>
      <c r="Q538" s="48"/>
      <c r="R538" s="48"/>
      <c r="S538" s="60"/>
      <c r="T538" s="48"/>
      <c r="U538" s="48"/>
      <c r="V538" s="48"/>
      <c r="W538" s="48"/>
      <c r="X538" s="48"/>
      <c r="Y538" s="48"/>
      <c r="Z538" s="48"/>
      <c r="AA538" s="48"/>
      <c r="AB538" s="48"/>
      <c r="AC538" s="48"/>
      <c r="AD538" s="48"/>
      <c r="AE538" s="48"/>
      <c r="AF538" s="60"/>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56"/>
      <c r="BJ538" s="56"/>
      <c r="BK538" s="56"/>
      <c r="BL538" s="56"/>
      <c r="BM538" s="56"/>
      <c r="BN538" s="56"/>
      <c r="BO538" s="56"/>
      <c r="BP538" s="56"/>
      <c r="BQ538" s="56"/>
      <c r="BR538" s="56"/>
      <c r="BS538" s="56"/>
      <c r="BT538" s="56"/>
      <c r="BU538" s="56"/>
      <c r="BV538" s="56"/>
      <c r="BW538" s="56"/>
      <c r="BX538" s="56"/>
    </row>
    <row r="539">
      <c r="A539" s="48"/>
      <c r="B539" s="48"/>
      <c r="C539" s="48"/>
      <c r="D539" s="48"/>
      <c r="E539" s="48"/>
      <c r="F539" s="48"/>
      <c r="G539" s="48"/>
      <c r="H539" s="48"/>
      <c r="I539" s="48"/>
      <c r="J539" s="48"/>
      <c r="K539" s="64"/>
      <c r="L539" s="64"/>
      <c r="M539" s="48"/>
      <c r="N539" s="48"/>
      <c r="O539" s="48"/>
      <c r="P539" s="48"/>
      <c r="Q539" s="48"/>
      <c r="R539" s="48"/>
      <c r="S539" s="60"/>
      <c r="T539" s="48"/>
      <c r="U539" s="48"/>
      <c r="V539" s="48"/>
      <c r="W539" s="48"/>
      <c r="X539" s="48"/>
      <c r="Y539" s="48"/>
      <c r="Z539" s="48"/>
      <c r="AA539" s="48"/>
      <c r="AB539" s="48"/>
      <c r="AC539" s="48"/>
      <c r="AD539" s="48"/>
      <c r="AE539" s="48"/>
      <c r="AF539" s="60"/>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56"/>
      <c r="BJ539" s="56"/>
      <c r="BK539" s="56"/>
      <c r="BL539" s="56"/>
      <c r="BM539" s="56"/>
      <c r="BN539" s="56"/>
      <c r="BO539" s="56"/>
      <c r="BP539" s="56"/>
      <c r="BQ539" s="56"/>
      <c r="BR539" s="56"/>
      <c r="BS539" s="56"/>
      <c r="BT539" s="56"/>
      <c r="BU539" s="56"/>
      <c r="BV539" s="56"/>
      <c r="BW539" s="56"/>
      <c r="BX539" s="56"/>
    </row>
    <row r="540">
      <c r="A540" s="48"/>
      <c r="B540" s="48"/>
      <c r="C540" s="48"/>
      <c r="D540" s="48"/>
      <c r="E540" s="48"/>
      <c r="F540" s="48"/>
      <c r="G540" s="48"/>
      <c r="H540" s="48"/>
      <c r="I540" s="48"/>
      <c r="J540" s="48"/>
      <c r="K540" s="64"/>
      <c r="L540" s="64"/>
      <c r="M540" s="48"/>
      <c r="N540" s="48"/>
      <c r="O540" s="48"/>
      <c r="P540" s="48"/>
      <c r="Q540" s="48"/>
      <c r="R540" s="48"/>
      <c r="S540" s="60"/>
      <c r="T540" s="48"/>
      <c r="U540" s="48"/>
      <c r="V540" s="48"/>
      <c r="W540" s="48"/>
      <c r="X540" s="48"/>
      <c r="Y540" s="48"/>
      <c r="Z540" s="48"/>
      <c r="AA540" s="48"/>
      <c r="AB540" s="48"/>
      <c r="AC540" s="48"/>
      <c r="AD540" s="48"/>
      <c r="AE540" s="48"/>
      <c r="AF540" s="60"/>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56"/>
      <c r="BJ540" s="56"/>
      <c r="BK540" s="56"/>
      <c r="BL540" s="56"/>
      <c r="BM540" s="56"/>
      <c r="BN540" s="56"/>
      <c r="BO540" s="56"/>
      <c r="BP540" s="56"/>
      <c r="BQ540" s="56"/>
      <c r="BR540" s="56"/>
      <c r="BS540" s="56"/>
      <c r="BT540" s="56"/>
      <c r="BU540" s="56"/>
      <c r="BV540" s="56"/>
      <c r="BW540" s="56"/>
      <c r="BX540" s="56"/>
    </row>
    <row r="541">
      <c r="A541" s="48"/>
      <c r="B541" s="48"/>
      <c r="C541" s="48"/>
      <c r="D541" s="48"/>
      <c r="E541" s="48"/>
      <c r="F541" s="48"/>
      <c r="G541" s="48"/>
      <c r="H541" s="48"/>
      <c r="I541" s="48"/>
      <c r="J541" s="48"/>
      <c r="K541" s="64"/>
      <c r="L541" s="64"/>
      <c r="M541" s="48"/>
      <c r="N541" s="48"/>
      <c r="O541" s="48"/>
      <c r="P541" s="48"/>
      <c r="Q541" s="48"/>
      <c r="R541" s="48"/>
      <c r="S541" s="60"/>
      <c r="T541" s="48"/>
      <c r="U541" s="48"/>
      <c r="V541" s="48"/>
      <c r="W541" s="48"/>
      <c r="X541" s="48"/>
      <c r="Y541" s="48"/>
      <c r="Z541" s="48"/>
      <c r="AA541" s="48"/>
      <c r="AB541" s="48"/>
      <c r="AC541" s="48"/>
      <c r="AD541" s="48"/>
      <c r="AE541" s="48"/>
      <c r="AF541" s="60"/>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56"/>
      <c r="BJ541" s="56"/>
      <c r="BK541" s="56"/>
      <c r="BL541" s="56"/>
      <c r="BM541" s="56"/>
      <c r="BN541" s="56"/>
      <c r="BO541" s="56"/>
      <c r="BP541" s="56"/>
      <c r="BQ541" s="56"/>
      <c r="BR541" s="56"/>
      <c r="BS541" s="56"/>
      <c r="BT541" s="56"/>
      <c r="BU541" s="56"/>
      <c r="BV541" s="56"/>
      <c r="BW541" s="56"/>
      <c r="BX541" s="56"/>
    </row>
    <row r="542">
      <c r="A542" s="48"/>
      <c r="B542" s="48"/>
      <c r="C542" s="48"/>
      <c r="D542" s="48"/>
      <c r="E542" s="48"/>
      <c r="F542" s="48"/>
      <c r="G542" s="48"/>
      <c r="H542" s="48"/>
      <c r="I542" s="48"/>
      <c r="J542" s="48"/>
      <c r="K542" s="64"/>
      <c r="L542" s="64"/>
      <c r="M542" s="48"/>
      <c r="N542" s="48"/>
      <c r="O542" s="48"/>
      <c r="P542" s="48"/>
      <c r="Q542" s="48"/>
      <c r="R542" s="48"/>
      <c r="S542" s="60"/>
      <c r="T542" s="48"/>
      <c r="U542" s="48"/>
      <c r="V542" s="48"/>
      <c r="W542" s="48"/>
      <c r="X542" s="48"/>
      <c r="Y542" s="48"/>
      <c r="Z542" s="48"/>
      <c r="AA542" s="48"/>
      <c r="AB542" s="48"/>
      <c r="AC542" s="48"/>
      <c r="AD542" s="48"/>
      <c r="AE542" s="48"/>
      <c r="AF542" s="60"/>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56"/>
      <c r="BJ542" s="56"/>
      <c r="BK542" s="56"/>
      <c r="BL542" s="56"/>
      <c r="BM542" s="56"/>
      <c r="BN542" s="56"/>
      <c r="BO542" s="56"/>
      <c r="BP542" s="56"/>
      <c r="BQ542" s="56"/>
      <c r="BR542" s="56"/>
      <c r="BS542" s="56"/>
      <c r="BT542" s="56"/>
      <c r="BU542" s="56"/>
      <c r="BV542" s="56"/>
      <c r="BW542" s="56"/>
      <c r="BX542" s="56"/>
    </row>
    <row r="543">
      <c r="A543" s="48"/>
      <c r="B543" s="48"/>
      <c r="C543" s="48"/>
      <c r="D543" s="48"/>
      <c r="E543" s="48"/>
      <c r="F543" s="48"/>
      <c r="G543" s="48"/>
      <c r="H543" s="48"/>
      <c r="I543" s="48"/>
      <c r="J543" s="48"/>
      <c r="K543" s="64"/>
      <c r="L543" s="64"/>
      <c r="M543" s="48"/>
      <c r="N543" s="48"/>
      <c r="O543" s="48"/>
      <c r="P543" s="48"/>
      <c r="Q543" s="48"/>
      <c r="R543" s="48"/>
      <c r="S543" s="60"/>
      <c r="T543" s="48"/>
      <c r="U543" s="48"/>
      <c r="V543" s="48"/>
      <c r="W543" s="48"/>
      <c r="X543" s="48"/>
      <c r="Y543" s="48"/>
      <c r="Z543" s="48"/>
      <c r="AA543" s="48"/>
      <c r="AB543" s="48"/>
      <c r="AC543" s="48"/>
      <c r="AD543" s="48"/>
      <c r="AE543" s="48"/>
      <c r="AF543" s="60"/>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56"/>
      <c r="BJ543" s="56"/>
      <c r="BK543" s="56"/>
      <c r="BL543" s="56"/>
      <c r="BM543" s="56"/>
      <c r="BN543" s="56"/>
      <c r="BO543" s="56"/>
      <c r="BP543" s="56"/>
      <c r="BQ543" s="56"/>
      <c r="BR543" s="56"/>
      <c r="BS543" s="56"/>
      <c r="BT543" s="56"/>
      <c r="BU543" s="56"/>
      <c r="BV543" s="56"/>
      <c r="BW543" s="56"/>
      <c r="BX543" s="56"/>
    </row>
    <row r="544">
      <c r="A544" s="48"/>
      <c r="B544" s="48"/>
      <c r="C544" s="48"/>
      <c r="D544" s="48"/>
      <c r="E544" s="48"/>
      <c r="F544" s="48"/>
      <c r="G544" s="48"/>
      <c r="H544" s="48"/>
      <c r="I544" s="48"/>
      <c r="J544" s="48"/>
      <c r="K544" s="64"/>
      <c r="L544" s="64"/>
      <c r="M544" s="48"/>
      <c r="N544" s="48"/>
      <c r="O544" s="48"/>
      <c r="P544" s="48"/>
      <c r="Q544" s="48"/>
      <c r="R544" s="48"/>
      <c r="S544" s="60"/>
      <c r="T544" s="48"/>
      <c r="U544" s="48"/>
      <c r="V544" s="48"/>
      <c r="W544" s="48"/>
      <c r="X544" s="48"/>
      <c r="Y544" s="48"/>
      <c r="Z544" s="48"/>
      <c r="AA544" s="48"/>
      <c r="AB544" s="48"/>
      <c r="AC544" s="48"/>
      <c r="AD544" s="48"/>
      <c r="AE544" s="48"/>
      <c r="AF544" s="60"/>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56"/>
      <c r="BJ544" s="56"/>
      <c r="BK544" s="56"/>
      <c r="BL544" s="56"/>
      <c r="BM544" s="56"/>
      <c r="BN544" s="56"/>
      <c r="BO544" s="56"/>
      <c r="BP544" s="56"/>
      <c r="BQ544" s="56"/>
      <c r="BR544" s="56"/>
      <c r="BS544" s="56"/>
      <c r="BT544" s="56"/>
      <c r="BU544" s="56"/>
      <c r="BV544" s="56"/>
      <c r="BW544" s="56"/>
      <c r="BX544" s="56"/>
    </row>
    <row r="545">
      <c r="A545" s="48"/>
      <c r="B545" s="48"/>
      <c r="C545" s="48"/>
      <c r="D545" s="48"/>
      <c r="E545" s="48"/>
      <c r="F545" s="48"/>
      <c r="G545" s="48"/>
      <c r="H545" s="48"/>
      <c r="I545" s="48"/>
      <c r="J545" s="48"/>
      <c r="K545" s="64"/>
      <c r="L545" s="64"/>
      <c r="M545" s="48"/>
      <c r="N545" s="48"/>
      <c r="O545" s="48"/>
      <c r="P545" s="48"/>
      <c r="Q545" s="48"/>
      <c r="R545" s="48"/>
      <c r="S545" s="60"/>
      <c r="T545" s="48"/>
      <c r="U545" s="48"/>
      <c r="V545" s="48"/>
      <c r="W545" s="48"/>
      <c r="X545" s="48"/>
      <c r="Y545" s="48"/>
      <c r="Z545" s="48"/>
      <c r="AA545" s="48"/>
      <c r="AB545" s="48"/>
      <c r="AC545" s="48"/>
      <c r="AD545" s="48"/>
      <c r="AE545" s="48"/>
      <c r="AF545" s="60"/>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56"/>
      <c r="BJ545" s="56"/>
      <c r="BK545" s="56"/>
      <c r="BL545" s="56"/>
      <c r="BM545" s="56"/>
      <c r="BN545" s="56"/>
      <c r="BO545" s="56"/>
      <c r="BP545" s="56"/>
      <c r="BQ545" s="56"/>
      <c r="BR545" s="56"/>
      <c r="BS545" s="56"/>
      <c r="BT545" s="56"/>
      <c r="BU545" s="56"/>
      <c r="BV545" s="56"/>
      <c r="BW545" s="56"/>
      <c r="BX545" s="56"/>
    </row>
    <row r="546">
      <c r="A546" s="48"/>
      <c r="B546" s="48"/>
      <c r="C546" s="48"/>
      <c r="D546" s="48"/>
      <c r="E546" s="48"/>
      <c r="F546" s="48"/>
      <c r="G546" s="48"/>
      <c r="H546" s="48"/>
      <c r="I546" s="48"/>
      <c r="J546" s="48"/>
      <c r="K546" s="64"/>
      <c r="L546" s="64"/>
      <c r="M546" s="48"/>
      <c r="N546" s="48"/>
      <c r="O546" s="48"/>
      <c r="P546" s="48"/>
      <c r="Q546" s="48"/>
      <c r="R546" s="48"/>
      <c r="S546" s="60"/>
      <c r="T546" s="48"/>
      <c r="U546" s="48"/>
      <c r="V546" s="48"/>
      <c r="W546" s="48"/>
      <c r="X546" s="48"/>
      <c r="Y546" s="48"/>
      <c r="Z546" s="48"/>
      <c r="AA546" s="48"/>
      <c r="AB546" s="48"/>
      <c r="AC546" s="48"/>
      <c r="AD546" s="48"/>
      <c r="AE546" s="48"/>
      <c r="AF546" s="60"/>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56"/>
      <c r="BJ546" s="56"/>
      <c r="BK546" s="56"/>
      <c r="BL546" s="56"/>
      <c r="BM546" s="56"/>
      <c r="BN546" s="56"/>
      <c r="BO546" s="56"/>
      <c r="BP546" s="56"/>
      <c r="BQ546" s="56"/>
      <c r="BR546" s="56"/>
      <c r="BS546" s="56"/>
      <c r="BT546" s="56"/>
      <c r="BU546" s="56"/>
      <c r="BV546" s="56"/>
      <c r="BW546" s="56"/>
      <c r="BX546" s="56"/>
    </row>
    <row r="547">
      <c r="A547" s="48"/>
      <c r="B547" s="48"/>
      <c r="C547" s="48"/>
      <c r="D547" s="48"/>
      <c r="E547" s="48"/>
      <c r="F547" s="48"/>
      <c r="G547" s="48"/>
      <c r="H547" s="48"/>
      <c r="I547" s="48"/>
      <c r="J547" s="48"/>
      <c r="K547" s="64"/>
      <c r="L547" s="64"/>
      <c r="M547" s="48"/>
      <c r="N547" s="48"/>
      <c r="O547" s="48"/>
      <c r="P547" s="48"/>
      <c r="Q547" s="48"/>
      <c r="R547" s="48"/>
      <c r="S547" s="60"/>
      <c r="T547" s="48"/>
      <c r="U547" s="48"/>
      <c r="V547" s="48"/>
      <c r="W547" s="48"/>
      <c r="X547" s="48"/>
      <c r="Y547" s="48"/>
      <c r="Z547" s="48"/>
      <c r="AA547" s="48"/>
      <c r="AB547" s="48"/>
      <c r="AC547" s="48"/>
      <c r="AD547" s="48"/>
      <c r="AE547" s="48"/>
      <c r="AF547" s="60"/>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56"/>
      <c r="BJ547" s="56"/>
      <c r="BK547" s="56"/>
      <c r="BL547" s="56"/>
      <c r="BM547" s="56"/>
      <c r="BN547" s="56"/>
      <c r="BO547" s="56"/>
      <c r="BP547" s="56"/>
      <c r="BQ547" s="56"/>
      <c r="BR547" s="56"/>
      <c r="BS547" s="56"/>
      <c r="BT547" s="56"/>
      <c r="BU547" s="56"/>
      <c r="BV547" s="56"/>
      <c r="BW547" s="56"/>
      <c r="BX547" s="56"/>
    </row>
    <row r="548">
      <c r="A548" s="48"/>
      <c r="B548" s="48"/>
      <c r="C548" s="48"/>
      <c r="D548" s="48"/>
      <c r="E548" s="48"/>
      <c r="F548" s="48"/>
      <c r="G548" s="48"/>
      <c r="H548" s="48"/>
      <c r="I548" s="48"/>
      <c r="J548" s="48"/>
      <c r="K548" s="64"/>
      <c r="L548" s="64"/>
      <c r="M548" s="48"/>
      <c r="N548" s="48"/>
      <c r="O548" s="48"/>
      <c r="P548" s="48"/>
      <c r="Q548" s="48"/>
      <c r="R548" s="48"/>
      <c r="S548" s="60"/>
      <c r="T548" s="48"/>
      <c r="U548" s="48"/>
      <c r="V548" s="48"/>
      <c r="W548" s="48"/>
      <c r="X548" s="48"/>
      <c r="Y548" s="48"/>
      <c r="Z548" s="48"/>
      <c r="AA548" s="48"/>
      <c r="AB548" s="48"/>
      <c r="AC548" s="48"/>
      <c r="AD548" s="48"/>
      <c r="AE548" s="48"/>
      <c r="AF548" s="60"/>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56"/>
      <c r="BJ548" s="56"/>
      <c r="BK548" s="56"/>
      <c r="BL548" s="56"/>
      <c r="BM548" s="56"/>
      <c r="BN548" s="56"/>
      <c r="BO548" s="56"/>
      <c r="BP548" s="56"/>
      <c r="BQ548" s="56"/>
      <c r="BR548" s="56"/>
      <c r="BS548" s="56"/>
      <c r="BT548" s="56"/>
      <c r="BU548" s="56"/>
      <c r="BV548" s="56"/>
      <c r="BW548" s="56"/>
      <c r="BX548" s="56"/>
    </row>
    <row r="549">
      <c r="A549" s="48"/>
      <c r="B549" s="48"/>
      <c r="C549" s="48"/>
      <c r="D549" s="48"/>
      <c r="E549" s="48"/>
      <c r="F549" s="48"/>
      <c r="G549" s="48"/>
      <c r="H549" s="48"/>
      <c r="I549" s="48"/>
      <c r="J549" s="48"/>
      <c r="K549" s="64"/>
      <c r="L549" s="64"/>
      <c r="M549" s="48"/>
      <c r="N549" s="48"/>
      <c r="O549" s="48"/>
      <c r="P549" s="48"/>
      <c r="Q549" s="48"/>
      <c r="R549" s="48"/>
      <c r="S549" s="60"/>
      <c r="T549" s="48"/>
      <c r="U549" s="48"/>
      <c r="V549" s="48"/>
      <c r="W549" s="48"/>
      <c r="X549" s="48"/>
      <c r="Y549" s="48"/>
      <c r="Z549" s="48"/>
      <c r="AA549" s="48"/>
      <c r="AB549" s="48"/>
      <c r="AC549" s="48"/>
      <c r="AD549" s="48"/>
      <c r="AE549" s="48"/>
      <c r="AF549" s="60"/>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56"/>
      <c r="BJ549" s="56"/>
      <c r="BK549" s="56"/>
      <c r="BL549" s="56"/>
      <c r="BM549" s="56"/>
      <c r="BN549" s="56"/>
      <c r="BO549" s="56"/>
      <c r="BP549" s="56"/>
      <c r="BQ549" s="56"/>
      <c r="BR549" s="56"/>
      <c r="BS549" s="56"/>
      <c r="BT549" s="56"/>
      <c r="BU549" s="56"/>
      <c r="BV549" s="56"/>
      <c r="BW549" s="56"/>
      <c r="BX549" s="56"/>
    </row>
    <row r="550">
      <c r="A550" s="48"/>
      <c r="B550" s="48"/>
      <c r="C550" s="48"/>
      <c r="D550" s="48"/>
      <c r="E550" s="48"/>
      <c r="F550" s="48"/>
      <c r="G550" s="48"/>
      <c r="H550" s="48"/>
      <c r="I550" s="48"/>
      <c r="J550" s="48"/>
      <c r="K550" s="64"/>
      <c r="L550" s="64"/>
      <c r="M550" s="48"/>
      <c r="N550" s="48"/>
      <c r="O550" s="48"/>
      <c r="P550" s="48"/>
      <c r="Q550" s="48"/>
      <c r="R550" s="48"/>
      <c r="S550" s="60"/>
      <c r="T550" s="48"/>
      <c r="U550" s="48"/>
      <c r="V550" s="48"/>
      <c r="W550" s="48"/>
      <c r="X550" s="48"/>
      <c r="Y550" s="48"/>
      <c r="Z550" s="48"/>
      <c r="AA550" s="48"/>
      <c r="AB550" s="48"/>
      <c r="AC550" s="48"/>
      <c r="AD550" s="48"/>
      <c r="AE550" s="48"/>
      <c r="AF550" s="60"/>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56"/>
      <c r="BJ550" s="56"/>
      <c r="BK550" s="56"/>
      <c r="BL550" s="56"/>
      <c r="BM550" s="56"/>
      <c r="BN550" s="56"/>
      <c r="BO550" s="56"/>
      <c r="BP550" s="56"/>
      <c r="BQ550" s="56"/>
      <c r="BR550" s="56"/>
      <c r="BS550" s="56"/>
      <c r="BT550" s="56"/>
      <c r="BU550" s="56"/>
      <c r="BV550" s="56"/>
      <c r="BW550" s="56"/>
      <c r="BX550" s="56"/>
    </row>
    <row r="551">
      <c r="A551" s="48"/>
      <c r="B551" s="48"/>
      <c r="C551" s="48"/>
      <c r="D551" s="48"/>
      <c r="E551" s="48"/>
      <c r="F551" s="48"/>
      <c r="G551" s="48"/>
      <c r="H551" s="48"/>
      <c r="I551" s="48"/>
      <c r="J551" s="48"/>
      <c r="K551" s="64"/>
      <c r="L551" s="64"/>
      <c r="M551" s="48"/>
      <c r="N551" s="48"/>
      <c r="O551" s="48"/>
      <c r="P551" s="48"/>
      <c r="Q551" s="48"/>
      <c r="R551" s="48"/>
      <c r="S551" s="60"/>
      <c r="T551" s="48"/>
      <c r="U551" s="48"/>
      <c r="V551" s="48"/>
      <c r="W551" s="48"/>
      <c r="X551" s="48"/>
      <c r="Y551" s="48"/>
      <c r="Z551" s="48"/>
      <c r="AA551" s="48"/>
      <c r="AB551" s="48"/>
      <c r="AC551" s="48"/>
      <c r="AD551" s="48"/>
      <c r="AE551" s="48"/>
      <c r="AF551" s="60"/>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56"/>
      <c r="BJ551" s="56"/>
      <c r="BK551" s="56"/>
      <c r="BL551" s="56"/>
      <c r="BM551" s="56"/>
      <c r="BN551" s="56"/>
      <c r="BO551" s="56"/>
      <c r="BP551" s="56"/>
      <c r="BQ551" s="56"/>
      <c r="BR551" s="56"/>
      <c r="BS551" s="56"/>
      <c r="BT551" s="56"/>
      <c r="BU551" s="56"/>
      <c r="BV551" s="56"/>
      <c r="BW551" s="56"/>
      <c r="BX551" s="56"/>
    </row>
    <row r="552">
      <c r="A552" s="48"/>
      <c r="B552" s="48"/>
      <c r="C552" s="48"/>
      <c r="D552" s="48"/>
      <c r="E552" s="48"/>
      <c r="F552" s="48"/>
      <c r="G552" s="48"/>
      <c r="H552" s="48"/>
      <c r="I552" s="48"/>
      <c r="J552" s="48"/>
      <c r="K552" s="64"/>
      <c r="L552" s="64"/>
      <c r="M552" s="48"/>
      <c r="N552" s="48"/>
      <c r="O552" s="48"/>
      <c r="P552" s="48"/>
      <c r="Q552" s="48"/>
      <c r="R552" s="48"/>
      <c r="S552" s="60"/>
      <c r="T552" s="48"/>
      <c r="U552" s="48"/>
      <c r="V552" s="48"/>
      <c r="W552" s="48"/>
      <c r="X552" s="48"/>
      <c r="Y552" s="48"/>
      <c r="Z552" s="48"/>
      <c r="AA552" s="48"/>
      <c r="AB552" s="48"/>
      <c r="AC552" s="48"/>
      <c r="AD552" s="48"/>
      <c r="AE552" s="48"/>
      <c r="AF552" s="60"/>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56"/>
      <c r="BJ552" s="56"/>
      <c r="BK552" s="56"/>
      <c r="BL552" s="56"/>
      <c r="BM552" s="56"/>
      <c r="BN552" s="56"/>
      <c r="BO552" s="56"/>
      <c r="BP552" s="56"/>
      <c r="BQ552" s="56"/>
      <c r="BR552" s="56"/>
      <c r="BS552" s="56"/>
      <c r="BT552" s="56"/>
      <c r="BU552" s="56"/>
      <c r="BV552" s="56"/>
      <c r="BW552" s="56"/>
      <c r="BX552" s="56"/>
    </row>
    <row r="553">
      <c r="A553" s="48"/>
      <c r="B553" s="48"/>
      <c r="C553" s="48"/>
      <c r="D553" s="48"/>
      <c r="E553" s="48"/>
      <c r="F553" s="48"/>
      <c r="G553" s="48"/>
      <c r="H553" s="48"/>
      <c r="I553" s="48"/>
      <c r="J553" s="48"/>
      <c r="K553" s="64"/>
      <c r="L553" s="64"/>
      <c r="M553" s="48"/>
      <c r="N553" s="48"/>
      <c r="O553" s="48"/>
      <c r="P553" s="48"/>
      <c r="Q553" s="48"/>
      <c r="R553" s="48"/>
      <c r="S553" s="60"/>
      <c r="T553" s="48"/>
      <c r="U553" s="48"/>
      <c r="V553" s="48"/>
      <c r="W553" s="48"/>
      <c r="X553" s="48"/>
      <c r="Y553" s="48"/>
      <c r="Z553" s="48"/>
      <c r="AA553" s="48"/>
      <c r="AB553" s="48"/>
      <c r="AC553" s="48"/>
      <c r="AD553" s="48"/>
      <c r="AE553" s="48"/>
      <c r="AF553" s="60"/>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56"/>
      <c r="BJ553" s="56"/>
      <c r="BK553" s="56"/>
      <c r="BL553" s="56"/>
      <c r="BM553" s="56"/>
      <c r="BN553" s="56"/>
      <c r="BO553" s="56"/>
      <c r="BP553" s="56"/>
      <c r="BQ553" s="56"/>
      <c r="BR553" s="56"/>
      <c r="BS553" s="56"/>
      <c r="BT553" s="56"/>
      <c r="BU553" s="56"/>
      <c r="BV553" s="56"/>
      <c r="BW553" s="56"/>
      <c r="BX553" s="56"/>
    </row>
    <row r="554">
      <c r="A554" s="48"/>
      <c r="B554" s="48"/>
      <c r="C554" s="48"/>
      <c r="D554" s="48"/>
      <c r="E554" s="48"/>
      <c r="F554" s="48"/>
      <c r="G554" s="48"/>
      <c r="H554" s="48"/>
      <c r="I554" s="48"/>
      <c r="J554" s="48"/>
      <c r="K554" s="64"/>
      <c r="L554" s="64"/>
      <c r="M554" s="48"/>
      <c r="N554" s="48"/>
      <c r="O554" s="48"/>
      <c r="P554" s="48"/>
      <c r="Q554" s="48"/>
      <c r="R554" s="48"/>
      <c r="S554" s="60"/>
      <c r="T554" s="48"/>
      <c r="U554" s="48"/>
      <c r="V554" s="48"/>
      <c r="W554" s="48"/>
      <c r="X554" s="48"/>
      <c r="Y554" s="48"/>
      <c r="Z554" s="48"/>
      <c r="AA554" s="48"/>
      <c r="AB554" s="48"/>
      <c r="AC554" s="48"/>
      <c r="AD554" s="48"/>
      <c r="AE554" s="48"/>
      <c r="AF554" s="60"/>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56"/>
      <c r="BJ554" s="56"/>
      <c r="BK554" s="56"/>
      <c r="BL554" s="56"/>
      <c r="BM554" s="56"/>
      <c r="BN554" s="56"/>
      <c r="BO554" s="56"/>
      <c r="BP554" s="56"/>
      <c r="BQ554" s="56"/>
      <c r="BR554" s="56"/>
      <c r="BS554" s="56"/>
      <c r="BT554" s="56"/>
      <c r="BU554" s="56"/>
      <c r="BV554" s="56"/>
      <c r="BW554" s="56"/>
      <c r="BX554" s="56"/>
    </row>
    <row r="555">
      <c r="A555" s="48"/>
      <c r="B555" s="48"/>
      <c r="C555" s="48"/>
      <c r="D555" s="48"/>
      <c r="E555" s="48"/>
      <c r="F555" s="48"/>
      <c r="G555" s="48"/>
      <c r="H555" s="48"/>
      <c r="I555" s="48"/>
      <c r="J555" s="48"/>
      <c r="K555" s="64"/>
      <c r="L555" s="64"/>
      <c r="M555" s="48"/>
      <c r="N555" s="48"/>
      <c r="O555" s="48"/>
      <c r="P555" s="48"/>
      <c r="Q555" s="48"/>
      <c r="R555" s="48"/>
      <c r="S555" s="60"/>
      <c r="T555" s="48"/>
      <c r="U555" s="48"/>
      <c r="V555" s="48"/>
      <c r="W555" s="48"/>
      <c r="X555" s="48"/>
      <c r="Y555" s="48"/>
      <c r="Z555" s="48"/>
      <c r="AA555" s="48"/>
      <c r="AB555" s="48"/>
      <c r="AC555" s="48"/>
      <c r="AD555" s="48"/>
      <c r="AE555" s="48"/>
      <c r="AF555" s="60"/>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56"/>
      <c r="BJ555" s="56"/>
      <c r="BK555" s="56"/>
      <c r="BL555" s="56"/>
      <c r="BM555" s="56"/>
      <c r="BN555" s="56"/>
      <c r="BO555" s="56"/>
      <c r="BP555" s="56"/>
      <c r="BQ555" s="56"/>
      <c r="BR555" s="56"/>
      <c r="BS555" s="56"/>
      <c r="BT555" s="56"/>
      <c r="BU555" s="56"/>
      <c r="BV555" s="56"/>
      <c r="BW555" s="56"/>
      <c r="BX555" s="56"/>
    </row>
    <row r="556">
      <c r="A556" s="48"/>
      <c r="B556" s="48"/>
      <c r="C556" s="48"/>
      <c r="D556" s="48"/>
      <c r="E556" s="48"/>
      <c r="F556" s="48"/>
      <c r="G556" s="48"/>
      <c r="H556" s="48"/>
      <c r="I556" s="48"/>
      <c r="J556" s="48"/>
      <c r="K556" s="64"/>
      <c r="L556" s="64"/>
      <c r="M556" s="48"/>
      <c r="N556" s="48"/>
      <c r="O556" s="48"/>
      <c r="P556" s="48"/>
      <c r="Q556" s="48"/>
      <c r="R556" s="48"/>
      <c r="S556" s="60"/>
      <c r="T556" s="48"/>
      <c r="U556" s="48"/>
      <c r="V556" s="48"/>
      <c r="W556" s="48"/>
      <c r="X556" s="48"/>
      <c r="Y556" s="48"/>
      <c r="Z556" s="48"/>
      <c r="AA556" s="48"/>
      <c r="AB556" s="48"/>
      <c r="AC556" s="48"/>
      <c r="AD556" s="48"/>
      <c r="AE556" s="48"/>
      <c r="AF556" s="60"/>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56"/>
      <c r="BJ556" s="56"/>
      <c r="BK556" s="56"/>
      <c r="BL556" s="56"/>
      <c r="BM556" s="56"/>
      <c r="BN556" s="56"/>
      <c r="BO556" s="56"/>
      <c r="BP556" s="56"/>
      <c r="BQ556" s="56"/>
      <c r="BR556" s="56"/>
      <c r="BS556" s="56"/>
      <c r="BT556" s="56"/>
      <c r="BU556" s="56"/>
      <c r="BV556" s="56"/>
      <c r="BW556" s="56"/>
      <c r="BX556" s="56"/>
    </row>
    <row r="557">
      <c r="A557" s="48"/>
      <c r="B557" s="48"/>
      <c r="C557" s="48"/>
      <c r="D557" s="48"/>
      <c r="E557" s="48"/>
      <c r="F557" s="48"/>
      <c r="G557" s="48"/>
      <c r="H557" s="48"/>
      <c r="I557" s="48"/>
      <c r="J557" s="48"/>
      <c r="K557" s="64"/>
      <c r="L557" s="64"/>
      <c r="M557" s="48"/>
      <c r="N557" s="48"/>
      <c r="O557" s="48"/>
      <c r="P557" s="48"/>
      <c r="Q557" s="48"/>
      <c r="R557" s="48"/>
      <c r="S557" s="60"/>
      <c r="T557" s="48"/>
      <c r="U557" s="48"/>
      <c r="V557" s="48"/>
      <c r="W557" s="48"/>
      <c r="X557" s="48"/>
      <c r="Y557" s="48"/>
      <c r="Z557" s="48"/>
      <c r="AA557" s="48"/>
      <c r="AB557" s="48"/>
      <c r="AC557" s="48"/>
      <c r="AD557" s="48"/>
      <c r="AE557" s="48"/>
      <c r="AF557" s="60"/>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56"/>
      <c r="BJ557" s="56"/>
      <c r="BK557" s="56"/>
      <c r="BL557" s="56"/>
      <c r="BM557" s="56"/>
      <c r="BN557" s="56"/>
      <c r="BO557" s="56"/>
      <c r="BP557" s="56"/>
      <c r="BQ557" s="56"/>
      <c r="BR557" s="56"/>
      <c r="BS557" s="56"/>
      <c r="BT557" s="56"/>
      <c r="BU557" s="56"/>
      <c r="BV557" s="56"/>
      <c r="BW557" s="56"/>
      <c r="BX557" s="56"/>
    </row>
    <row r="558">
      <c r="A558" s="48"/>
      <c r="B558" s="48"/>
      <c r="C558" s="48"/>
      <c r="D558" s="48"/>
      <c r="E558" s="48"/>
      <c r="F558" s="48"/>
      <c r="G558" s="48"/>
      <c r="H558" s="48"/>
      <c r="I558" s="48"/>
      <c r="J558" s="48"/>
      <c r="K558" s="64"/>
      <c r="L558" s="64"/>
      <c r="M558" s="48"/>
      <c r="N558" s="48"/>
      <c r="O558" s="48"/>
      <c r="P558" s="48"/>
      <c r="Q558" s="48"/>
      <c r="R558" s="48"/>
      <c r="S558" s="60"/>
      <c r="T558" s="48"/>
      <c r="U558" s="48"/>
      <c r="V558" s="48"/>
      <c r="W558" s="48"/>
      <c r="X558" s="48"/>
      <c r="Y558" s="48"/>
      <c r="Z558" s="48"/>
      <c r="AA558" s="48"/>
      <c r="AB558" s="48"/>
      <c r="AC558" s="48"/>
      <c r="AD558" s="48"/>
      <c r="AE558" s="48"/>
      <c r="AF558" s="60"/>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56"/>
      <c r="BJ558" s="56"/>
      <c r="BK558" s="56"/>
      <c r="BL558" s="56"/>
      <c r="BM558" s="56"/>
      <c r="BN558" s="56"/>
      <c r="BO558" s="56"/>
      <c r="BP558" s="56"/>
      <c r="BQ558" s="56"/>
      <c r="BR558" s="56"/>
      <c r="BS558" s="56"/>
      <c r="BT558" s="56"/>
      <c r="BU558" s="56"/>
      <c r="BV558" s="56"/>
      <c r="BW558" s="56"/>
      <c r="BX558" s="56"/>
    </row>
    <row r="559">
      <c r="A559" s="48"/>
      <c r="B559" s="48"/>
      <c r="C559" s="48"/>
      <c r="D559" s="48"/>
      <c r="E559" s="48"/>
      <c r="F559" s="48"/>
      <c r="G559" s="48"/>
      <c r="H559" s="48"/>
      <c r="I559" s="48"/>
      <c r="J559" s="48"/>
      <c r="K559" s="64"/>
      <c r="L559" s="64"/>
      <c r="M559" s="48"/>
      <c r="N559" s="48"/>
      <c r="O559" s="48"/>
      <c r="P559" s="48"/>
      <c r="Q559" s="48"/>
      <c r="R559" s="48"/>
      <c r="S559" s="60"/>
      <c r="T559" s="48"/>
      <c r="U559" s="48"/>
      <c r="V559" s="48"/>
      <c r="W559" s="48"/>
      <c r="X559" s="48"/>
      <c r="Y559" s="48"/>
      <c r="Z559" s="48"/>
      <c r="AA559" s="48"/>
      <c r="AB559" s="48"/>
      <c r="AC559" s="48"/>
      <c r="AD559" s="48"/>
      <c r="AE559" s="48"/>
      <c r="AF559" s="60"/>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56"/>
      <c r="BJ559" s="56"/>
      <c r="BK559" s="56"/>
      <c r="BL559" s="56"/>
      <c r="BM559" s="56"/>
      <c r="BN559" s="56"/>
      <c r="BO559" s="56"/>
      <c r="BP559" s="56"/>
      <c r="BQ559" s="56"/>
      <c r="BR559" s="56"/>
      <c r="BS559" s="56"/>
      <c r="BT559" s="56"/>
      <c r="BU559" s="56"/>
      <c r="BV559" s="56"/>
      <c r="BW559" s="56"/>
      <c r="BX559" s="56"/>
    </row>
    <row r="560">
      <c r="A560" s="48"/>
      <c r="B560" s="48"/>
      <c r="C560" s="48"/>
      <c r="D560" s="48"/>
      <c r="E560" s="48"/>
      <c r="F560" s="48"/>
      <c r="G560" s="48"/>
      <c r="H560" s="48"/>
      <c r="I560" s="48"/>
      <c r="J560" s="48"/>
      <c r="K560" s="64"/>
      <c r="L560" s="64"/>
      <c r="M560" s="48"/>
      <c r="N560" s="48"/>
      <c r="O560" s="48"/>
      <c r="P560" s="48"/>
      <c r="Q560" s="48"/>
      <c r="R560" s="48"/>
      <c r="S560" s="60"/>
      <c r="T560" s="48"/>
      <c r="U560" s="48"/>
      <c r="V560" s="48"/>
      <c r="W560" s="48"/>
      <c r="X560" s="48"/>
      <c r="Y560" s="48"/>
      <c r="Z560" s="48"/>
      <c r="AA560" s="48"/>
      <c r="AB560" s="48"/>
      <c r="AC560" s="48"/>
      <c r="AD560" s="48"/>
      <c r="AE560" s="48"/>
      <c r="AF560" s="60"/>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56"/>
      <c r="BJ560" s="56"/>
      <c r="BK560" s="56"/>
      <c r="BL560" s="56"/>
      <c r="BM560" s="56"/>
      <c r="BN560" s="56"/>
      <c r="BO560" s="56"/>
      <c r="BP560" s="56"/>
      <c r="BQ560" s="56"/>
      <c r="BR560" s="56"/>
      <c r="BS560" s="56"/>
      <c r="BT560" s="56"/>
      <c r="BU560" s="56"/>
      <c r="BV560" s="56"/>
      <c r="BW560" s="56"/>
      <c r="BX560" s="56"/>
    </row>
    <row r="561">
      <c r="A561" s="48"/>
      <c r="B561" s="48"/>
      <c r="C561" s="48"/>
      <c r="D561" s="48"/>
      <c r="E561" s="48"/>
      <c r="F561" s="48"/>
      <c r="G561" s="48"/>
      <c r="H561" s="48"/>
      <c r="I561" s="48"/>
      <c r="J561" s="48"/>
      <c r="K561" s="64"/>
      <c r="L561" s="64"/>
      <c r="M561" s="48"/>
      <c r="N561" s="48"/>
      <c r="O561" s="48"/>
      <c r="P561" s="48"/>
      <c r="Q561" s="48"/>
      <c r="R561" s="48"/>
      <c r="S561" s="60"/>
      <c r="T561" s="48"/>
      <c r="U561" s="48"/>
      <c r="V561" s="48"/>
      <c r="W561" s="48"/>
      <c r="X561" s="48"/>
      <c r="Y561" s="48"/>
      <c r="Z561" s="48"/>
      <c r="AA561" s="48"/>
      <c r="AB561" s="48"/>
      <c r="AC561" s="48"/>
      <c r="AD561" s="48"/>
      <c r="AE561" s="48"/>
      <c r="AF561" s="60"/>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56"/>
      <c r="BJ561" s="56"/>
      <c r="BK561" s="56"/>
      <c r="BL561" s="56"/>
      <c r="BM561" s="56"/>
      <c r="BN561" s="56"/>
      <c r="BO561" s="56"/>
      <c r="BP561" s="56"/>
      <c r="BQ561" s="56"/>
      <c r="BR561" s="56"/>
      <c r="BS561" s="56"/>
      <c r="BT561" s="56"/>
      <c r="BU561" s="56"/>
      <c r="BV561" s="56"/>
      <c r="BW561" s="56"/>
      <c r="BX561" s="56"/>
    </row>
    <row r="562">
      <c r="A562" s="48"/>
      <c r="B562" s="48"/>
      <c r="C562" s="48"/>
      <c r="D562" s="48"/>
      <c r="E562" s="48"/>
      <c r="F562" s="48"/>
      <c r="G562" s="48"/>
      <c r="H562" s="48"/>
      <c r="I562" s="48"/>
      <c r="J562" s="48"/>
      <c r="K562" s="64"/>
      <c r="L562" s="64"/>
      <c r="M562" s="48"/>
      <c r="N562" s="48"/>
      <c r="O562" s="48"/>
      <c r="P562" s="48"/>
      <c r="Q562" s="48"/>
      <c r="R562" s="48"/>
      <c r="S562" s="60"/>
      <c r="T562" s="48"/>
      <c r="U562" s="48"/>
      <c r="V562" s="48"/>
      <c r="W562" s="48"/>
      <c r="X562" s="48"/>
      <c r="Y562" s="48"/>
      <c r="Z562" s="48"/>
      <c r="AA562" s="48"/>
      <c r="AB562" s="48"/>
      <c r="AC562" s="48"/>
      <c r="AD562" s="48"/>
      <c r="AE562" s="48"/>
      <c r="AF562" s="60"/>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56"/>
      <c r="BJ562" s="56"/>
      <c r="BK562" s="56"/>
      <c r="BL562" s="56"/>
      <c r="BM562" s="56"/>
      <c r="BN562" s="56"/>
      <c r="BO562" s="56"/>
      <c r="BP562" s="56"/>
      <c r="BQ562" s="56"/>
      <c r="BR562" s="56"/>
      <c r="BS562" s="56"/>
      <c r="BT562" s="56"/>
      <c r="BU562" s="56"/>
      <c r="BV562" s="56"/>
      <c r="BW562" s="56"/>
      <c r="BX562" s="56"/>
    </row>
    <row r="563">
      <c r="A563" s="48"/>
      <c r="B563" s="48"/>
      <c r="C563" s="48"/>
      <c r="D563" s="48"/>
      <c r="E563" s="48"/>
      <c r="F563" s="48"/>
      <c r="G563" s="48"/>
      <c r="H563" s="48"/>
      <c r="I563" s="48"/>
      <c r="J563" s="48"/>
      <c r="K563" s="64"/>
      <c r="L563" s="64"/>
      <c r="M563" s="48"/>
      <c r="N563" s="48"/>
      <c r="O563" s="48"/>
      <c r="P563" s="48"/>
      <c r="Q563" s="48"/>
      <c r="R563" s="48"/>
      <c r="S563" s="60"/>
      <c r="T563" s="48"/>
      <c r="U563" s="48"/>
      <c r="V563" s="48"/>
      <c r="W563" s="48"/>
      <c r="X563" s="48"/>
      <c r="Y563" s="48"/>
      <c r="Z563" s="48"/>
      <c r="AA563" s="48"/>
      <c r="AB563" s="48"/>
      <c r="AC563" s="48"/>
      <c r="AD563" s="48"/>
      <c r="AE563" s="48"/>
      <c r="AF563" s="60"/>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56"/>
      <c r="BJ563" s="56"/>
      <c r="BK563" s="56"/>
      <c r="BL563" s="56"/>
      <c r="BM563" s="56"/>
      <c r="BN563" s="56"/>
      <c r="BO563" s="56"/>
      <c r="BP563" s="56"/>
      <c r="BQ563" s="56"/>
      <c r="BR563" s="56"/>
      <c r="BS563" s="56"/>
      <c r="BT563" s="56"/>
      <c r="BU563" s="56"/>
      <c r="BV563" s="56"/>
      <c r="BW563" s="56"/>
      <c r="BX563" s="56"/>
    </row>
    <row r="564">
      <c r="A564" s="48"/>
      <c r="B564" s="48"/>
      <c r="C564" s="48"/>
      <c r="D564" s="48"/>
      <c r="E564" s="48"/>
      <c r="F564" s="48"/>
      <c r="G564" s="48"/>
      <c r="H564" s="48"/>
      <c r="I564" s="48"/>
      <c r="J564" s="48"/>
      <c r="K564" s="64"/>
      <c r="L564" s="64"/>
      <c r="M564" s="48"/>
      <c r="N564" s="48"/>
      <c r="O564" s="48"/>
      <c r="P564" s="48"/>
      <c r="Q564" s="48"/>
      <c r="R564" s="48"/>
      <c r="S564" s="60"/>
      <c r="T564" s="48"/>
      <c r="U564" s="48"/>
      <c r="V564" s="48"/>
      <c r="W564" s="48"/>
      <c r="X564" s="48"/>
      <c r="Y564" s="48"/>
      <c r="Z564" s="48"/>
      <c r="AA564" s="48"/>
      <c r="AB564" s="48"/>
      <c r="AC564" s="48"/>
      <c r="AD564" s="48"/>
      <c r="AE564" s="48"/>
      <c r="AF564" s="60"/>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56"/>
      <c r="BJ564" s="56"/>
      <c r="BK564" s="56"/>
      <c r="BL564" s="56"/>
      <c r="BM564" s="56"/>
      <c r="BN564" s="56"/>
      <c r="BO564" s="56"/>
      <c r="BP564" s="56"/>
      <c r="BQ564" s="56"/>
      <c r="BR564" s="56"/>
      <c r="BS564" s="56"/>
      <c r="BT564" s="56"/>
      <c r="BU564" s="56"/>
      <c r="BV564" s="56"/>
      <c r="BW564" s="56"/>
      <c r="BX564" s="56"/>
    </row>
    <row r="565">
      <c r="A565" s="48"/>
      <c r="B565" s="48"/>
      <c r="C565" s="48"/>
      <c r="D565" s="48"/>
      <c r="E565" s="48"/>
      <c r="F565" s="48"/>
      <c r="G565" s="48"/>
      <c r="H565" s="48"/>
      <c r="I565" s="48"/>
      <c r="J565" s="48"/>
      <c r="K565" s="64"/>
      <c r="L565" s="64"/>
      <c r="M565" s="48"/>
      <c r="N565" s="48"/>
      <c r="O565" s="48"/>
      <c r="P565" s="48"/>
      <c r="Q565" s="48"/>
      <c r="R565" s="48"/>
      <c r="S565" s="60"/>
      <c r="T565" s="48"/>
      <c r="U565" s="48"/>
      <c r="V565" s="48"/>
      <c r="W565" s="48"/>
      <c r="X565" s="48"/>
      <c r="Y565" s="48"/>
      <c r="Z565" s="48"/>
      <c r="AA565" s="48"/>
      <c r="AB565" s="48"/>
      <c r="AC565" s="48"/>
      <c r="AD565" s="48"/>
      <c r="AE565" s="48"/>
      <c r="AF565" s="60"/>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56"/>
      <c r="BJ565" s="56"/>
      <c r="BK565" s="56"/>
      <c r="BL565" s="56"/>
      <c r="BM565" s="56"/>
      <c r="BN565" s="56"/>
      <c r="BO565" s="56"/>
      <c r="BP565" s="56"/>
      <c r="BQ565" s="56"/>
      <c r="BR565" s="56"/>
      <c r="BS565" s="56"/>
      <c r="BT565" s="56"/>
      <c r="BU565" s="56"/>
      <c r="BV565" s="56"/>
      <c r="BW565" s="56"/>
      <c r="BX565" s="56"/>
    </row>
    <row r="566">
      <c r="A566" s="48"/>
      <c r="B566" s="48"/>
      <c r="C566" s="48"/>
      <c r="D566" s="48"/>
      <c r="E566" s="48"/>
      <c r="F566" s="48"/>
      <c r="G566" s="48"/>
      <c r="H566" s="48"/>
      <c r="I566" s="48"/>
      <c r="J566" s="48"/>
      <c r="K566" s="64"/>
      <c r="L566" s="64"/>
      <c r="M566" s="48"/>
      <c r="N566" s="48"/>
      <c r="O566" s="48"/>
      <c r="P566" s="48"/>
      <c r="Q566" s="48"/>
      <c r="R566" s="48"/>
      <c r="S566" s="60"/>
      <c r="T566" s="48"/>
      <c r="U566" s="48"/>
      <c r="V566" s="48"/>
      <c r="W566" s="48"/>
      <c r="X566" s="48"/>
      <c r="Y566" s="48"/>
      <c r="Z566" s="48"/>
      <c r="AA566" s="48"/>
      <c r="AB566" s="48"/>
      <c r="AC566" s="48"/>
      <c r="AD566" s="48"/>
      <c r="AE566" s="48"/>
      <c r="AF566" s="60"/>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56"/>
      <c r="BJ566" s="56"/>
      <c r="BK566" s="56"/>
      <c r="BL566" s="56"/>
      <c r="BM566" s="56"/>
      <c r="BN566" s="56"/>
      <c r="BO566" s="56"/>
      <c r="BP566" s="56"/>
      <c r="BQ566" s="56"/>
      <c r="BR566" s="56"/>
      <c r="BS566" s="56"/>
      <c r="BT566" s="56"/>
      <c r="BU566" s="56"/>
      <c r="BV566" s="56"/>
      <c r="BW566" s="56"/>
      <c r="BX566" s="56"/>
    </row>
    <row r="567">
      <c r="A567" s="48"/>
      <c r="B567" s="48"/>
      <c r="C567" s="48"/>
      <c r="D567" s="48"/>
      <c r="E567" s="48"/>
      <c r="F567" s="48"/>
      <c r="G567" s="48"/>
      <c r="H567" s="48"/>
      <c r="I567" s="48"/>
      <c r="J567" s="48"/>
      <c r="K567" s="64"/>
      <c r="L567" s="64"/>
      <c r="M567" s="48"/>
      <c r="N567" s="48"/>
      <c r="O567" s="48"/>
      <c r="P567" s="48"/>
      <c r="Q567" s="48"/>
      <c r="R567" s="48"/>
      <c r="S567" s="60"/>
      <c r="T567" s="48"/>
      <c r="U567" s="48"/>
      <c r="V567" s="48"/>
      <c r="W567" s="48"/>
      <c r="X567" s="48"/>
      <c r="Y567" s="48"/>
      <c r="Z567" s="48"/>
      <c r="AA567" s="48"/>
      <c r="AB567" s="48"/>
      <c r="AC567" s="48"/>
      <c r="AD567" s="48"/>
      <c r="AE567" s="48"/>
      <c r="AF567" s="60"/>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56"/>
      <c r="BJ567" s="56"/>
      <c r="BK567" s="56"/>
      <c r="BL567" s="56"/>
      <c r="BM567" s="56"/>
      <c r="BN567" s="56"/>
      <c r="BO567" s="56"/>
      <c r="BP567" s="56"/>
      <c r="BQ567" s="56"/>
      <c r="BR567" s="56"/>
      <c r="BS567" s="56"/>
      <c r="BT567" s="56"/>
      <c r="BU567" s="56"/>
      <c r="BV567" s="56"/>
      <c r="BW567" s="56"/>
      <c r="BX567" s="56"/>
    </row>
    <row r="568">
      <c r="A568" s="48"/>
      <c r="B568" s="48"/>
      <c r="C568" s="48"/>
      <c r="D568" s="48"/>
      <c r="E568" s="48"/>
      <c r="F568" s="48"/>
      <c r="G568" s="48"/>
      <c r="H568" s="48"/>
      <c r="I568" s="48"/>
      <c r="J568" s="48"/>
      <c r="K568" s="64"/>
      <c r="L568" s="64"/>
      <c r="M568" s="48"/>
      <c r="N568" s="48"/>
      <c r="O568" s="48"/>
      <c r="P568" s="48"/>
      <c r="Q568" s="48"/>
      <c r="R568" s="48"/>
      <c r="S568" s="60"/>
      <c r="T568" s="48"/>
      <c r="U568" s="48"/>
      <c r="V568" s="48"/>
      <c r="W568" s="48"/>
      <c r="X568" s="48"/>
      <c r="Y568" s="48"/>
      <c r="Z568" s="48"/>
      <c r="AA568" s="48"/>
      <c r="AB568" s="48"/>
      <c r="AC568" s="48"/>
      <c r="AD568" s="48"/>
      <c r="AE568" s="48"/>
      <c r="AF568" s="60"/>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56"/>
      <c r="BJ568" s="56"/>
      <c r="BK568" s="56"/>
      <c r="BL568" s="56"/>
      <c r="BM568" s="56"/>
      <c r="BN568" s="56"/>
      <c r="BO568" s="56"/>
      <c r="BP568" s="56"/>
      <c r="BQ568" s="56"/>
      <c r="BR568" s="56"/>
      <c r="BS568" s="56"/>
      <c r="BT568" s="56"/>
      <c r="BU568" s="56"/>
      <c r="BV568" s="56"/>
      <c r="BW568" s="56"/>
      <c r="BX568" s="56"/>
    </row>
    <row r="569">
      <c r="A569" s="48"/>
      <c r="B569" s="48"/>
      <c r="C569" s="48"/>
      <c r="D569" s="48"/>
      <c r="E569" s="48"/>
      <c r="F569" s="48"/>
      <c r="G569" s="48"/>
      <c r="H569" s="48"/>
      <c r="I569" s="48"/>
      <c r="J569" s="48"/>
      <c r="K569" s="64"/>
      <c r="L569" s="64"/>
      <c r="M569" s="48"/>
      <c r="N569" s="48"/>
      <c r="O569" s="48"/>
      <c r="P569" s="48"/>
      <c r="Q569" s="48"/>
      <c r="R569" s="48"/>
      <c r="S569" s="60"/>
      <c r="T569" s="48"/>
      <c r="U569" s="48"/>
      <c r="V569" s="48"/>
      <c r="W569" s="48"/>
      <c r="X569" s="48"/>
      <c r="Y569" s="48"/>
      <c r="Z569" s="48"/>
      <c r="AA569" s="48"/>
      <c r="AB569" s="48"/>
      <c r="AC569" s="48"/>
      <c r="AD569" s="48"/>
      <c r="AE569" s="48"/>
      <c r="AF569" s="60"/>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56"/>
      <c r="BJ569" s="56"/>
      <c r="BK569" s="56"/>
      <c r="BL569" s="56"/>
      <c r="BM569" s="56"/>
      <c r="BN569" s="56"/>
      <c r="BO569" s="56"/>
      <c r="BP569" s="56"/>
      <c r="BQ569" s="56"/>
      <c r="BR569" s="56"/>
      <c r="BS569" s="56"/>
      <c r="BT569" s="56"/>
      <c r="BU569" s="56"/>
      <c r="BV569" s="56"/>
      <c r="BW569" s="56"/>
      <c r="BX569" s="56"/>
    </row>
    <row r="570">
      <c r="A570" s="48"/>
      <c r="B570" s="48"/>
      <c r="C570" s="48"/>
      <c r="D570" s="48"/>
      <c r="E570" s="48"/>
      <c r="F570" s="48"/>
      <c r="G570" s="48"/>
      <c r="H570" s="48"/>
      <c r="I570" s="48"/>
      <c r="J570" s="48"/>
      <c r="K570" s="64"/>
      <c r="L570" s="64"/>
      <c r="M570" s="48"/>
      <c r="N570" s="48"/>
      <c r="O570" s="48"/>
      <c r="P570" s="48"/>
      <c r="Q570" s="48"/>
      <c r="R570" s="48"/>
      <c r="S570" s="60"/>
      <c r="T570" s="48"/>
      <c r="U570" s="48"/>
      <c r="V570" s="48"/>
      <c r="W570" s="48"/>
      <c r="X570" s="48"/>
      <c r="Y570" s="48"/>
      <c r="Z570" s="48"/>
      <c r="AA570" s="48"/>
      <c r="AB570" s="48"/>
      <c r="AC570" s="48"/>
      <c r="AD570" s="48"/>
      <c r="AE570" s="48"/>
      <c r="AF570" s="60"/>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56"/>
      <c r="BJ570" s="56"/>
      <c r="BK570" s="56"/>
      <c r="BL570" s="56"/>
      <c r="BM570" s="56"/>
      <c r="BN570" s="56"/>
      <c r="BO570" s="56"/>
      <c r="BP570" s="56"/>
      <c r="BQ570" s="56"/>
      <c r="BR570" s="56"/>
      <c r="BS570" s="56"/>
      <c r="BT570" s="56"/>
      <c r="BU570" s="56"/>
      <c r="BV570" s="56"/>
      <c r="BW570" s="56"/>
      <c r="BX570" s="56"/>
    </row>
    <row r="571">
      <c r="A571" s="48"/>
      <c r="B571" s="48"/>
      <c r="C571" s="48"/>
      <c r="D571" s="48"/>
      <c r="E571" s="48"/>
      <c r="F571" s="48"/>
      <c r="G571" s="48"/>
      <c r="H571" s="48"/>
      <c r="I571" s="48"/>
      <c r="J571" s="48"/>
      <c r="K571" s="64"/>
      <c r="L571" s="64"/>
      <c r="M571" s="48"/>
      <c r="N571" s="48"/>
      <c r="O571" s="48"/>
      <c r="P571" s="48"/>
      <c r="Q571" s="48"/>
      <c r="R571" s="48"/>
      <c r="S571" s="60"/>
      <c r="T571" s="48"/>
      <c r="U571" s="48"/>
      <c r="V571" s="48"/>
      <c r="W571" s="48"/>
      <c r="X571" s="48"/>
      <c r="Y571" s="48"/>
      <c r="Z571" s="48"/>
      <c r="AA571" s="48"/>
      <c r="AB571" s="48"/>
      <c r="AC571" s="48"/>
      <c r="AD571" s="48"/>
      <c r="AE571" s="48"/>
      <c r="AF571" s="60"/>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56"/>
      <c r="BJ571" s="56"/>
      <c r="BK571" s="56"/>
      <c r="BL571" s="56"/>
      <c r="BM571" s="56"/>
      <c r="BN571" s="56"/>
      <c r="BO571" s="56"/>
      <c r="BP571" s="56"/>
      <c r="BQ571" s="56"/>
      <c r="BR571" s="56"/>
      <c r="BS571" s="56"/>
      <c r="BT571" s="56"/>
      <c r="BU571" s="56"/>
      <c r="BV571" s="56"/>
      <c r="BW571" s="56"/>
      <c r="BX571" s="56"/>
    </row>
    <row r="572">
      <c r="A572" s="48"/>
      <c r="B572" s="48"/>
      <c r="C572" s="48"/>
      <c r="D572" s="48"/>
      <c r="E572" s="48"/>
      <c r="F572" s="48"/>
      <c r="G572" s="48"/>
      <c r="H572" s="48"/>
      <c r="I572" s="48"/>
      <c r="J572" s="48"/>
      <c r="K572" s="64"/>
      <c r="L572" s="64"/>
      <c r="M572" s="48"/>
      <c r="N572" s="48"/>
      <c r="O572" s="48"/>
      <c r="P572" s="48"/>
      <c r="Q572" s="48"/>
      <c r="R572" s="48"/>
      <c r="S572" s="60"/>
      <c r="T572" s="48"/>
      <c r="U572" s="48"/>
      <c r="V572" s="48"/>
      <c r="W572" s="48"/>
      <c r="X572" s="48"/>
      <c r="Y572" s="48"/>
      <c r="Z572" s="48"/>
      <c r="AA572" s="48"/>
      <c r="AB572" s="48"/>
      <c r="AC572" s="48"/>
      <c r="AD572" s="48"/>
      <c r="AE572" s="48"/>
      <c r="AF572" s="60"/>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56"/>
      <c r="BJ572" s="56"/>
      <c r="BK572" s="56"/>
      <c r="BL572" s="56"/>
      <c r="BM572" s="56"/>
      <c r="BN572" s="56"/>
      <c r="BO572" s="56"/>
      <c r="BP572" s="56"/>
      <c r="BQ572" s="56"/>
      <c r="BR572" s="56"/>
      <c r="BS572" s="56"/>
      <c r="BT572" s="56"/>
      <c r="BU572" s="56"/>
      <c r="BV572" s="56"/>
      <c r="BW572" s="56"/>
      <c r="BX572" s="56"/>
    </row>
    <row r="573">
      <c r="A573" s="48"/>
      <c r="B573" s="48"/>
      <c r="C573" s="48"/>
      <c r="D573" s="48"/>
      <c r="E573" s="48"/>
      <c r="F573" s="48"/>
      <c r="G573" s="48"/>
      <c r="H573" s="48"/>
      <c r="I573" s="48"/>
      <c r="J573" s="48"/>
      <c r="K573" s="64"/>
      <c r="L573" s="64"/>
      <c r="M573" s="48"/>
      <c r="N573" s="48"/>
      <c r="O573" s="48"/>
      <c r="P573" s="48"/>
      <c r="Q573" s="48"/>
      <c r="R573" s="48"/>
      <c r="S573" s="60"/>
      <c r="T573" s="48"/>
      <c r="U573" s="48"/>
      <c r="V573" s="48"/>
      <c r="W573" s="48"/>
      <c r="X573" s="48"/>
      <c r="Y573" s="48"/>
      <c r="Z573" s="48"/>
      <c r="AA573" s="48"/>
      <c r="AB573" s="48"/>
      <c r="AC573" s="48"/>
      <c r="AD573" s="48"/>
      <c r="AE573" s="48"/>
      <c r="AF573" s="60"/>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56"/>
      <c r="BJ573" s="56"/>
      <c r="BK573" s="56"/>
      <c r="BL573" s="56"/>
      <c r="BM573" s="56"/>
      <c r="BN573" s="56"/>
      <c r="BO573" s="56"/>
      <c r="BP573" s="56"/>
      <c r="BQ573" s="56"/>
      <c r="BR573" s="56"/>
      <c r="BS573" s="56"/>
      <c r="BT573" s="56"/>
      <c r="BU573" s="56"/>
      <c r="BV573" s="56"/>
      <c r="BW573" s="56"/>
      <c r="BX573" s="56"/>
    </row>
    <row r="574">
      <c r="A574" s="48"/>
      <c r="B574" s="48"/>
      <c r="C574" s="48"/>
      <c r="D574" s="48"/>
      <c r="E574" s="48"/>
      <c r="F574" s="48"/>
      <c r="G574" s="48"/>
      <c r="H574" s="48"/>
      <c r="I574" s="48"/>
      <c r="J574" s="48"/>
      <c r="K574" s="64"/>
      <c r="L574" s="64"/>
      <c r="M574" s="48"/>
      <c r="N574" s="48"/>
      <c r="O574" s="48"/>
      <c r="P574" s="48"/>
      <c r="Q574" s="48"/>
      <c r="R574" s="48"/>
      <c r="S574" s="60"/>
      <c r="T574" s="48"/>
      <c r="U574" s="48"/>
      <c r="V574" s="48"/>
      <c r="W574" s="48"/>
      <c r="X574" s="48"/>
      <c r="Y574" s="48"/>
      <c r="Z574" s="48"/>
      <c r="AA574" s="48"/>
      <c r="AB574" s="48"/>
      <c r="AC574" s="48"/>
      <c r="AD574" s="48"/>
      <c r="AE574" s="48"/>
      <c r="AF574" s="60"/>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56"/>
      <c r="BJ574" s="56"/>
      <c r="BK574" s="56"/>
      <c r="BL574" s="56"/>
      <c r="BM574" s="56"/>
      <c r="BN574" s="56"/>
      <c r="BO574" s="56"/>
      <c r="BP574" s="56"/>
      <c r="BQ574" s="56"/>
      <c r="BR574" s="56"/>
      <c r="BS574" s="56"/>
      <c r="BT574" s="56"/>
      <c r="BU574" s="56"/>
      <c r="BV574" s="56"/>
      <c r="BW574" s="56"/>
      <c r="BX574" s="56"/>
    </row>
    <row r="575">
      <c r="A575" s="48"/>
      <c r="B575" s="48"/>
      <c r="C575" s="48"/>
      <c r="D575" s="48"/>
      <c r="E575" s="48"/>
      <c r="F575" s="48"/>
      <c r="G575" s="48"/>
      <c r="H575" s="48"/>
      <c r="I575" s="48"/>
      <c r="J575" s="48"/>
      <c r="K575" s="64"/>
      <c r="L575" s="64"/>
      <c r="M575" s="48"/>
      <c r="N575" s="48"/>
      <c r="O575" s="48"/>
      <c r="P575" s="48"/>
      <c r="Q575" s="48"/>
      <c r="R575" s="48"/>
      <c r="S575" s="60"/>
      <c r="T575" s="48"/>
      <c r="U575" s="48"/>
      <c r="V575" s="48"/>
      <c r="W575" s="48"/>
      <c r="X575" s="48"/>
      <c r="Y575" s="48"/>
      <c r="Z575" s="48"/>
      <c r="AA575" s="48"/>
      <c r="AB575" s="48"/>
      <c r="AC575" s="48"/>
      <c r="AD575" s="48"/>
      <c r="AE575" s="48"/>
      <c r="AF575" s="60"/>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56"/>
      <c r="BJ575" s="56"/>
      <c r="BK575" s="56"/>
      <c r="BL575" s="56"/>
      <c r="BM575" s="56"/>
      <c r="BN575" s="56"/>
      <c r="BO575" s="56"/>
      <c r="BP575" s="56"/>
      <c r="BQ575" s="56"/>
      <c r="BR575" s="56"/>
      <c r="BS575" s="56"/>
      <c r="BT575" s="56"/>
      <c r="BU575" s="56"/>
      <c r="BV575" s="56"/>
      <c r="BW575" s="56"/>
      <c r="BX575" s="56"/>
    </row>
    <row r="576">
      <c r="A576" s="48"/>
      <c r="B576" s="48"/>
      <c r="C576" s="48"/>
      <c r="D576" s="48"/>
      <c r="E576" s="48"/>
      <c r="F576" s="48"/>
      <c r="G576" s="48"/>
      <c r="H576" s="48"/>
      <c r="I576" s="48"/>
      <c r="J576" s="48"/>
      <c r="K576" s="64"/>
      <c r="L576" s="64"/>
      <c r="M576" s="48"/>
      <c r="N576" s="48"/>
      <c r="O576" s="48"/>
      <c r="P576" s="48"/>
      <c r="Q576" s="48"/>
      <c r="R576" s="48"/>
      <c r="S576" s="60"/>
      <c r="T576" s="48"/>
      <c r="U576" s="48"/>
      <c r="V576" s="48"/>
      <c r="W576" s="48"/>
      <c r="X576" s="48"/>
      <c r="Y576" s="48"/>
      <c r="Z576" s="48"/>
      <c r="AA576" s="48"/>
      <c r="AB576" s="48"/>
      <c r="AC576" s="48"/>
      <c r="AD576" s="48"/>
      <c r="AE576" s="48"/>
      <c r="AF576" s="60"/>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56"/>
      <c r="BJ576" s="56"/>
      <c r="BK576" s="56"/>
      <c r="BL576" s="56"/>
      <c r="BM576" s="56"/>
      <c r="BN576" s="56"/>
      <c r="BO576" s="56"/>
      <c r="BP576" s="56"/>
      <c r="BQ576" s="56"/>
      <c r="BR576" s="56"/>
      <c r="BS576" s="56"/>
      <c r="BT576" s="56"/>
      <c r="BU576" s="56"/>
      <c r="BV576" s="56"/>
      <c r="BW576" s="56"/>
      <c r="BX576" s="56"/>
    </row>
    <row r="577">
      <c r="A577" s="48"/>
      <c r="B577" s="48"/>
      <c r="C577" s="48"/>
      <c r="D577" s="48"/>
      <c r="E577" s="48"/>
      <c r="F577" s="48"/>
      <c r="G577" s="48"/>
      <c r="H577" s="48"/>
      <c r="I577" s="48"/>
      <c r="J577" s="48"/>
      <c r="K577" s="64"/>
      <c r="L577" s="64"/>
      <c r="M577" s="48"/>
      <c r="N577" s="48"/>
      <c r="O577" s="48"/>
      <c r="P577" s="48"/>
      <c r="Q577" s="48"/>
      <c r="R577" s="48"/>
      <c r="S577" s="60"/>
      <c r="T577" s="48"/>
      <c r="U577" s="48"/>
      <c r="V577" s="48"/>
      <c r="W577" s="48"/>
      <c r="X577" s="48"/>
      <c r="Y577" s="48"/>
      <c r="Z577" s="48"/>
      <c r="AA577" s="48"/>
      <c r="AB577" s="48"/>
      <c r="AC577" s="48"/>
      <c r="AD577" s="48"/>
      <c r="AE577" s="48"/>
      <c r="AF577" s="60"/>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56"/>
      <c r="BJ577" s="56"/>
      <c r="BK577" s="56"/>
      <c r="BL577" s="56"/>
      <c r="BM577" s="56"/>
      <c r="BN577" s="56"/>
      <c r="BO577" s="56"/>
      <c r="BP577" s="56"/>
      <c r="BQ577" s="56"/>
      <c r="BR577" s="56"/>
      <c r="BS577" s="56"/>
      <c r="BT577" s="56"/>
      <c r="BU577" s="56"/>
      <c r="BV577" s="56"/>
      <c r="BW577" s="56"/>
      <c r="BX577" s="56"/>
    </row>
    <row r="578">
      <c r="A578" s="48"/>
      <c r="B578" s="48"/>
      <c r="C578" s="48"/>
      <c r="D578" s="48"/>
      <c r="E578" s="48"/>
      <c r="F578" s="48"/>
      <c r="G578" s="48"/>
      <c r="H578" s="48"/>
      <c r="I578" s="48"/>
      <c r="J578" s="48"/>
      <c r="K578" s="64"/>
      <c r="L578" s="64"/>
      <c r="M578" s="48"/>
      <c r="N578" s="48"/>
      <c r="O578" s="48"/>
      <c r="P578" s="48"/>
      <c r="Q578" s="48"/>
      <c r="R578" s="48"/>
      <c r="S578" s="60"/>
      <c r="T578" s="48"/>
      <c r="U578" s="48"/>
      <c r="V578" s="48"/>
      <c r="W578" s="48"/>
      <c r="X578" s="48"/>
      <c r="Y578" s="48"/>
      <c r="Z578" s="48"/>
      <c r="AA578" s="48"/>
      <c r="AB578" s="48"/>
      <c r="AC578" s="48"/>
      <c r="AD578" s="48"/>
      <c r="AE578" s="48"/>
      <c r="AF578" s="60"/>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56"/>
      <c r="BJ578" s="56"/>
      <c r="BK578" s="56"/>
      <c r="BL578" s="56"/>
      <c r="BM578" s="56"/>
      <c r="BN578" s="56"/>
      <c r="BO578" s="56"/>
      <c r="BP578" s="56"/>
      <c r="BQ578" s="56"/>
      <c r="BR578" s="56"/>
      <c r="BS578" s="56"/>
      <c r="BT578" s="56"/>
      <c r="BU578" s="56"/>
      <c r="BV578" s="56"/>
      <c r="BW578" s="56"/>
      <c r="BX578" s="56"/>
    </row>
    <row r="579">
      <c r="A579" s="48"/>
      <c r="B579" s="48"/>
      <c r="C579" s="48"/>
      <c r="D579" s="48"/>
      <c r="E579" s="48"/>
      <c r="F579" s="48"/>
      <c r="G579" s="48"/>
      <c r="H579" s="48"/>
      <c r="I579" s="48"/>
      <c r="J579" s="48"/>
      <c r="K579" s="64"/>
      <c r="L579" s="64"/>
      <c r="M579" s="48"/>
      <c r="N579" s="48"/>
      <c r="O579" s="48"/>
      <c r="P579" s="48"/>
      <c r="Q579" s="48"/>
      <c r="R579" s="48"/>
      <c r="S579" s="60"/>
      <c r="T579" s="48"/>
      <c r="U579" s="48"/>
      <c r="V579" s="48"/>
      <c r="W579" s="48"/>
      <c r="X579" s="48"/>
      <c r="Y579" s="48"/>
      <c r="Z579" s="48"/>
      <c r="AA579" s="48"/>
      <c r="AB579" s="48"/>
      <c r="AC579" s="48"/>
      <c r="AD579" s="48"/>
      <c r="AE579" s="48"/>
      <c r="AF579" s="60"/>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56"/>
      <c r="BJ579" s="56"/>
      <c r="BK579" s="56"/>
      <c r="BL579" s="56"/>
      <c r="BM579" s="56"/>
      <c r="BN579" s="56"/>
      <c r="BO579" s="56"/>
      <c r="BP579" s="56"/>
      <c r="BQ579" s="56"/>
      <c r="BR579" s="56"/>
      <c r="BS579" s="56"/>
      <c r="BT579" s="56"/>
      <c r="BU579" s="56"/>
      <c r="BV579" s="56"/>
      <c r="BW579" s="56"/>
      <c r="BX579" s="56"/>
    </row>
    <row r="580">
      <c r="A580" s="48"/>
      <c r="B580" s="48"/>
      <c r="C580" s="48"/>
      <c r="D580" s="48"/>
      <c r="E580" s="48"/>
      <c r="F580" s="48"/>
      <c r="G580" s="48"/>
      <c r="H580" s="48"/>
      <c r="I580" s="48"/>
      <c r="J580" s="48"/>
      <c r="K580" s="64"/>
      <c r="L580" s="64"/>
      <c r="M580" s="48"/>
      <c r="N580" s="48"/>
      <c r="O580" s="48"/>
      <c r="P580" s="48"/>
      <c r="Q580" s="48"/>
      <c r="R580" s="48"/>
      <c r="S580" s="60"/>
      <c r="T580" s="48"/>
      <c r="U580" s="48"/>
      <c r="V580" s="48"/>
      <c r="W580" s="48"/>
      <c r="X580" s="48"/>
      <c r="Y580" s="48"/>
      <c r="Z580" s="48"/>
      <c r="AA580" s="48"/>
      <c r="AB580" s="48"/>
      <c r="AC580" s="48"/>
      <c r="AD580" s="48"/>
      <c r="AE580" s="48"/>
      <c r="AF580" s="60"/>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56"/>
      <c r="BJ580" s="56"/>
      <c r="BK580" s="56"/>
      <c r="BL580" s="56"/>
      <c r="BM580" s="56"/>
      <c r="BN580" s="56"/>
      <c r="BO580" s="56"/>
      <c r="BP580" s="56"/>
      <c r="BQ580" s="56"/>
      <c r="BR580" s="56"/>
      <c r="BS580" s="56"/>
      <c r="BT580" s="56"/>
      <c r="BU580" s="56"/>
      <c r="BV580" s="56"/>
      <c r="BW580" s="56"/>
      <c r="BX580" s="56"/>
    </row>
    <row r="581">
      <c r="A581" s="48"/>
      <c r="B581" s="48"/>
      <c r="C581" s="48"/>
      <c r="D581" s="48"/>
      <c r="E581" s="48"/>
      <c r="F581" s="48"/>
      <c r="G581" s="48"/>
      <c r="H581" s="48"/>
      <c r="I581" s="48"/>
      <c r="J581" s="48"/>
      <c r="K581" s="64"/>
      <c r="L581" s="64"/>
      <c r="M581" s="48"/>
      <c r="N581" s="48"/>
      <c r="O581" s="48"/>
      <c r="P581" s="48"/>
      <c r="Q581" s="48"/>
      <c r="R581" s="48"/>
      <c r="S581" s="60"/>
      <c r="T581" s="48"/>
      <c r="U581" s="48"/>
      <c r="V581" s="48"/>
      <c r="W581" s="48"/>
      <c r="X581" s="48"/>
      <c r="Y581" s="48"/>
      <c r="Z581" s="48"/>
      <c r="AA581" s="48"/>
      <c r="AB581" s="48"/>
      <c r="AC581" s="48"/>
      <c r="AD581" s="48"/>
      <c r="AE581" s="48"/>
      <c r="AF581" s="60"/>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56"/>
      <c r="BJ581" s="56"/>
      <c r="BK581" s="56"/>
      <c r="BL581" s="56"/>
      <c r="BM581" s="56"/>
      <c r="BN581" s="56"/>
      <c r="BO581" s="56"/>
      <c r="BP581" s="56"/>
      <c r="BQ581" s="56"/>
      <c r="BR581" s="56"/>
      <c r="BS581" s="56"/>
      <c r="BT581" s="56"/>
      <c r="BU581" s="56"/>
      <c r="BV581" s="56"/>
      <c r="BW581" s="56"/>
      <c r="BX581" s="56"/>
    </row>
    <row r="582">
      <c r="A582" s="48"/>
      <c r="B582" s="48"/>
      <c r="C582" s="48"/>
      <c r="D582" s="48"/>
      <c r="E582" s="48"/>
      <c r="F582" s="48"/>
      <c r="G582" s="48"/>
      <c r="H582" s="48"/>
      <c r="I582" s="48"/>
      <c r="J582" s="48"/>
      <c r="K582" s="64"/>
      <c r="L582" s="64"/>
      <c r="M582" s="48"/>
      <c r="N582" s="48"/>
      <c r="O582" s="48"/>
      <c r="P582" s="48"/>
      <c r="Q582" s="48"/>
      <c r="R582" s="48"/>
      <c r="S582" s="60"/>
      <c r="T582" s="48"/>
      <c r="U582" s="48"/>
      <c r="V582" s="48"/>
      <c r="W582" s="48"/>
      <c r="X582" s="48"/>
      <c r="Y582" s="48"/>
      <c r="Z582" s="48"/>
      <c r="AA582" s="48"/>
      <c r="AB582" s="48"/>
      <c r="AC582" s="48"/>
      <c r="AD582" s="48"/>
      <c r="AE582" s="48"/>
      <c r="AF582" s="60"/>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56"/>
      <c r="BJ582" s="56"/>
      <c r="BK582" s="56"/>
      <c r="BL582" s="56"/>
      <c r="BM582" s="56"/>
      <c r="BN582" s="56"/>
      <c r="BO582" s="56"/>
      <c r="BP582" s="56"/>
      <c r="BQ582" s="56"/>
      <c r="BR582" s="56"/>
      <c r="BS582" s="56"/>
      <c r="BT582" s="56"/>
      <c r="BU582" s="56"/>
      <c r="BV582" s="56"/>
      <c r="BW582" s="56"/>
      <c r="BX582" s="56"/>
    </row>
    <row r="583">
      <c r="A583" s="48"/>
      <c r="B583" s="48"/>
      <c r="C583" s="48"/>
      <c r="D583" s="48"/>
      <c r="E583" s="48"/>
      <c r="F583" s="48"/>
      <c r="G583" s="48"/>
      <c r="H583" s="48"/>
      <c r="I583" s="48"/>
      <c r="J583" s="48"/>
      <c r="K583" s="64"/>
      <c r="L583" s="64"/>
      <c r="M583" s="48"/>
      <c r="N583" s="48"/>
      <c r="O583" s="48"/>
      <c r="P583" s="48"/>
      <c r="Q583" s="48"/>
      <c r="R583" s="48"/>
      <c r="S583" s="60"/>
      <c r="T583" s="48"/>
      <c r="U583" s="48"/>
      <c r="V583" s="48"/>
      <c r="W583" s="48"/>
      <c r="X583" s="48"/>
      <c r="Y583" s="48"/>
      <c r="Z583" s="48"/>
      <c r="AA583" s="48"/>
      <c r="AB583" s="48"/>
      <c r="AC583" s="48"/>
      <c r="AD583" s="48"/>
      <c r="AE583" s="48"/>
      <c r="AF583" s="60"/>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56"/>
      <c r="BJ583" s="56"/>
      <c r="BK583" s="56"/>
      <c r="BL583" s="56"/>
      <c r="BM583" s="56"/>
      <c r="BN583" s="56"/>
      <c r="BO583" s="56"/>
      <c r="BP583" s="56"/>
      <c r="BQ583" s="56"/>
      <c r="BR583" s="56"/>
      <c r="BS583" s="56"/>
      <c r="BT583" s="56"/>
      <c r="BU583" s="56"/>
      <c r="BV583" s="56"/>
      <c r="BW583" s="56"/>
      <c r="BX583" s="56"/>
    </row>
    <row r="584">
      <c r="A584" s="48"/>
      <c r="B584" s="48"/>
      <c r="C584" s="48"/>
      <c r="D584" s="48"/>
      <c r="E584" s="48"/>
      <c r="F584" s="48"/>
      <c r="G584" s="48"/>
      <c r="H584" s="48"/>
      <c r="I584" s="48"/>
      <c r="J584" s="48"/>
      <c r="K584" s="64"/>
      <c r="L584" s="64"/>
      <c r="M584" s="48"/>
      <c r="N584" s="48"/>
      <c r="O584" s="48"/>
      <c r="P584" s="48"/>
      <c r="Q584" s="48"/>
      <c r="R584" s="48"/>
      <c r="S584" s="60"/>
      <c r="T584" s="48"/>
      <c r="U584" s="48"/>
      <c r="V584" s="48"/>
      <c r="W584" s="48"/>
      <c r="X584" s="48"/>
      <c r="Y584" s="48"/>
      <c r="Z584" s="48"/>
      <c r="AA584" s="48"/>
      <c r="AB584" s="48"/>
      <c r="AC584" s="48"/>
      <c r="AD584" s="48"/>
      <c r="AE584" s="48"/>
      <c r="AF584" s="60"/>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56"/>
      <c r="BJ584" s="56"/>
      <c r="BK584" s="56"/>
      <c r="BL584" s="56"/>
      <c r="BM584" s="56"/>
      <c r="BN584" s="56"/>
      <c r="BO584" s="56"/>
      <c r="BP584" s="56"/>
      <c r="BQ584" s="56"/>
      <c r="BR584" s="56"/>
      <c r="BS584" s="56"/>
      <c r="BT584" s="56"/>
      <c r="BU584" s="56"/>
      <c r="BV584" s="56"/>
      <c r="BW584" s="56"/>
      <c r="BX584" s="56"/>
    </row>
    <row r="585">
      <c r="A585" s="48"/>
      <c r="B585" s="48"/>
      <c r="C585" s="48"/>
      <c r="D585" s="48"/>
      <c r="E585" s="48"/>
      <c r="F585" s="48"/>
      <c r="G585" s="48"/>
      <c r="H585" s="48"/>
      <c r="I585" s="48"/>
      <c r="J585" s="48"/>
      <c r="K585" s="64"/>
      <c r="L585" s="64"/>
      <c r="M585" s="48"/>
      <c r="N585" s="48"/>
      <c r="O585" s="48"/>
      <c r="P585" s="48"/>
      <c r="Q585" s="48"/>
      <c r="R585" s="48"/>
      <c r="S585" s="60"/>
      <c r="T585" s="48"/>
      <c r="U585" s="48"/>
      <c r="V585" s="48"/>
      <c r="W585" s="48"/>
      <c r="X585" s="48"/>
      <c r="Y585" s="48"/>
      <c r="Z585" s="48"/>
      <c r="AA585" s="48"/>
      <c r="AB585" s="48"/>
      <c r="AC585" s="48"/>
      <c r="AD585" s="48"/>
      <c r="AE585" s="48"/>
      <c r="AF585" s="60"/>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56"/>
      <c r="BJ585" s="56"/>
      <c r="BK585" s="56"/>
      <c r="BL585" s="56"/>
      <c r="BM585" s="56"/>
      <c r="BN585" s="56"/>
      <c r="BO585" s="56"/>
      <c r="BP585" s="56"/>
      <c r="BQ585" s="56"/>
      <c r="BR585" s="56"/>
      <c r="BS585" s="56"/>
      <c r="BT585" s="56"/>
      <c r="BU585" s="56"/>
      <c r="BV585" s="56"/>
      <c r="BW585" s="56"/>
      <c r="BX585" s="56"/>
    </row>
    <row r="586">
      <c r="A586" s="48"/>
      <c r="B586" s="48"/>
      <c r="C586" s="48"/>
      <c r="D586" s="48"/>
      <c r="E586" s="48"/>
      <c r="F586" s="48"/>
      <c r="G586" s="48"/>
      <c r="H586" s="48"/>
      <c r="I586" s="48"/>
      <c r="J586" s="48"/>
      <c r="K586" s="64"/>
      <c r="L586" s="64"/>
      <c r="M586" s="48"/>
      <c r="N586" s="48"/>
      <c r="O586" s="48"/>
      <c r="P586" s="48"/>
      <c r="Q586" s="48"/>
      <c r="R586" s="48"/>
      <c r="S586" s="60"/>
      <c r="T586" s="48"/>
      <c r="U586" s="48"/>
      <c r="V586" s="48"/>
      <c r="W586" s="48"/>
      <c r="X586" s="48"/>
      <c r="Y586" s="48"/>
      <c r="Z586" s="48"/>
      <c r="AA586" s="48"/>
      <c r="AB586" s="48"/>
      <c r="AC586" s="48"/>
      <c r="AD586" s="48"/>
      <c r="AE586" s="48"/>
      <c r="AF586" s="60"/>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56"/>
      <c r="BJ586" s="56"/>
      <c r="BK586" s="56"/>
      <c r="BL586" s="56"/>
      <c r="BM586" s="56"/>
      <c r="BN586" s="56"/>
      <c r="BO586" s="56"/>
      <c r="BP586" s="56"/>
      <c r="BQ586" s="56"/>
      <c r="BR586" s="56"/>
      <c r="BS586" s="56"/>
      <c r="BT586" s="56"/>
      <c r="BU586" s="56"/>
      <c r="BV586" s="56"/>
      <c r="BW586" s="56"/>
      <c r="BX586" s="56"/>
    </row>
    <row r="587">
      <c r="A587" s="48"/>
      <c r="B587" s="48"/>
      <c r="C587" s="48"/>
      <c r="D587" s="48"/>
      <c r="E587" s="48"/>
      <c r="F587" s="48"/>
      <c r="G587" s="48"/>
      <c r="H587" s="48"/>
      <c r="I587" s="48"/>
      <c r="J587" s="48"/>
      <c r="K587" s="64"/>
      <c r="L587" s="64"/>
      <c r="M587" s="48"/>
      <c r="N587" s="48"/>
      <c r="O587" s="48"/>
      <c r="P587" s="48"/>
      <c r="Q587" s="48"/>
      <c r="R587" s="48"/>
      <c r="S587" s="60"/>
      <c r="T587" s="48"/>
      <c r="U587" s="48"/>
      <c r="V587" s="48"/>
      <c r="W587" s="48"/>
      <c r="X587" s="48"/>
      <c r="Y587" s="48"/>
      <c r="Z587" s="48"/>
      <c r="AA587" s="48"/>
      <c r="AB587" s="48"/>
      <c r="AC587" s="48"/>
      <c r="AD587" s="48"/>
      <c r="AE587" s="48"/>
      <c r="AF587" s="60"/>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56"/>
      <c r="BJ587" s="56"/>
      <c r="BK587" s="56"/>
      <c r="BL587" s="56"/>
      <c r="BM587" s="56"/>
      <c r="BN587" s="56"/>
      <c r="BO587" s="56"/>
      <c r="BP587" s="56"/>
      <c r="BQ587" s="56"/>
      <c r="BR587" s="56"/>
      <c r="BS587" s="56"/>
      <c r="BT587" s="56"/>
      <c r="BU587" s="56"/>
      <c r="BV587" s="56"/>
      <c r="BW587" s="56"/>
      <c r="BX587" s="56"/>
    </row>
    <row r="588">
      <c r="A588" s="48"/>
      <c r="B588" s="48"/>
      <c r="C588" s="48"/>
      <c r="D588" s="48"/>
      <c r="E588" s="48"/>
      <c r="F588" s="48"/>
      <c r="G588" s="48"/>
      <c r="H588" s="48"/>
      <c r="I588" s="48"/>
      <c r="J588" s="48"/>
      <c r="K588" s="64"/>
      <c r="L588" s="64"/>
      <c r="M588" s="48"/>
      <c r="N588" s="48"/>
      <c r="O588" s="48"/>
      <c r="P588" s="48"/>
      <c r="Q588" s="48"/>
      <c r="R588" s="48"/>
      <c r="S588" s="60"/>
      <c r="T588" s="48"/>
      <c r="U588" s="48"/>
      <c r="V588" s="48"/>
      <c r="W588" s="48"/>
      <c r="X588" s="48"/>
      <c r="Y588" s="48"/>
      <c r="Z588" s="48"/>
      <c r="AA588" s="48"/>
      <c r="AB588" s="48"/>
      <c r="AC588" s="48"/>
      <c r="AD588" s="48"/>
      <c r="AE588" s="48"/>
      <c r="AF588" s="60"/>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56"/>
      <c r="BJ588" s="56"/>
      <c r="BK588" s="56"/>
      <c r="BL588" s="56"/>
      <c r="BM588" s="56"/>
      <c r="BN588" s="56"/>
      <c r="BO588" s="56"/>
      <c r="BP588" s="56"/>
      <c r="BQ588" s="56"/>
      <c r="BR588" s="56"/>
      <c r="BS588" s="56"/>
      <c r="BT588" s="56"/>
      <c r="BU588" s="56"/>
      <c r="BV588" s="56"/>
      <c r="BW588" s="56"/>
      <c r="BX588" s="56"/>
    </row>
    <row r="589">
      <c r="A589" s="48"/>
      <c r="B589" s="48"/>
      <c r="C589" s="48"/>
      <c r="D589" s="48"/>
      <c r="E589" s="48"/>
      <c r="F589" s="48"/>
      <c r="G589" s="48"/>
      <c r="H589" s="48"/>
      <c r="I589" s="48"/>
      <c r="J589" s="48"/>
      <c r="K589" s="64"/>
      <c r="L589" s="64"/>
      <c r="M589" s="48"/>
      <c r="N589" s="48"/>
      <c r="O589" s="48"/>
      <c r="P589" s="48"/>
      <c r="Q589" s="48"/>
      <c r="R589" s="48"/>
      <c r="S589" s="60"/>
      <c r="T589" s="48"/>
      <c r="U589" s="48"/>
      <c r="V589" s="48"/>
      <c r="W589" s="48"/>
      <c r="X589" s="48"/>
      <c r="Y589" s="48"/>
      <c r="Z589" s="48"/>
      <c r="AA589" s="48"/>
      <c r="AB589" s="48"/>
      <c r="AC589" s="48"/>
      <c r="AD589" s="48"/>
      <c r="AE589" s="48"/>
      <c r="AF589" s="60"/>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56"/>
      <c r="BJ589" s="56"/>
      <c r="BK589" s="56"/>
      <c r="BL589" s="56"/>
      <c r="BM589" s="56"/>
      <c r="BN589" s="56"/>
      <c r="BO589" s="56"/>
      <c r="BP589" s="56"/>
      <c r="BQ589" s="56"/>
      <c r="BR589" s="56"/>
      <c r="BS589" s="56"/>
      <c r="BT589" s="56"/>
      <c r="BU589" s="56"/>
      <c r="BV589" s="56"/>
      <c r="BW589" s="56"/>
      <c r="BX589" s="56"/>
    </row>
    <row r="590">
      <c r="A590" s="48"/>
      <c r="B590" s="48"/>
      <c r="C590" s="48"/>
      <c r="D590" s="48"/>
      <c r="E590" s="48"/>
      <c r="F590" s="48"/>
      <c r="G590" s="48"/>
      <c r="H590" s="48"/>
      <c r="I590" s="48"/>
      <c r="J590" s="48"/>
      <c r="K590" s="64"/>
      <c r="L590" s="64"/>
      <c r="M590" s="48"/>
      <c r="N590" s="48"/>
      <c r="O590" s="48"/>
      <c r="P590" s="48"/>
      <c r="Q590" s="48"/>
      <c r="R590" s="48"/>
      <c r="S590" s="60"/>
      <c r="T590" s="48"/>
      <c r="U590" s="48"/>
      <c r="V590" s="48"/>
      <c r="W590" s="48"/>
      <c r="X590" s="48"/>
      <c r="Y590" s="48"/>
      <c r="Z590" s="48"/>
      <c r="AA590" s="48"/>
      <c r="AB590" s="48"/>
      <c r="AC590" s="48"/>
      <c r="AD590" s="48"/>
      <c r="AE590" s="48"/>
      <c r="AF590" s="60"/>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56"/>
      <c r="BJ590" s="56"/>
      <c r="BK590" s="56"/>
      <c r="BL590" s="56"/>
      <c r="BM590" s="56"/>
      <c r="BN590" s="56"/>
      <c r="BO590" s="56"/>
      <c r="BP590" s="56"/>
      <c r="BQ590" s="56"/>
      <c r="BR590" s="56"/>
      <c r="BS590" s="56"/>
      <c r="BT590" s="56"/>
      <c r="BU590" s="56"/>
      <c r="BV590" s="56"/>
      <c r="BW590" s="56"/>
      <c r="BX590" s="56"/>
    </row>
    <row r="591">
      <c r="A591" s="48"/>
      <c r="B591" s="48"/>
      <c r="C591" s="48"/>
      <c r="D591" s="48"/>
      <c r="E591" s="48"/>
      <c r="F591" s="48"/>
      <c r="G591" s="48"/>
      <c r="H591" s="48"/>
      <c r="I591" s="48"/>
      <c r="J591" s="48"/>
      <c r="K591" s="64"/>
      <c r="L591" s="64"/>
      <c r="M591" s="48"/>
      <c r="N591" s="48"/>
      <c r="O591" s="48"/>
      <c r="P591" s="48"/>
      <c r="Q591" s="48"/>
      <c r="R591" s="48"/>
      <c r="S591" s="60"/>
      <c r="T591" s="48"/>
      <c r="U591" s="48"/>
      <c r="V591" s="48"/>
      <c r="W591" s="48"/>
      <c r="X591" s="48"/>
      <c r="Y591" s="48"/>
      <c r="Z591" s="48"/>
      <c r="AA591" s="48"/>
      <c r="AB591" s="48"/>
      <c r="AC591" s="48"/>
      <c r="AD591" s="48"/>
      <c r="AE591" s="48"/>
      <c r="AF591" s="60"/>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56"/>
      <c r="BJ591" s="56"/>
      <c r="BK591" s="56"/>
      <c r="BL591" s="56"/>
      <c r="BM591" s="56"/>
      <c r="BN591" s="56"/>
      <c r="BO591" s="56"/>
      <c r="BP591" s="56"/>
      <c r="BQ591" s="56"/>
      <c r="BR591" s="56"/>
      <c r="BS591" s="56"/>
      <c r="BT591" s="56"/>
      <c r="BU591" s="56"/>
      <c r="BV591" s="56"/>
      <c r="BW591" s="56"/>
      <c r="BX591" s="56"/>
    </row>
    <row r="592">
      <c r="A592" s="48"/>
      <c r="B592" s="48"/>
      <c r="C592" s="48"/>
      <c r="D592" s="48"/>
      <c r="E592" s="48"/>
      <c r="F592" s="48"/>
      <c r="G592" s="48"/>
      <c r="H592" s="48"/>
      <c r="I592" s="48"/>
      <c r="J592" s="48"/>
      <c r="K592" s="64"/>
      <c r="L592" s="64"/>
      <c r="M592" s="48"/>
      <c r="N592" s="48"/>
      <c r="O592" s="48"/>
      <c r="P592" s="48"/>
      <c r="Q592" s="48"/>
      <c r="R592" s="48"/>
      <c r="S592" s="60"/>
      <c r="T592" s="48"/>
      <c r="U592" s="48"/>
      <c r="V592" s="48"/>
      <c r="W592" s="48"/>
      <c r="X592" s="48"/>
      <c r="Y592" s="48"/>
      <c r="Z592" s="48"/>
      <c r="AA592" s="48"/>
      <c r="AB592" s="48"/>
      <c r="AC592" s="48"/>
      <c r="AD592" s="48"/>
      <c r="AE592" s="48"/>
      <c r="AF592" s="60"/>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56"/>
      <c r="BJ592" s="56"/>
      <c r="BK592" s="56"/>
      <c r="BL592" s="56"/>
      <c r="BM592" s="56"/>
      <c r="BN592" s="56"/>
      <c r="BO592" s="56"/>
      <c r="BP592" s="56"/>
      <c r="BQ592" s="56"/>
      <c r="BR592" s="56"/>
      <c r="BS592" s="56"/>
      <c r="BT592" s="56"/>
      <c r="BU592" s="56"/>
      <c r="BV592" s="56"/>
      <c r="BW592" s="56"/>
      <c r="BX592" s="56"/>
    </row>
    <row r="593">
      <c r="A593" s="48"/>
      <c r="B593" s="48"/>
      <c r="C593" s="48"/>
      <c r="D593" s="48"/>
      <c r="E593" s="48"/>
      <c r="F593" s="48"/>
      <c r="G593" s="48"/>
      <c r="H593" s="48"/>
      <c r="I593" s="48"/>
      <c r="J593" s="48"/>
      <c r="K593" s="64"/>
      <c r="L593" s="64"/>
      <c r="M593" s="48"/>
      <c r="N593" s="48"/>
      <c r="O593" s="48"/>
      <c r="P593" s="48"/>
      <c r="Q593" s="48"/>
      <c r="R593" s="48"/>
      <c r="S593" s="60"/>
      <c r="T593" s="48"/>
      <c r="U593" s="48"/>
      <c r="V593" s="48"/>
      <c r="W593" s="48"/>
      <c r="X593" s="48"/>
      <c r="Y593" s="48"/>
      <c r="Z593" s="48"/>
      <c r="AA593" s="48"/>
      <c r="AB593" s="48"/>
      <c r="AC593" s="48"/>
      <c r="AD593" s="48"/>
      <c r="AE593" s="48"/>
      <c r="AF593" s="60"/>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56"/>
      <c r="BJ593" s="56"/>
      <c r="BK593" s="56"/>
      <c r="BL593" s="56"/>
      <c r="BM593" s="56"/>
      <c r="BN593" s="56"/>
      <c r="BO593" s="56"/>
      <c r="BP593" s="56"/>
      <c r="BQ593" s="56"/>
      <c r="BR593" s="56"/>
      <c r="BS593" s="56"/>
      <c r="BT593" s="56"/>
      <c r="BU593" s="56"/>
      <c r="BV593" s="56"/>
      <c r="BW593" s="56"/>
      <c r="BX593" s="56"/>
    </row>
    <row r="594">
      <c r="A594" s="48"/>
      <c r="B594" s="48"/>
      <c r="C594" s="48"/>
      <c r="D594" s="48"/>
      <c r="E594" s="48"/>
      <c r="F594" s="48"/>
      <c r="G594" s="48"/>
      <c r="H594" s="48"/>
      <c r="I594" s="48"/>
      <c r="J594" s="48"/>
      <c r="K594" s="64"/>
      <c r="L594" s="64"/>
      <c r="M594" s="48"/>
      <c r="N594" s="48"/>
      <c r="O594" s="48"/>
      <c r="P594" s="48"/>
      <c r="Q594" s="48"/>
      <c r="R594" s="48"/>
      <c r="S594" s="60"/>
      <c r="T594" s="48"/>
      <c r="U594" s="48"/>
      <c r="V594" s="48"/>
      <c r="W594" s="48"/>
      <c r="X594" s="48"/>
      <c r="Y594" s="48"/>
      <c r="Z594" s="48"/>
      <c r="AA594" s="48"/>
      <c r="AB594" s="48"/>
      <c r="AC594" s="48"/>
      <c r="AD594" s="48"/>
      <c r="AE594" s="48"/>
      <c r="AF594" s="60"/>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56"/>
      <c r="BJ594" s="56"/>
      <c r="BK594" s="56"/>
      <c r="BL594" s="56"/>
      <c r="BM594" s="56"/>
      <c r="BN594" s="56"/>
      <c r="BO594" s="56"/>
      <c r="BP594" s="56"/>
      <c r="BQ594" s="56"/>
      <c r="BR594" s="56"/>
      <c r="BS594" s="56"/>
      <c r="BT594" s="56"/>
      <c r="BU594" s="56"/>
      <c r="BV594" s="56"/>
      <c r="BW594" s="56"/>
      <c r="BX594" s="56"/>
    </row>
    <row r="595">
      <c r="A595" s="48"/>
      <c r="B595" s="48"/>
      <c r="C595" s="48"/>
      <c r="D595" s="48"/>
      <c r="E595" s="48"/>
      <c r="F595" s="48"/>
      <c r="G595" s="48"/>
      <c r="H595" s="48"/>
      <c r="I595" s="48"/>
      <c r="J595" s="48"/>
      <c r="K595" s="64"/>
      <c r="L595" s="64"/>
      <c r="M595" s="48"/>
      <c r="N595" s="48"/>
      <c r="O595" s="48"/>
      <c r="P595" s="48"/>
      <c r="Q595" s="48"/>
      <c r="R595" s="48"/>
      <c r="S595" s="60"/>
      <c r="T595" s="48"/>
      <c r="U595" s="48"/>
      <c r="V595" s="48"/>
      <c r="W595" s="48"/>
      <c r="X595" s="48"/>
      <c r="Y595" s="48"/>
      <c r="Z595" s="48"/>
      <c r="AA595" s="48"/>
      <c r="AB595" s="48"/>
      <c r="AC595" s="48"/>
      <c r="AD595" s="48"/>
      <c r="AE595" s="48"/>
      <c r="AF595" s="60"/>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56"/>
      <c r="BJ595" s="56"/>
      <c r="BK595" s="56"/>
      <c r="BL595" s="56"/>
      <c r="BM595" s="56"/>
      <c r="BN595" s="56"/>
      <c r="BO595" s="56"/>
      <c r="BP595" s="56"/>
      <c r="BQ595" s="56"/>
      <c r="BR595" s="56"/>
      <c r="BS595" s="56"/>
      <c r="BT595" s="56"/>
      <c r="BU595" s="56"/>
      <c r="BV595" s="56"/>
      <c r="BW595" s="56"/>
      <c r="BX595" s="56"/>
    </row>
    <row r="596">
      <c r="A596" s="48"/>
      <c r="B596" s="48"/>
      <c r="C596" s="48"/>
      <c r="D596" s="48"/>
      <c r="E596" s="48"/>
      <c r="F596" s="48"/>
      <c r="G596" s="48"/>
      <c r="H596" s="48"/>
      <c r="I596" s="48"/>
      <c r="J596" s="48"/>
      <c r="K596" s="64"/>
      <c r="L596" s="64"/>
      <c r="M596" s="48"/>
      <c r="N596" s="48"/>
      <c r="O596" s="48"/>
      <c r="P596" s="48"/>
      <c r="Q596" s="48"/>
      <c r="R596" s="48"/>
      <c r="S596" s="60"/>
      <c r="T596" s="48"/>
      <c r="U596" s="48"/>
      <c r="V596" s="48"/>
      <c r="W596" s="48"/>
      <c r="X596" s="48"/>
      <c r="Y596" s="48"/>
      <c r="Z596" s="48"/>
      <c r="AA596" s="48"/>
      <c r="AB596" s="48"/>
      <c r="AC596" s="48"/>
      <c r="AD596" s="48"/>
      <c r="AE596" s="48"/>
      <c r="AF596" s="60"/>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56"/>
      <c r="BJ596" s="56"/>
      <c r="BK596" s="56"/>
      <c r="BL596" s="56"/>
      <c r="BM596" s="56"/>
      <c r="BN596" s="56"/>
      <c r="BO596" s="56"/>
      <c r="BP596" s="56"/>
      <c r="BQ596" s="56"/>
      <c r="BR596" s="56"/>
      <c r="BS596" s="56"/>
      <c r="BT596" s="56"/>
      <c r="BU596" s="56"/>
      <c r="BV596" s="56"/>
      <c r="BW596" s="56"/>
      <c r="BX596" s="56"/>
    </row>
    <row r="597">
      <c r="A597" s="48"/>
      <c r="B597" s="48"/>
      <c r="C597" s="48"/>
      <c r="D597" s="48"/>
      <c r="E597" s="48"/>
      <c r="F597" s="48"/>
      <c r="G597" s="48"/>
      <c r="H597" s="48"/>
      <c r="I597" s="48"/>
      <c r="J597" s="48"/>
      <c r="K597" s="64"/>
      <c r="L597" s="64"/>
      <c r="M597" s="48"/>
      <c r="N597" s="48"/>
      <c r="O597" s="48"/>
      <c r="P597" s="48"/>
      <c r="Q597" s="48"/>
      <c r="R597" s="48"/>
      <c r="S597" s="60"/>
      <c r="T597" s="48"/>
      <c r="U597" s="48"/>
      <c r="V597" s="48"/>
      <c r="W597" s="48"/>
      <c r="X597" s="48"/>
      <c r="Y597" s="48"/>
      <c r="Z597" s="48"/>
      <c r="AA597" s="48"/>
      <c r="AB597" s="48"/>
      <c r="AC597" s="48"/>
      <c r="AD597" s="48"/>
      <c r="AE597" s="48"/>
      <c r="AF597" s="60"/>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56"/>
      <c r="BJ597" s="56"/>
      <c r="BK597" s="56"/>
      <c r="BL597" s="56"/>
      <c r="BM597" s="56"/>
      <c r="BN597" s="56"/>
      <c r="BO597" s="56"/>
      <c r="BP597" s="56"/>
      <c r="BQ597" s="56"/>
      <c r="BR597" s="56"/>
      <c r="BS597" s="56"/>
      <c r="BT597" s="56"/>
      <c r="BU597" s="56"/>
      <c r="BV597" s="56"/>
      <c r="BW597" s="56"/>
      <c r="BX597" s="56"/>
    </row>
    <row r="598">
      <c r="A598" s="48"/>
      <c r="B598" s="48"/>
      <c r="C598" s="48"/>
      <c r="D598" s="48"/>
      <c r="E598" s="48"/>
      <c r="F598" s="48"/>
      <c r="G598" s="48"/>
      <c r="H598" s="48"/>
      <c r="I598" s="48"/>
      <c r="J598" s="48"/>
      <c r="K598" s="64"/>
      <c r="L598" s="64"/>
      <c r="M598" s="48"/>
      <c r="N598" s="48"/>
      <c r="O598" s="48"/>
      <c r="P598" s="48"/>
      <c r="Q598" s="48"/>
      <c r="R598" s="48"/>
      <c r="S598" s="60"/>
      <c r="T598" s="48"/>
      <c r="U598" s="48"/>
      <c r="V598" s="48"/>
      <c r="W598" s="48"/>
      <c r="X598" s="48"/>
      <c r="Y598" s="48"/>
      <c r="Z598" s="48"/>
      <c r="AA598" s="48"/>
      <c r="AB598" s="48"/>
      <c r="AC598" s="48"/>
      <c r="AD598" s="48"/>
      <c r="AE598" s="48"/>
      <c r="AF598" s="60"/>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56"/>
      <c r="BJ598" s="56"/>
      <c r="BK598" s="56"/>
      <c r="BL598" s="56"/>
      <c r="BM598" s="56"/>
      <c r="BN598" s="56"/>
      <c r="BO598" s="56"/>
      <c r="BP598" s="56"/>
      <c r="BQ598" s="56"/>
      <c r="BR598" s="56"/>
      <c r="BS598" s="56"/>
      <c r="BT598" s="56"/>
      <c r="BU598" s="56"/>
      <c r="BV598" s="56"/>
      <c r="BW598" s="56"/>
      <c r="BX598" s="56"/>
    </row>
    <row r="599">
      <c r="A599" s="48"/>
      <c r="B599" s="48"/>
      <c r="C599" s="48"/>
      <c r="D599" s="48"/>
      <c r="E599" s="48"/>
      <c r="F599" s="48"/>
      <c r="G599" s="48"/>
      <c r="H599" s="48"/>
      <c r="I599" s="48"/>
      <c r="J599" s="48"/>
      <c r="K599" s="64"/>
      <c r="L599" s="64"/>
      <c r="M599" s="48"/>
      <c r="N599" s="48"/>
      <c r="O599" s="48"/>
      <c r="P599" s="48"/>
      <c r="Q599" s="48"/>
      <c r="R599" s="48"/>
      <c r="S599" s="60"/>
      <c r="T599" s="48"/>
      <c r="U599" s="48"/>
      <c r="V599" s="48"/>
      <c r="W599" s="48"/>
      <c r="X599" s="48"/>
      <c r="Y599" s="48"/>
      <c r="Z599" s="48"/>
      <c r="AA599" s="48"/>
      <c r="AB599" s="48"/>
      <c r="AC599" s="48"/>
      <c r="AD599" s="48"/>
      <c r="AE599" s="48"/>
      <c r="AF599" s="60"/>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56"/>
      <c r="BJ599" s="56"/>
      <c r="BK599" s="56"/>
      <c r="BL599" s="56"/>
      <c r="BM599" s="56"/>
      <c r="BN599" s="56"/>
      <c r="BO599" s="56"/>
      <c r="BP599" s="56"/>
      <c r="BQ599" s="56"/>
      <c r="BR599" s="56"/>
      <c r="BS599" s="56"/>
      <c r="BT599" s="56"/>
      <c r="BU599" s="56"/>
      <c r="BV599" s="56"/>
      <c r="BW599" s="56"/>
      <c r="BX599" s="56"/>
    </row>
    <row r="600">
      <c r="A600" s="48"/>
      <c r="B600" s="48"/>
      <c r="C600" s="48"/>
      <c r="D600" s="48"/>
      <c r="E600" s="48"/>
      <c r="F600" s="48"/>
      <c r="G600" s="48"/>
      <c r="H600" s="48"/>
      <c r="I600" s="48"/>
      <c r="J600" s="48"/>
      <c r="K600" s="64"/>
      <c r="L600" s="64"/>
      <c r="M600" s="48"/>
      <c r="N600" s="48"/>
      <c r="O600" s="48"/>
      <c r="P600" s="48"/>
      <c r="Q600" s="48"/>
      <c r="R600" s="48"/>
      <c r="S600" s="60"/>
      <c r="T600" s="48"/>
      <c r="U600" s="48"/>
      <c r="V600" s="48"/>
      <c r="W600" s="48"/>
      <c r="X600" s="48"/>
      <c r="Y600" s="48"/>
      <c r="Z600" s="48"/>
      <c r="AA600" s="48"/>
      <c r="AB600" s="48"/>
      <c r="AC600" s="48"/>
      <c r="AD600" s="48"/>
      <c r="AE600" s="48"/>
      <c r="AF600" s="60"/>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56"/>
      <c r="BJ600" s="56"/>
      <c r="BK600" s="56"/>
      <c r="BL600" s="56"/>
      <c r="BM600" s="56"/>
      <c r="BN600" s="56"/>
      <c r="BO600" s="56"/>
      <c r="BP600" s="56"/>
      <c r="BQ600" s="56"/>
      <c r="BR600" s="56"/>
      <c r="BS600" s="56"/>
      <c r="BT600" s="56"/>
      <c r="BU600" s="56"/>
      <c r="BV600" s="56"/>
      <c r="BW600" s="56"/>
      <c r="BX600" s="56"/>
    </row>
    <row r="601">
      <c r="A601" s="48"/>
      <c r="B601" s="48"/>
      <c r="C601" s="48"/>
      <c r="D601" s="48"/>
      <c r="E601" s="48"/>
      <c r="F601" s="48"/>
      <c r="G601" s="48"/>
      <c r="H601" s="48"/>
      <c r="I601" s="48"/>
      <c r="J601" s="48"/>
      <c r="K601" s="64"/>
      <c r="L601" s="64"/>
      <c r="M601" s="48"/>
      <c r="N601" s="48"/>
      <c r="O601" s="48"/>
      <c r="P601" s="48"/>
      <c r="Q601" s="48"/>
      <c r="R601" s="48"/>
      <c r="S601" s="60"/>
      <c r="T601" s="48"/>
      <c r="U601" s="48"/>
      <c r="V601" s="48"/>
      <c r="W601" s="48"/>
      <c r="X601" s="48"/>
      <c r="Y601" s="48"/>
      <c r="Z601" s="48"/>
      <c r="AA601" s="48"/>
      <c r="AB601" s="48"/>
      <c r="AC601" s="48"/>
      <c r="AD601" s="48"/>
      <c r="AE601" s="48"/>
      <c r="AF601" s="60"/>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56"/>
      <c r="BJ601" s="56"/>
      <c r="BK601" s="56"/>
      <c r="BL601" s="56"/>
      <c r="BM601" s="56"/>
      <c r="BN601" s="56"/>
      <c r="BO601" s="56"/>
      <c r="BP601" s="56"/>
      <c r="BQ601" s="56"/>
      <c r="BR601" s="56"/>
      <c r="BS601" s="56"/>
      <c r="BT601" s="56"/>
      <c r="BU601" s="56"/>
      <c r="BV601" s="56"/>
      <c r="BW601" s="56"/>
      <c r="BX601" s="56"/>
    </row>
    <row r="602">
      <c r="A602" s="48"/>
      <c r="B602" s="48"/>
      <c r="C602" s="48"/>
      <c r="D602" s="48"/>
      <c r="E602" s="48"/>
      <c r="F602" s="48"/>
      <c r="G602" s="48"/>
      <c r="H602" s="48"/>
      <c r="I602" s="48"/>
      <c r="J602" s="48"/>
      <c r="K602" s="64"/>
      <c r="L602" s="64"/>
      <c r="M602" s="48"/>
      <c r="N602" s="48"/>
      <c r="O602" s="48"/>
      <c r="P602" s="48"/>
      <c r="Q602" s="48"/>
      <c r="R602" s="48"/>
      <c r="S602" s="60"/>
      <c r="T602" s="48"/>
      <c r="U602" s="48"/>
      <c r="V602" s="48"/>
      <c r="W602" s="48"/>
      <c r="X602" s="48"/>
      <c r="Y602" s="48"/>
      <c r="Z602" s="48"/>
      <c r="AA602" s="48"/>
      <c r="AB602" s="48"/>
      <c r="AC602" s="48"/>
      <c r="AD602" s="48"/>
      <c r="AE602" s="48"/>
      <c r="AF602" s="60"/>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56"/>
      <c r="BJ602" s="56"/>
      <c r="BK602" s="56"/>
      <c r="BL602" s="56"/>
      <c r="BM602" s="56"/>
      <c r="BN602" s="56"/>
      <c r="BO602" s="56"/>
      <c r="BP602" s="56"/>
      <c r="BQ602" s="56"/>
      <c r="BR602" s="56"/>
      <c r="BS602" s="56"/>
      <c r="BT602" s="56"/>
      <c r="BU602" s="56"/>
      <c r="BV602" s="56"/>
      <c r="BW602" s="56"/>
      <c r="BX602" s="56"/>
    </row>
    <row r="603">
      <c r="A603" s="48"/>
      <c r="B603" s="48"/>
      <c r="C603" s="48"/>
      <c r="D603" s="48"/>
      <c r="E603" s="48"/>
      <c r="F603" s="48"/>
      <c r="G603" s="48"/>
      <c r="H603" s="48"/>
      <c r="I603" s="48"/>
      <c r="J603" s="48"/>
      <c r="K603" s="64"/>
      <c r="L603" s="64"/>
      <c r="M603" s="48"/>
      <c r="N603" s="48"/>
      <c r="O603" s="48"/>
      <c r="P603" s="48"/>
      <c r="Q603" s="48"/>
      <c r="R603" s="48"/>
      <c r="S603" s="60"/>
      <c r="T603" s="48"/>
      <c r="U603" s="48"/>
      <c r="V603" s="48"/>
      <c r="W603" s="48"/>
      <c r="X603" s="48"/>
      <c r="Y603" s="48"/>
      <c r="Z603" s="48"/>
      <c r="AA603" s="48"/>
      <c r="AB603" s="48"/>
      <c r="AC603" s="48"/>
      <c r="AD603" s="48"/>
      <c r="AE603" s="48"/>
      <c r="AF603" s="60"/>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56"/>
      <c r="BJ603" s="56"/>
      <c r="BK603" s="56"/>
      <c r="BL603" s="56"/>
      <c r="BM603" s="56"/>
      <c r="BN603" s="56"/>
      <c r="BO603" s="56"/>
      <c r="BP603" s="56"/>
      <c r="BQ603" s="56"/>
      <c r="BR603" s="56"/>
      <c r="BS603" s="56"/>
      <c r="BT603" s="56"/>
      <c r="BU603" s="56"/>
      <c r="BV603" s="56"/>
      <c r="BW603" s="56"/>
      <c r="BX603" s="56"/>
    </row>
    <row r="604">
      <c r="A604" s="48"/>
      <c r="B604" s="48"/>
      <c r="C604" s="48"/>
      <c r="D604" s="48"/>
      <c r="E604" s="48"/>
      <c r="F604" s="48"/>
      <c r="G604" s="48"/>
      <c r="H604" s="48"/>
      <c r="I604" s="48"/>
      <c r="J604" s="48"/>
      <c r="K604" s="64"/>
      <c r="L604" s="64"/>
      <c r="M604" s="48"/>
      <c r="N604" s="48"/>
      <c r="O604" s="48"/>
      <c r="P604" s="48"/>
      <c r="Q604" s="48"/>
      <c r="R604" s="48"/>
      <c r="S604" s="60"/>
      <c r="T604" s="48"/>
      <c r="U604" s="48"/>
      <c r="V604" s="48"/>
      <c r="W604" s="48"/>
      <c r="X604" s="48"/>
      <c r="Y604" s="48"/>
      <c r="Z604" s="48"/>
      <c r="AA604" s="48"/>
      <c r="AB604" s="48"/>
      <c r="AC604" s="48"/>
      <c r="AD604" s="48"/>
      <c r="AE604" s="48"/>
      <c r="AF604" s="60"/>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56"/>
      <c r="BJ604" s="56"/>
      <c r="BK604" s="56"/>
      <c r="BL604" s="56"/>
      <c r="BM604" s="56"/>
      <c r="BN604" s="56"/>
      <c r="BO604" s="56"/>
      <c r="BP604" s="56"/>
      <c r="BQ604" s="56"/>
      <c r="BR604" s="56"/>
      <c r="BS604" s="56"/>
      <c r="BT604" s="56"/>
      <c r="BU604" s="56"/>
      <c r="BV604" s="56"/>
      <c r="BW604" s="56"/>
      <c r="BX604" s="56"/>
    </row>
    <row r="605">
      <c r="A605" s="48"/>
      <c r="B605" s="48"/>
      <c r="C605" s="48"/>
      <c r="D605" s="48"/>
      <c r="E605" s="48"/>
      <c r="F605" s="48"/>
      <c r="G605" s="48"/>
      <c r="H605" s="48"/>
      <c r="I605" s="48"/>
      <c r="J605" s="48"/>
      <c r="K605" s="64"/>
      <c r="L605" s="64"/>
      <c r="M605" s="48"/>
      <c r="N605" s="48"/>
      <c r="O605" s="48"/>
      <c r="P605" s="48"/>
      <c r="Q605" s="48"/>
      <c r="R605" s="48"/>
      <c r="S605" s="60"/>
      <c r="T605" s="48"/>
      <c r="U605" s="48"/>
      <c r="V605" s="48"/>
      <c r="W605" s="48"/>
      <c r="X605" s="48"/>
      <c r="Y605" s="48"/>
      <c r="Z605" s="48"/>
      <c r="AA605" s="48"/>
      <c r="AB605" s="48"/>
      <c r="AC605" s="48"/>
      <c r="AD605" s="48"/>
      <c r="AE605" s="48"/>
      <c r="AF605" s="60"/>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56"/>
      <c r="BJ605" s="56"/>
      <c r="BK605" s="56"/>
      <c r="BL605" s="56"/>
      <c r="BM605" s="56"/>
      <c r="BN605" s="56"/>
      <c r="BO605" s="56"/>
      <c r="BP605" s="56"/>
      <c r="BQ605" s="56"/>
      <c r="BR605" s="56"/>
      <c r="BS605" s="56"/>
      <c r="BT605" s="56"/>
      <c r="BU605" s="56"/>
      <c r="BV605" s="56"/>
      <c r="BW605" s="56"/>
      <c r="BX605" s="56"/>
    </row>
    <row r="606">
      <c r="A606" s="48"/>
      <c r="B606" s="48"/>
      <c r="C606" s="48"/>
      <c r="D606" s="48"/>
      <c r="E606" s="48"/>
      <c r="F606" s="48"/>
      <c r="G606" s="48"/>
      <c r="H606" s="48"/>
      <c r="I606" s="48"/>
      <c r="J606" s="48"/>
      <c r="K606" s="64"/>
      <c r="L606" s="64"/>
      <c r="M606" s="48"/>
      <c r="N606" s="48"/>
      <c r="O606" s="48"/>
      <c r="P606" s="48"/>
      <c r="Q606" s="48"/>
      <c r="R606" s="48"/>
      <c r="S606" s="60"/>
      <c r="T606" s="48"/>
      <c r="U606" s="48"/>
      <c r="V606" s="48"/>
      <c r="W606" s="48"/>
      <c r="X606" s="48"/>
      <c r="Y606" s="48"/>
      <c r="Z606" s="48"/>
      <c r="AA606" s="48"/>
      <c r="AB606" s="48"/>
      <c r="AC606" s="48"/>
      <c r="AD606" s="48"/>
      <c r="AE606" s="48"/>
      <c r="AF606" s="60"/>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56"/>
      <c r="BJ606" s="56"/>
      <c r="BK606" s="56"/>
      <c r="BL606" s="56"/>
      <c r="BM606" s="56"/>
      <c r="BN606" s="56"/>
      <c r="BO606" s="56"/>
      <c r="BP606" s="56"/>
      <c r="BQ606" s="56"/>
      <c r="BR606" s="56"/>
      <c r="BS606" s="56"/>
      <c r="BT606" s="56"/>
      <c r="BU606" s="56"/>
      <c r="BV606" s="56"/>
      <c r="BW606" s="56"/>
      <c r="BX606" s="56"/>
    </row>
    <row r="607">
      <c r="A607" s="48"/>
      <c r="B607" s="48"/>
      <c r="C607" s="48"/>
      <c r="D607" s="48"/>
      <c r="E607" s="48"/>
      <c r="F607" s="48"/>
      <c r="G607" s="48"/>
      <c r="H607" s="48"/>
      <c r="I607" s="48"/>
      <c r="J607" s="48"/>
      <c r="K607" s="64"/>
      <c r="L607" s="64"/>
      <c r="M607" s="48"/>
      <c r="N607" s="48"/>
      <c r="O607" s="48"/>
      <c r="P607" s="48"/>
      <c r="Q607" s="48"/>
      <c r="R607" s="48"/>
      <c r="S607" s="60"/>
      <c r="T607" s="48"/>
      <c r="U607" s="48"/>
      <c r="V607" s="48"/>
      <c r="W607" s="48"/>
      <c r="X607" s="48"/>
      <c r="Y607" s="48"/>
      <c r="Z607" s="48"/>
      <c r="AA607" s="48"/>
      <c r="AB607" s="48"/>
      <c r="AC607" s="48"/>
      <c r="AD607" s="48"/>
      <c r="AE607" s="48"/>
      <c r="AF607" s="60"/>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56"/>
      <c r="BJ607" s="56"/>
      <c r="BK607" s="56"/>
      <c r="BL607" s="56"/>
      <c r="BM607" s="56"/>
      <c r="BN607" s="56"/>
      <c r="BO607" s="56"/>
      <c r="BP607" s="56"/>
      <c r="BQ607" s="56"/>
      <c r="BR607" s="56"/>
      <c r="BS607" s="56"/>
      <c r="BT607" s="56"/>
      <c r="BU607" s="56"/>
      <c r="BV607" s="56"/>
      <c r="BW607" s="56"/>
      <c r="BX607" s="56"/>
    </row>
    <row r="608">
      <c r="A608" s="48"/>
      <c r="B608" s="48"/>
      <c r="C608" s="48"/>
      <c r="D608" s="48"/>
      <c r="E608" s="48"/>
      <c r="F608" s="48"/>
      <c r="G608" s="48"/>
      <c r="H608" s="48"/>
      <c r="I608" s="48"/>
      <c r="J608" s="48"/>
      <c r="K608" s="64"/>
      <c r="L608" s="64"/>
      <c r="M608" s="48"/>
      <c r="N608" s="48"/>
      <c r="O608" s="48"/>
      <c r="P608" s="48"/>
      <c r="Q608" s="48"/>
      <c r="R608" s="48"/>
      <c r="S608" s="60"/>
      <c r="T608" s="48"/>
      <c r="U608" s="48"/>
      <c r="V608" s="48"/>
      <c r="W608" s="48"/>
      <c r="X608" s="48"/>
      <c r="Y608" s="48"/>
      <c r="Z608" s="48"/>
      <c r="AA608" s="48"/>
      <c r="AB608" s="48"/>
      <c r="AC608" s="48"/>
      <c r="AD608" s="48"/>
      <c r="AE608" s="48"/>
      <c r="AF608" s="60"/>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56"/>
      <c r="BJ608" s="56"/>
      <c r="BK608" s="56"/>
      <c r="BL608" s="56"/>
      <c r="BM608" s="56"/>
      <c r="BN608" s="56"/>
      <c r="BO608" s="56"/>
      <c r="BP608" s="56"/>
      <c r="BQ608" s="56"/>
      <c r="BR608" s="56"/>
      <c r="BS608" s="56"/>
      <c r="BT608" s="56"/>
      <c r="BU608" s="56"/>
      <c r="BV608" s="56"/>
      <c r="BW608" s="56"/>
      <c r="BX608" s="56"/>
    </row>
    <row r="609">
      <c r="A609" s="48"/>
      <c r="B609" s="48"/>
      <c r="C609" s="48"/>
      <c r="D609" s="48"/>
      <c r="E609" s="48"/>
      <c r="F609" s="48"/>
      <c r="G609" s="48"/>
      <c r="H609" s="48"/>
      <c r="I609" s="48"/>
      <c r="J609" s="48"/>
      <c r="K609" s="64"/>
      <c r="L609" s="64"/>
      <c r="M609" s="48"/>
      <c r="N609" s="48"/>
      <c r="O609" s="48"/>
      <c r="P609" s="48"/>
      <c r="Q609" s="48"/>
      <c r="R609" s="48"/>
      <c r="S609" s="60"/>
      <c r="T609" s="48"/>
      <c r="U609" s="48"/>
      <c r="V609" s="48"/>
      <c r="W609" s="48"/>
      <c r="X609" s="48"/>
      <c r="Y609" s="48"/>
      <c r="Z609" s="48"/>
      <c r="AA609" s="48"/>
      <c r="AB609" s="48"/>
      <c r="AC609" s="48"/>
      <c r="AD609" s="48"/>
      <c r="AE609" s="48"/>
      <c r="AF609" s="60"/>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56"/>
      <c r="BJ609" s="56"/>
      <c r="BK609" s="56"/>
      <c r="BL609" s="56"/>
      <c r="BM609" s="56"/>
      <c r="BN609" s="56"/>
      <c r="BO609" s="56"/>
      <c r="BP609" s="56"/>
      <c r="BQ609" s="56"/>
      <c r="BR609" s="56"/>
      <c r="BS609" s="56"/>
      <c r="BT609" s="56"/>
      <c r="BU609" s="56"/>
      <c r="BV609" s="56"/>
      <c r="BW609" s="56"/>
      <c r="BX609" s="56"/>
    </row>
    <row r="610">
      <c r="A610" s="48"/>
      <c r="B610" s="48"/>
      <c r="C610" s="48"/>
      <c r="D610" s="48"/>
      <c r="E610" s="48"/>
      <c r="F610" s="48"/>
      <c r="G610" s="48"/>
      <c r="H610" s="48"/>
      <c r="I610" s="48"/>
      <c r="J610" s="48"/>
      <c r="K610" s="64"/>
      <c r="L610" s="64"/>
      <c r="M610" s="48"/>
      <c r="N610" s="48"/>
      <c r="O610" s="48"/>
      <c r="P610" s="48"/>
      <c r="Q610" s="48"/>
      <c r="R610" s="48"/>
      <c r="S610" s="60"/>
      <c r="T610" s="48"/>
      <c r="U610" s="48"/>
      <c r="V610" s="48"/>
      <c r="W610" s="48"/>
      <c r="X610" s="48"/>
      <c r="Y610" s="48"/>
      <c r="Z610" s="48"/>
      <c r="AA610" s="48"/>
      <c r="AB610" s="48"/>
      <c r="AC610" s="48"/>
      <c r="AD610" s="48"/>
      <c r="AE610" s="48"/>
      <c r="AF610" s="60"/>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56"/>
      <c r="BJ610" s="56"/>
      <c r="BK610" s="56"/>
      <c r="BL610" s="56"/>
      <c r="BM610" s="56"/>
      <c r="BN610" s="56"/>
      <c r="BO610" s="56"/>
      <c r="BP610" s="56"/>
      <c r="BQ610" s="56"/>
      <c r="BR610" s="56"/>
      <c r="BS610" s="56"/>
      <c r="BT610" s="56"/>
      <c r="BU610" s="56"/>
      <c r="BV610" s="56"/>
      <c r="BW610" s="56"/>
      <c r="BX610" s="56"/>
    </row>
    <row r="611">
      <c r="A611" s="48"/>
      <c r="B611" s="48"/>
      <c r="C611" s="48"/>
      <c r="D611" s="48"/>
      <c r="E611" s="48"/>
      <c r="F611" s="48"/>
      <c r="G611" s="48"/>
      <c r="H611" s="48"/>
      <c r="I611" s="48"/>
      <c r="J611" s="48"/>
      <c r="K611" s="64"/>
      <c r="L611" s="64"/>
      <c r="M611" s="48"/>
      <c r="N611" s="48"/>
      <c r="O611" s="48"/>
      <c r="P611" s="48"/>
      <c r="Q611" s="48"/>
      <c r="R611" s="48"/>
      <c r="S611" s="60"/>
      <c r="T611" s="48"/>
      <c r="U611" s="48"/>
      <c r="V611" s="48"/>
      <c r="W611" s="48"/>
      <c r="X611" s="48"/>
      <c r="Y611" s="48"/>
      <c r="Z611" s="48"/>
      <c r="AA611" s="48"/>
      <c r="AB611" s="48"/>
      <c r="AC611" s="48"/>
      <c r="AD611" s="48"/>
      <c r="AE611" s="48"/>
      <c r="AF611" s="60"/>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56"/>
      <c r="BJ611" s="56"/>
      <c r="BK611" s="56"/>
      <c r="BL611" s="56"/>
      <c r="BM611" s="56"/>
      <c r="BN611" s="56"/>
      <c r="BO611" s="56"/>
      <c r="BP611" s="56"/>
      <c r="BQ611" s="56"/>
      <c r="BR611" s="56"/>
      <c r="BS611" s="56"/>
      <c r="BT611" s="56"/>
      <c r="BU611" s="56"/>
      <c r="BV611" s="56"/>
      <c r="BW611" s="56"/>
      <c r="BX611" s="56"/>
    </row>
    <row r="612">
      <c r="A612" s="48"/>
      <c r="B612" s="48"/>
      <c r="C612" s="48"/>
      <c r="D612" s="48"/>
      <c r="E612" s="48"/>
      <c r="F612" s="48"/>
      <c r="G612" s="48"/>
      <c r="H612" s="48"/>
      <c r="I612" s="48"/>
      <c r="J612" s="48"/>
      <c r="K612" s="64"/>
      <c r="L612" s="64"/>
      <c r="M612" s="48"/>
      <c r="N612" s="48"/>
      <c r="O612" s="48"/>
      <c r="P612" s="48"/>
      <c r="Q612" s="48"/>
      <c r="R612" s="48"/>
      <c r="S612" s="60"/>
      <c r="T612" s="48"/>
      <c r="U612" s="48"/>
      <c r="V612" s="48"/>
      <c r="W612" s="48"/>
      <c r="X612" s="48"/>
      <c r="Y612" s="48"/>
      <c r="Z612" s="48"/>
      <c r="AA612" s="48"/>
      <c r="AB612" s="48"/>
      <c r="AC612" s="48"/>
      <c r="AD612" s="48"/>
      <c r="AE612" s="48"/>
      <c r="AF612" s="60"/>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56"/>
      <c r="BJ612" s="56"/>
      <c r="BK612" s="56"/>
      <c r="BL612" s="56"/>
      <c r="BM612" s="56"/>
      <c r="BN612" s="56"/>
      <c r="BO612" s="56"/>
      <c r="BP612" s="56"/>
      <c r="BQ612" s="56"/>
      <c r="BR612" s="56"/>
      <c r="BS612" s="56"/>
      <c r="BT612" s="56"/>
      <c r="BU612" s="56"/>
      <c r="BV612" s="56"/>
      <c r="BW612" s="56"/>
      <c r="BX612" s="56"/>
    </row>
    <row r="613">
      <c r="A613" s="48"/>
      <c r="B613" s="48"/>
      <c r="C613" s="48"/>
      <c r="D613" s="48"/>
      <c r="E613" s="48"/>
      <c r="F613" s="48"/>
      <c r="G613" s="48"/>
      <c r="H613" s="48"/>
      <c r="I613" s="48"/>
      <c r="J613" s="48"/>
      <c r="K613" s="64"/>
      <c r="L613" s="64"/>
      <c r="M613" s="48"/>
      <c r="N613" s="48"/>
      <c r="O613" s="48"/>
      <c r="P613" s="48"/>
      <c r="Q613" s="48"/>
      <c r="R613" s="48"/>
      <c r="S613" s="60"/>
      <c r="T613" s="48"/>
      <c r="U613" s="48"/>
      <c r="V613" s="48"/>
      <c r="W613" s="48"/>
      <c r="X613" s="48"/>
      <c r="Y613" s="48"/>
      <c r="Z613" s="48"/>
      <c r="AA613" s="48"/>
      <c r="AB613" s="48"/>
      <c r="AC613" s="48"/>
      <c r="AD613" s="48"/>
      <c r="AE613" s="48"/>
      <c r="AF613" s="60"/>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56"/>
      <c r="BJ613" s="56"/>
      <c r="BK613" s="56"/>
      <c r="BL613" s="56"/>
      <c r="BM613" s="56"/>
      <c r="BN613" s="56"/>
      <c r="BO613" s="56"/>
      <c r="BP613" s="56"/>
      <c r="BQ613" s="56"/>
      <c r="BR613" s="56"/>
      <c r="BS613" s="56"/>
      <c r="BT613" s="56"/>
      <c r="BU613" s="56"/>
      <c r="BV613" s="56"/>
      <c r="BW613" s="56"/>
      <c r="BX613" s="56"/>
    </row>
    <row r="614">
      <c r="A614" s="48"/>
      <c r="B614" s="48"/>
      <c r="C614" s="48"/>
      <c r="D614" s="48"/>
      <c r="E614" s="48"/>
      <c r="F614" s="48"/>
      <c r="G614" s="48"/>
      <c r="H614" s="48"/>
      <c r="I614" s="48"/>
      <c r="J614" s="48"/>
      <c r="K614" s="64"/>
      <c r="L614" s="64"/>
      <c r="M614" s="48"/>
      <c r="N614" s="48"/>
      <c r="O614" s="48"/>
      <c r="P614" s="48"/>
      <c r="Q614" s="48"/>
      <c r="R614" s="48"/>
      <c r="S614" s="60"/>
      <c r="T614" s="48"/>
      <c r="U614" s="48"/>
      <c r="V614" s="48"/>
      <c r="W614" s="48"/>
      <c r="X614" s="48"/>
      <c r="Y614" s="48"/>
      <c r="Z614" s="48"/>
      <c r="AA614" s="48"/>
      <c r="AB614" s="48"/>
      <c r="AC614" s="48"/>
      <c r="AD614" s="48"/>
      <c r="AE614" s="48"/>
      <c r="AF614" s="60"/>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56"/>
      <c r="BJ614" s="56"/>
      <c r="BK614" s="56"/>
      <c r="BL614" s="56"/>
      <c r="BM614" s="56"/>
      <c r="BN614" s="56"/>
      <c r="BO614" s="56"/>
      <c r="BP614" s="56"/>
      <c r="BQ614" s="56"/>
      <c r="BR614" s="56"/>
      <c r="BS614" s="56"/>
      <c r="BT614" s="56"/>
      <c r="BU614" s="56"/>
      <c r="BV614" s="56"/>
      <c r="BW614" s="56"/>
      <c r="BX614" s="56"/>
    </row>
    <row r="615">
      <c r="A615" s="48"/>
      <c r="B615" s="48"/>
      <c r="C615" s="48"/>
      <c r="D615" s="48"/>
      <c r="E615" s="48"/>
      <c r="F615" s="48"/>
      <c r="G615" s="48"/>
      <c r="H615" s="48"/>
      <c r="I615" s="48"/>
      <c r="J615" s="48"/>
      <c r="K615" s="64"/>
      <c r="L615" s="64"/>
      <c r="M615" s="48"/>
      <c r="N615" s="48"/>
      <c r="O615" s="48"/>
      <c r="P615" s="48"/>
      <c r="Q615" s="48"/>
      <c r="R615" s="48"/>
      <c r="S615" s="60"/>
      <c r="T615" s="48"/>
      <c r="U615" s="48"/>
      <c r="V615" s="48"/>
      <c r="W615" s="48"/>
      <c r="X615" s="48"/>
      <c r="Y615" s="48"/>
      <c r="Z615" s="48"/>
      <c r="AA615" s="48"/>
      <c r="AB615" s="48"/>
      <c r="AC615" s="48"/>
      <c r="AD615" s="48"/>
      <c r="AE615" s="48"/>
      <c r="AF615" s="60"/>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56"/>
      <c r="BJ615" s="56"/>
      <c r="BK615" s="56"/>
      <c r="BL615" s="56"/>
      <c r="BM615" s="56"/>
      <c r="BN615" s="56"/>
      <c r="BO615" s="56"/>
      <c r="BP615" s="56"/>
      <c r="BQ615" s="56"/>
      <c r="BR615" s="56"/>
      <c r="BS615" s="56"/>
      <c r="BT615" s="56"/>
      <c r="BU615" s="56"/>
      <c r="BV615" s="56"/>
      <c r="BW615" s="56"/>
      <c r="BX615" s="56"/>
    </row>
    <row r="616">
      <c r="A616" s="48"/>
      <c r="B616" s="48"/>
      <c r="C616" s="48"/>
      <c r="D616" s="48"/>
      <c r="E616" s="48"/>
      <c r="F616" s="48"/>
      <c r="G616" s="48"/>
      <c r="H616" s="48"/>
      <c r="I616" s="48"/>
      <c r="J616" s="48"/>
      <c r="K616" s="64"/>
      <c r="L616" s="64"/>
      <c r="M616" s="48"/>
      <c r="N616" s="48"/>
      <c r="O616" s="48"/>
      <c r="P616" s="48"/>
      <c r="Q616" s="48"/>
      <c r="R616" s="48"/>
      <c r="S616" s="60"/>
      <c r="T616" s="48"/>
      <c r="U616" s="48"/>
      <c r="V616" s="48"/>
      <c r="W616" s="48"/>
      <c r="X616" s="48"/>
      <c r="Y616" s="48"/>
      <c r="Z616" s="48"/>
      <c r="AA616" s="48"/>
      <c r="AB616" s="48"/>
      <c r="AC616" s="48"/>
      <c r="AD616" s="48"/>
      <c r="AE616" s="48"/>
      <c r="AF616" s="60"/>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56"/>
      <c r="BJ616" s="56"/>
      <c r="BK616" s="56"/>
      <c r="BL616" s="56"/>
      <c r="BM616" s="56"/>
      <c r="BN616" s="56"/>
      <c r="BO616" s="56"/>
      <c r="BP616" s="56"/>
      <c r="BQ616" s="56"/>
      <c r="BR616" s="56"/>
      <c r="BS616" s="56"/>
      <c r="BT616" s="56"/>
      <c r="BU616" s="56"/>
      <c r="BV616" s="56"/>
      <c r="BW616" s="56"/>
      <c r="BX616" s="56"/>
    </row>
    <row r="617">
      <c r="A617" s="48"/>
      <c r="B617" s="48"/>
      <c r="C617" s="48"/>
      <c r="D617" s="48"/>
      <c r="E617" s="48"/>
      <c r="F617" s="48"/>
      <c r="G617" s="48"/>
      <c r="H617" s="48"/>
      <c r="I617" s="48"/>
      <c r="J617" s="48"/>
      <c r="K617" s="64"/>
      <c r="L617" s="64"/>
      <c r="M617" s="48"/>
      <c r="N617" s="48"/>
      <c r="O617" s="48"/>
      <c r="P617" s="48"/>
      <c r="Q617" s="48"/>
      <c r="R617" s="48"/>
      <c r="S617" s="60"/>
      <c r="T617" s="48"/>
      <c r="U617" s="48"/>
      <c r="V617" s="48"/>
      <c r="W617" s="48"/>
      <c r="X617" s="48"/>
      <c r="Y617" s="48"/>
      <c r="Z617" s="48"/>
      <c r="AA617" s="48"/>
      <c r="AB617" s="48"/>
      <c r="AC617" s="48"/>
      <c r="AD617" s="48"/>
      <c r="AE617" s="48"/>
      <c r="AF617" s="60"/>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56"/>
      <c r="BJ617" s="56"/>
      <c r="BK617" s="56"/>
      <c r="BL617" s="56"/>
      <c r="BM617" s="56"/>
      <c r="BN617" s="56"/>
      <c r="BO617" s="56"/>
      <c r="BP617" s="56"/>
      <c r="BQ617" s="56"/>
      <c r="BR617" s="56"/>
      <c r="BS617" s="56"/>
      <c r="BT617" s="56"/>
      <c r="BU617" s="56"/>
      <c r="BV617" s="56"/>
      <c r="BW617" s="56"/>
      <c r="BX617" s="56"/>
    </row>
    <row r="618">
      <c r="A618" s="48"/>
      <c r="B618" s="48"/>
      <c r="C618" s="48"/>
      <c r="D618" s="48"/>
      <c r="E618" s="48"/>
      <c r="F618" s="48"/>
      <c r="G618" s="48"/>
      <c r="H618" s="48"/>
      <c r="I618" s="48"/>
      <c r="J618" s="48"/>
      <c r="K618" s="64"/>
      <c r="L618" s="64"/>
      <c r="M618" s="48"/>
      <c r="N618" s="48"/>
      <c r="O618" s="48"/>
      <c r="P618" s="48"/>
      <c r="Q618" s="48"/>
      <c r="R618" s="48"/>
      <c r="S618" s="60"/>
      <c r="T618" s="48"/>
      <c r="U618" s="48"/>
      <c r="V618" s="48"/>
      <c r="W618" s="48"/>
      <c r="X618" s="48"/>
      <c r="Y618" s="48"/>
      <c r="Z618" s="48"/>
      <c r="AA618" s="48"/>
      <c r="AB618" s="48"/>
      <c r="AC618" s="48"/>
      <c r="AD618" s="48"/>
      <c r="AE618" s="48"/>
      <c r="AF618" s="60"/>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56"/>
      <c r="BJ618" s="56"/>
      <c r="BK618" s="56"/>
      <c r="BL618" s="56"/>
      <c r="BM618" s="56"/>
      <c r="BN618" s="56"/>
      <c r="BO618" s="56"/>
      <c r="BP618" s="56"/>
      <c r="BQ618" s="56"/>
      <c r="BR618" s="56"/>
      <c r="BS618" s="56"/>
      <c r="BT618" s="56"/>
      <c r="BU618" s="56"/>
      <c r="BV618" s="56"/>
      <c r="BW618" s="56"/>
      <c r="BX618" s="56"/>
    </row>
    <row r="619">
      <c r="A619" s="48"/>
      <c r="B619" s="48"/>
      <c r="C619" s="48"/>
      <c r="D619" s="48"/>
      <c r="E619" s="48"/>
      <c r="F619" s="48"/>
      <c r="G619" s="48"/>
      <c r="H619" s="48"/>
      <c r="I619" s="48"/>
      <c r="J619" s="48"/>
      <c r="K619" s="64"/>
      <c r="L619" s="64"/>
      <c r="M619" s="48"/>
      <c r="N619" s="48"/>
      <c r="O619" s="48"/>
      <c r="P619" s="48"/>
      <c r="Q619" s="48"/>
      <c r="R619" s="48"/>
      <c r="S619" s="60"/>
      <c r="T619" s="48"/>
      <c r="U619" s="48"/>
      <c r="V619" s="48"/>
      <c r="W619" s="48"/>
      <c r="X619" s="48"/>
      <c r="Y619" s="48"/>
      <c r="Z619" s="48"/>
      <c r="AA619" s="48"/>
      <c r="AB619" s="48"/>
      <c r="AC619" s="48"/>
      <c r="AD619" s="48"/>
      <c r="AE619" s="48"/>
      <c r="AF619" s="60"/>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56"/>
      <c r="BJ619" s="56"/>
      <c r="BK619" s="56"/>
      <c r="BL619" s="56"/>
      <c r="BM619" s="56"/>
      <c r="BN619" s="56"/>
      <c r="BO619" s="56"/>
      <c r="BP619" s="56"/>
      <c r="BQ619" s="56"/>
      <c r="BR619" s="56"/>
      <c r="BS619" s="56"/>
      <c r="BT619" s="56"/>
      <c r="BU619" s="56"/>
      <c r="BV619" s="56"/>
      <c r="BW619" s="56"/>
      <c r="BX619" s="56"/>
    </row>
    <row r="620">
      <c r="A620" s="48"/>
      <c r="B620" s="48"/>
      <c r="C620" s="48"/>
      <c r="D620" s="48"/>
      <c r="E620" s="48"/>
      <c r="F620" s="48"/>
      <c r="G620" s="48"/>
      <c r="H620" s="48"/>
      <c r="I620" s="48"/>
      <c r="J620" s="48"/>
      <c r="K620" s="64"/>
      <c r="L620" s="64"/>
      <c r="M620" s="48"/>
      <c r="N620" s="48"/>
      <c r="O620" s="48"/>
      <c r="P620" s="48"/>
      <c r="Q620" s="48"/>
      <c r="R620" s="48"/>
      <c r="S620" s="60"/>
      <c r="T620" s="48"/>
      <c r="U620" s="48"/>
      <c r="V620" s="48"/>
      <c r="W620" s="48"/>
      <c r="X620" s="48"/>
      <c r="Y620" s="48"/>
      <c r="Z620" s="48"/>
      <c r="AA620" s="48"/>
      <c r="AB620" s="48"/>
      <c r="AC620" s="48"/>
      <c r="AD620" s="48"/>
      <c r="AE620" s="48"/>
      <c r="AF620" s="60"/>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56"/>
      <c r="BJ620" s="56"/>
      <c r="BK620" s="56"/>
      <c r="BL620" s="56"/>
      <c r="BM620" s="56"/>
      <c r="BN620" s="56"/>
      <c r="BO620" s="56"/>
      <c r="BP620" s="56"/>
      <c r="BQ620" s="56"/>
      <c r="BR620" s="56"/>
      <c r="BS620" s="56"/>
      <c r="BT620" s="56"/>
      <c r="BU620" s="56"/>
      <c r="BV620" s="56"/>
      <c r="BW620" s="56"/>
      <c r="BX620" s="56"/>
    </row>
    <row r="621">
      <c r="A621" s="48"/>
      <c r="B621" s="48"/>
      <c r="C621" s="48"/>
      <c r="D621" s="48"/>
      <c r="E621" s="48"/>
      <c r="F621" s="48"/>
      <c r="G621" s="48"/>
      <c r="H621" s="48"/>
      <c r="I621" s="48"/>
      <c r="J621" s="48"/>
      <c r="K621" s="64"/>
      <c r="L621" s="64"/>
      <c r="M621" s="48"/>
      <c r="N621" s="48"/>
      <c r="O621" s="48"/>
      <c r="P621" s="48"/>
      <c r="Q621" s="48"/>
      <c r="R621" s="48"/>
      <c r="S621" s="60"/>
      <c r="T621" s="48"/>
      <c r="U621" s="48"/>
      <c r="V621" s="48"/>
      <c r="W621" s="48"/>
      <c r="X621" s="48"/>
      <c r="Y621" s="48"/>
      <c r="Z621" s="48"/>
      <c r="AA621" s="48"/>
      <c r="AB621" s="48"/>
      <c r="AC621" s="48"/>
      <c r="AD621" s="48"/>
      <c r="AE621" s="48"/>
      <c r="AF621" s="60"/>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56"/>
      <c r="BJ621" s="56"/>
      <c r="BK621" s="56"/>
      <c r="BL621" s="56"/>
      <c r="BM621" s="56"/>
      <c r="BN621" s="56"/>
      <c r="BO621" s="56"/>
      <c r="BP621" s="56"/>
      <c r="BQ621" s="56"/>
      <c r="BR621" s="56"/>
      <c r="BS621" s="56"/>
      <c r="BT621" s="56"/>
      <c r="BU621" s="56"/>
      <c r="BV621" s="56"/>
      <c r="BW621" s="56"/>
      <c r="BX621" s="56"/>
    </row>
    <row r="622">
      <c r="A622" s="48"/>
      <c r="B622" s="48"/>
      <c r="C622" s="48"/>
      <c r="D622" s="48"/>
      <c r="E622" s="48"/>
      <c r="F622" s="48"/>
      <c r="G622" s="48"/>
      <c r="H622" s="48"/>
      <c r="I622" s="48"/>
      <c r="J622" s="48"/>
      <c r="K622" s="64"/>
      <c r="L622" s="64"/>
      <c r="M622" s="48"/>
      <c r="N622" s="48"/>
      <c r="O622" s="48"/>
      <c r="P622" s="48"/>
      <c r="Q622" s="48"/>
      <c r="R622" s="48"/>
      <c r="S622" s="60"/>
      <c r="T622" s="48"/>
      <c r="U622" s="48"/>
      <c r="V622" s="48"/>
      <c r="W622" s="48"/>
      <c r="X622" s="48"/>
      <c r="Y622" s="48"/>
      <c r="Z622" s="48"/>
      <c r="AA622" s="48"/>
      <c r="AB622" s="48"/>
      <c r="AC622" s="48"/>
      <c r="AD622" s="48"/>
      <c r="AE622" s="48"/>
      <c r="AF622" s="60"/>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56"/>
      <c r="BJ622" s="56"/>
      <c r="BK622" s="56"/>
      <c r="BL622" s="56"/>
      <c r="BM622" s="56"/>
      <c r="BN622" s="56"/>
      <c r="BO622" s="56"/>
      <c r="BP622" s="56"/>
      <c r="BQ622" s="56"/>
      <c r="BR622" s="56"/>
      <c r="BS622" s="56"/>
      <c r="BT622" s="56"/>
      <c r="BU622" s="56"/>
      <c r="BV622" s="56"/>
      <c r="BW622" s="56"/>
      <c r="BX622" s="56"/>
    </row>
    <row r="623">
      <c r="A623" s="48"/>
      <c r="B623" s="48"/>
      <c r="C623" s="48"/>
      <c r="D623" s="48"/>
      <c r="E623" s="48"/>
      <c r="F623" s="48"/>
      <c r="G623" s="48"/>
      <c r="H623" s="48"/>
      <c r="I623" s="48"/>
      <c r="J623" s="48"/>
      <c r="K623" s="64"/>
      <c r="L623" s="64"/>
      <c r="M623" s="48"/>
      <c r="N623" s="48"/>
      <c r="O623" s="48"/>
      <c r="P623" s="48"/>
      <c r="Q623" s="48"/>
      <c r="R623" s="48"/>
      <c r="S623" s="60"/>
      <c r="T623" s="48"/>
      <c r="U623" s="48"/>
      <c r="V623" s="48"/>
      <c r="W623" s="48"/>
      <c r="X623" s="48"/>
      <c r="Y623" s="48"/>
      <c r="Z623" s="48"/>
      <c r="AA623" s="48"/>
      <c r="AB623" s="48"/>
      <c r="AC623" s="48"/>
      <c r="AD623" s="48"/>
      <c r="AE623" s="48"/>
      <c r="AF623" s="60"/>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56"/>
      <c r="BJ623" s="56"/>
      <c r="BK623" s="56"/>
      <c r="BL623" s="56"/>
      <c r="BM623" s="56"/>
      <c r="BN623" s="56"/>
      <c r="BO623" s="56"/>
      <c r="BP623" s="56"/>
      <c r="BQ623" s="56"/>
      <c r="BR623" s="56"/>
      <c r="BS623" s="56"/>
      <c r="BT623" s="56"/>
      <c r="BU623" s="56"/>
      <c r="BV623" s="56"/>
      <c r="BW623" s="56"/>
      <c r="BX623" s="56"/>
    </row>
    <row r="624">
      <c r="A624" s="48"/>
      <c r="B624" s="48"/>
      <c r="C624" s="48"/>
      <c r="D624" s="48"/>
      <c r="E624" s="48"/>
      <c r="F624" s="48"/>
      <c r="G624" s="48"/>
      <c r="H624" s="48"/>
      <c r="I624" s="48"/>
      <c r="J624" s="48"/>
      <c r="K624" s="64"/>
      <c r="L624" s="64"/>
      <c r="M624" s="48"/>
      <c r="N624" s="48"/>
      <c r="O624" s="48"/>
      <c r="P624" s="48"/>
      <c r="Q624" s="48"/>
      <c r="R624" s="48"/>
      <c r="S624" s="60"/>
      <c r="T624" s="48"/>
      <c r="U624" s="48"/>
      <c r="V624" s="48"/>
      <c r="W624" s="48"/>
      <c r="X624" s="48"/>
      <c r="Y624" s="48"/>
      <c r="Z624" s="48"/>
      <c r="AA624" s="48"/>
      <c r="AB624" s="48"/>
      <c r="AC624" s="48"/>
      <c r="AD624" s="48"/>
      <c r="AE624" s="48"/>
      <c r="AF624" s="60"/>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56"/>
      <c r="BJ624" s="56"/>
      <c r="BK624" s="56"/>
      <c r="BL624" s="56"/>
      <c r="BM624" s="56"/>
      <c r="BN624" s="56"/>
      <c r="BO624" s="56"/>
      <c r="BP624" s="56"/>
      <c r="BQ624" s="56"/>
      <c r="BR624" s="56"/>
      <c r="BS624" s="56"/>
      <c r="BT624" s="56"/>
      <c r="BU624" s="56"/>
      <c r="BV624" s="56"/>
      <c r="BW624" s="56"/>
      <c r="BX624" s="56"/>
    </row>
    <row r="625">
      <c r="A625" s="48"/>
      <c r="B625" s="48"/>
      <c r="C625" s="48"/>
      <c r="D625" s="48"/>
      <c r="E625" s="48"/>
      <c r="F625" s="48"/>
      <c r="G625" s="48"/>
      <c r="H625" s="48"/>
      <c r="I625" s="48"/>
      <c r="J625" s="48"/>
      <c r="K625" s="64"/>
      <c r="L625" s="64"/>
      <c r="M625" s="48"/>
      <c r="N625" s="48"/>
      <c r="O625" s="48"/>
      <c r="P625" s="48"/>
      <c r="Q625" s="48"/>
      <c r="R625" s="48"/>
      <c r="S625" s="60"/>
      <c r="T625" s="48"/>
      <c r="U625" s="48"/>
      <c r="V625" s="48"/>
      <c r="W625" s="48"/>
      <c r="X625" s="48"/>
      <c r="Y625" s="48"/>
      <c r="Z625" s="48"/>
      <c r="AA625" s="48"/>
      <c r="AB625" s="48"/>
      <c r="AC625" s="48"/>
      <c r="AD625" s="48"/>
      <c r="AE625" s="48"/>
      <c r="AF625" s="60"/>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56"/>
      <c r="BJ625" s="56"/>
      <c r="BK625" s="56"/>
      <c r="BL625" s="56"/>
      <c r="BM625" s="56"/>
      <c r="BN625" s="56"/>
      <c r="BO625" s="56"/>
      <c r="BP625" s="56"/>
      <c r="BQ625" s="56"/>
      <c r="BR625" s="56"/>
      <c r="BS625" s="56"/>
      <c r="BT625" s="56"/>
      <c r="BU625" s="56"/>
      <c r="BV625" s="56"/>
      <c r="BW625" s="56"/>
      <c r="BX625" s="56"/>
    </row>
    <row r="626">
      <c r="A626" s="48"/>
      <c r="B626" s="48"/>
      <c r="C626" s="48"/>
      <c r="D626" s="48"/>
      <c r="E626" s="48"/>
      <c r="F626" s="48"/>
      <c r="G626" s="48"/>
      <c r="H626" s="48"/>
      <c r="I626" s="48"/>
      <c r="J626" s="48"/>
      <c r="K626" s="64"/>
      <c r="L626" s="64"/>
      <c r="M626" s="48"/>
      <c r="N626" s="48"/>
      <c r="O626" s="48"/>
      <c r="P626" s="48"/>
      <c r="Q626" s="48"/>
      <c r="R626" s="48"/>
      <c r="S626" s="60"/>
      <c r="T626" s="48"/>
      <c r="U626" s="48"/>
      <c r="V626" s="48"/>
      <c r="W626" s="48"/>
      <c r="X626" s="48"/>
      <c r="Y626" s="48"/>
      <c r="Z626" s="48"/>
      <c r="AA626" s="48"/>
      <c r="AB626" s="48"/>
      <c r="AC626" s="48"/>
      <c r="AD626" s="48"/>
      <c r="AE626" s="48"/>
      <c r="AF626" s="60"/>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56"/>
      <c r="BJ626" s="56"/>
      <c r="BK626" s="56"/>
      <c r="BL626" s="56"/>
      <c r="BM626" s="56"/>
      <c r="BN626" s="56"/>
      <c r="BO626" s="56"/>
      <c r="BP626" s="56"/>
      <c r="BQ626" s="56"/>
      <c r="BR626" s="56"/>
      <c r="BS626" s="56"/>
      <c r="BT626" s="56"/>
      <c r="BU626" s="56"/>
      <c r="BV626" s="56"/>
      <c r="BW626" s="56"/>
      <c r="BX626" s="56"/>
    </row>
    <row r="627">
      <c r="A627" s="48"/>
      <c r="B627" s="48"/>
      <c r="C627" s="48"/>
      <c r="D627" s="48"/>
      <c r="E627" s="48"/>
      <c r="F627" s="48"/>
      <c r="G627" s="48"/>
      <c r="H627" s="48"/>
      <c r="I627" s="48"/>
      <c r="J627" s="48"/>
      <c r="K627" s="64"/>
      <c r="L627" s="64"/>
      <c r="M627" s="48"/>
      <c r="N627" s="48"/>
      <c r="O627" s="48"/>
      <c r="P627" s="48"/>
      <c r="Q627" s="48"/>
      <c r="R627" s="48"/>
      <c r="S627" s="60"/>
      <c r="T627" s="48"/>
      <c r="U627" s="48"/>
      <c r="V627" s="48"/>
      <c r="W627" s="48"/>
      <c r="X627" s="48"/>
      <c r="Y627" s="48"/>
      <c r="Z627" s="48"/>
      <c r="AA627" s="48"/>
      <c r="AB627" s="48"/>
      <c r="AC627" s="48"/>
      <c r="AD627" s="48"/>
      <c r="AE627" s="48"/>
      <c r="AF627" s="60"/>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56"/>
      <c r="BJ627" s="56"/>
      <c r="BK627" s="56"/>
      <c r="BL627" s="56"/>
      <c r="BM627" s="56"/>
      <c r="BN627" s="56"/>
      <c r="BO627" s="56"/>
      <c r="BP627" s="56"/>
      <c r="BQ627" s="56"/>
      <c r="BR627" s="56"/>
      <c r="BS627" s="56"/>
      <c r="BT627" s="56"/>
      <c r="BU627" s="56"/>
      <c r="BV627" s="56"/>
      <c r="BW627" s="56"/>
      <c r="BX627" s="56"/>
    </row>
    <row r="628">
      <c r="A628" s="48"/>
      <c r="B628" s="48"/>
      <c r="C628" s="48"/>
      <c r="D628" s="48"/>
      <c r="E628" s="48"/>
      <c r="F628" s="48"/>
      <c r="G628" s="48"/>
      <c r="H628" s="48"/>
      <c r="I628" s="48"/>
      <c r="J628" s="48"/>
      <c r="K628" s="64"/>
      <c r="L628" s="64"/>
      <c r="M628" s="48"/>
      <c r="N628" s="48"/>
      <c r="O628" s="48"/>
      <c r="P628" s="48"/>
      <c r="Q628" s="48"/>
      <c r="R628" s="48"/>
      <c r="S628" s="60"/>
      <c r="T628" s="48"/>
      <c r="U628" s="48"/>
      <c r="V628" s="48"/>
      <c r="W628" s="48"/>
      <c r="X628" s="48"/>
      <c r="Y628" s="48"/>
      <c r="Z628" s="48"/>
      <c r="AA628" s="48"/>
      <c r="AB628" s="48"/>
      <c r="AC628" s="48"/>
      <c r="AD628" s="48"/>
      <c r="AE628" s="48"/>
      <c r="AF628" s="60"/>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56"/>
      <c r="BJ628" s="56"/>
      <c r="BK628" s="56"/>
      <c r="BL628" s="56"/>
      <c r="BM628" s="56"/>
      <c r="BN628" s="56"/>
      <c r="BO628" s="56"/>
      <c r="BP628" s="56"/>
      <c r="BQ628" s="56"/>
      <c r="BR628" s="56"/>
      <c r="BS628" s="56"/>
      <c r="BT628" s="56"/>
      <c r="BU628" s="56"/>
      <c r="BV628" s="56"/>
      <c r="BW628" s="56"/>
      <c r="BX628" s="56"/>
    </row>
    <row r="629">
      <c r="A629" s="48"/>
      <c r="B629" s="48"/>
      <c r="C629" s="48"/>
      <c r="D629" s="48"/>
      <c r="E629" s="48"/>
      <c r="F629" s="48"/>
      <c r="G629" s="48"/>
      <c r="H629" s="48"/>
      <c r="I629" s="48"/>
      <c r="J629" s="48"/>
      <c r="K629" s="64"/>
      <c r="L629" s="64"/>
      <c r="M629" s="48"/>
      <c r="N629" s="48"/>
      <c r="O629" s="48"/>
      <c r="P629" s="48"/>
      <c r="Q629" s="48"/>
      <c r="R629" s="48"/>
      <c r="S629" s="60"/>
      <c r="T629" s="48"/>
      <c r="U629" s="48"/>
      <c r="V629" s="48"/>
      <c r="W629" s="48"/>
      <c r="X629" s="48"/>
      <c r="Y629" s="48"/>
      <c r="Z629" s="48"/>
      <c r="AA629" s="48"/>
      <c r="AB629" s="48"/>
      <c r="AC629" s="48"/>
      <c r="AD629" s="48"/>
      <c r="AE629" s="48"/>
      <c r="AF629" s="60"/>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56"/>
      <c r="BJ629" s="56"/>
      <c r="BK629" s="56"/>
      <c r="BL629" s="56"/>
      <c r="BM629" s="56"/>
      <c r="BN629" s="56"/>
      <c r="BO629" s="56"/>
      <c r="BP629" s="56"/>
      <c r="BQ629" s="56"/>
      <c r="BR629" s="56"/>
      <c r="BS629" s="56"/>
      <c r="BT629" s="56"/>
      <c r="BU629" s="56"/>
      <c r="BV629" s="56"/>
      <c r="BW629" s="56"/>
      <c r="BX629" s="56"/>
    </row>
    <row r="630">
      <c r="A630" s="48"/>
      <c r="B630" s="48"/>
      <c r="C630" s="48"/>
      <c r="D630" s="48"/>
      <c r="E630" s="48"/>
      <c r="F630" s="48"/>
      <c r="G630" s="48"/>
      <c r="H630" s="48"/>
      <c r="I630" s="48"/>
      <c r="J630" s="48"/>
      <c r="K630" s="64"/>
      <c r="L630" s="64"/>
      <c r="M630" s="48"/>
      <c r="N630" s="48"/>
      <c r="O630" s="48"/>
      <c r="P630" s="48"/>
      <c r="Q630" s="48"/>
      <c r="R630" s="48"/>
      <c r="S630" s="60"/>
      <c r="T630" s="48"/>
      <c r="U630" s="48"/>
      <c r="V630" s="48"/>
      <c r="W630" s="48"/>
      <c r="X630" s="48"/>
      <c r="Y630" s="48"/>
      <c r="Z630" s="48"/>
      <c r="AA630" s="48"/>
      <c r="AB630" s="48"/>
      <c r="AC630" s="48"/>
      <c r="AD630" s="48"/>
      <c r="AE630" s="48"/>
      <c r="AF630" s="60"/>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56"/>
      <c r="BJ630" s="56"/>
      <c r="BK630" s="56"/>
      <c r="BL630" s="56"/>
      <c r="BM630" s="56"/>
      <c r="BN630" s="56"/>
      <c r="BO630" s="56"/>
      <c r="BP630" s="56"/>
      <c r="BQ630" s="56"/>
      <c r="BR630" s="56"/>
      <c r="BS630" s="56"/>
      <c r="BT630" s="56"/>
      <c r="BU630" s="56"/>
      <c r="BV630" s="56"/>
      <c r="BW630" s="56"/>
      <c r="BX630" s="56"/>
    </row>
    <row r="631">
      <c r="A631" s="48"/>
      <c r="B631" s="48"/>
      <c r="C631" s="48"/>
      <c r="D631" s="48"/>
      <c r="E631" s="48"/>
      <c r="F631" s="48"/>
      <c r="G631" s="48"/>
      <c r="H631" s="48"/>
      <c r="I631" s="48"/>
      <c r="J631" s="48"/>
      <c r="K631" s="64"/>
      <c r="L631" s="64"/>
      <c r="M631" s="48"/>
      <c r="N631" s="48"/>
      <c r="O631" s="48"/>
      <c r="P631" s="48"/>
      <c r="Q631" s="48"/>
      <c r="R631" s="48"/>
      <c r="S631" s="60"/>
      <c r="T631" s="48"/>
      <c r="U631" s="48"/>
      <c r="V631" s="48"/>
      <c r="W631" s="48"/>
      <c r="X631" s="48"/>
      <c r="Y631" s="48"/>
      <c r="Z631" s="48"/>
      <c r="AA631" s="48"/>
      <c r="AB631" s="48"/>
      <c r="AC631" s="48"/>
      <c r="AD631" s="48"/>
      <c r="AE631" s="48"/>
      <c r="AF631" s="60"/>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56"/>
      <c r="BJ631" s="56"/>
      <c r="BK631" s="56"/>
      <c r="BL631" s="56"/>
      <c r="BM631" s="56"/>
      <c r="BN631" s="56"/>
      <c r="BO631" s="56"/>
      <c r="BP631" s="56"/>
      <c r="BQ631" s="56"/>
      <c r="BR631" s="56"/>
      <c r="BS631" s="56"/>
      <c r="BT631" s="56"/>
      <c r="BU631" s="56"/>
      <c r="BV631" s="56"/>
      <c r="BW631" s="56"/>
      <c r="BX631" s="56"/>
    </row>
    <row r="632">
      <c r="A632" s="48"/>
      <c r="B632" s="48"/>
      <c r="C632" s="48"/>
      <c r="D632" s="48"/>
      <c r="E632" s="48"/>
      <c r="F632" s="48"/>
      <c r="G632" s="48"/>
      <c r="H632" s="48"/>
      <c r="I632" s="48"/>
      <c r="J632" s="48"/>
      <c r="K632" s="64"/>
      <c r="L632" s="64"/>
      <c r="M632" s="48"/>
      <c r="N632" s="48"/>
      <c r="O632" s="48"/>
      <c r="P632" s="48"/>
      <c r="Q632" s="48"/>
      <c r="R632" s="48"/>
      <c r="S632" s="60"/>
      <c r="T632" s="48"/>
      <c r="U632" s="48"/>
      <c r="V632" s="48"/>
      <c r="W632" s="48"/>
      <c r="X632" s="48"/>
      <c r="Y632" s="48"/>
      <c r="Z632" s="48"/>
      <c r="AA632" s="48"/>
      <c r="AB632" s="48"/>
      <c r="AC632" s="48"/>
      <c r="AD632" s="48"/>
      <c r="AE632" s="48"/>
      <c r="AF632" s="60"/>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56"/>
      <c r="BJ632" s="56"/>
      <c r="BK632" s="56"/>
      <c r="BL632" s="56"/>
      <c r="BM632" s="56"/>
      <c r="BN632" s="56"/>
      <c r="BO632" s="56"/>
      <c r="BP632" s="56"/>
      <c r="BQ632" s="56"/>
      <c r="BR632" s="56"/>
      <c r="BS632" s="56"/>
      <c r="BT632" s="56"/>
      <c r="BU632" s="56"/>
      <c r="BV632" s="56"/>
      <c r="BW632" s="56"/>
      <c r="BX632" s="56"/>
    </row>
    <row r="633">
      <c r="A633" s="48"/>
      <c r="B633" s="48"/>
      <c r="C633" s="48"/>
      <c r="D633" s="48"/>
      <c r="E633" s="48"/>
      <c r="F633" s="48"/>
      <c r="G633" s="48"/>
      <c r="H633" s="48"/>
      <c r="I633" s="48"/>
      <c r="J633" s="48"/>
      <c r="K633" s="64"/>
      <c r="L633" s="64"/>
      <c r="M633" s="48"/>
      <c r="N633" s="48"/>
      <c r="O633" s="48"/>
      <c r="P633" s="48"/>
      <c r="Q633" s="48"/>
      <c r="R633" s="48"/>
      <c r="S633" s="60"/>
      <c r="T633" s="48"/>
      <c r="U633" s="48"/>
      <c r="V633" s="48"/>
      <c r="W633" s="48"/>
      <c r="X633" s="48"/>
      <c r="Y633" s="48"/>
      <c r="Z633" s="48"/>
      <c r="AA633" s="48"/>
      <c r="AB633" s="48"/>
      <c r="AC633" s="48"/>
      <c r="AD633" s="48"/>
      <c r="AE633" s="48"/>
      <c r="AF633" s="60"/>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56"/>
      <c r="BJ633" s="56"/>
      <c r="BK633" s="56"/>
      <c r="BL633" s="56"/>
      <c r="BM633" s="56"/>
      <c r="BN633" s="56"/>
      <c r="BO633" s="56"/>
      <c r="BP633" s="56"/>
      <c r="BQ633" s="56"/>
      <c r="BR633" s="56"/>
      <c r="BS633" s="56"/>
      <c r="BT633" s="56"/>
      <c r="BU633" s="56"/>
      <c r="BV633" s="56"/>
      <c r="BW633" s="56"/>
      <c r="BX633" s="56"/>
    </row>
    <row r="634">
      <c r="A634" s="48"/>
      <c r="B634" s="48"/>
      <c r="C634" s="48"/>
      <c r="D634" s="48"/>
      <c r="E634" s="48"/>
      <c r="F634" s="48"/>
      <c r="G634" s="48"/>
      <c r="H634" s="48"/>
      <c r="I634" s="48"/>
      <c r="J634" s="48"/>
      <c r="K634" s="64"/>
      <c r="L634" s="64"/>
      <c r="M634" s="48"/>
      <c r="N634" s="48"/>
      <c r="O634" s="48"/>
      <c r="P634" s="48"/>
      <c r="Q634" s="48"/>
      <c r="R634" s="48"/>
      <c r="S634" s="60"/>
      <c r="T634" s="48"/>
      <c r="U634" s="48"/>
      <c r="V634" s="48"/>
      <c r="W634" s="48"/>
      <c r="X634" s="48"/>
      <c r="Y634" s="48"/>
      <c r="Z634" s="48"/>
      <c r="AA634" s="48"/>
      <c r="AB634" s="48"/>
      <c r="AC634" s="48"/>
      <c r="AD634" s="48"/>
      <c r="AE634" s="48"/>
      <c r="AF634" s="60"/>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56"/>
      <c r="BJ634" s="56"/>
      <c r="BK634" s="56"/>
      <c r="BL634" s="56"/>
      <c r="BM634" s="56"/>
      <c r="BN634" s="56"/>
      <c r="BO634" s="56"/>
      <c r="BP634" s="56"/>
      <c r="BQ634" s="56"/>
      <c r="BR634" s="56"/>
      <c r="BS634" s="56"/>
      <c r="BT634" s="56"/>
      <c r="BU634" s="56"/>
      <c r="BV634" s="56"/>
      <c r="BW634" s="56"/>
      <c r="BX634" s="56"/>
    </row>
    <row r="635">
      <c r="A635" s="48"/>
      <c r="B635" s="48"/>
      <c r="C635" s="48"/>
      <c r="D635" s="48"/>
      <c r="E635" s="48"/>
      <c r="F635" s="48"/>
      <c r="G635" s="48"/>
      <c r="H635" s="48"/>
      <c r="I635" s="48"/>
      <c r="J635" s="48"/>
      <c r="K635" s="64"/>
      <c r="L635" s="64"/>
      <c r="M635" s="48"/>
      <c r="N635" s="48"/>
      <c r="O635" s="48"/>
      <c r="P635" s="48"/>
      <c r="Q635" s="48"/>
      <c r="R635" s="48"/>
      <c r="S635" s="60"/>
      <c r="T635" s="48"/>
      <c r="U635" s="48"/>
      <c r="V635" s="48"/>
      <c r="W635" s="48"/>
      <c r="X635" s="48"/>
      <c r="Y635" s="48"/>
      <c r="Z635" s="48"/>
      <c r="AA635" s="48"/>
      <c r="AB635" s="48"/>
      <c r="AC635" s="48"/>
      <c r="AD635" s="48"/>
      <c r="AE635" s="48"/>
      <c r="AF635" s="60"/>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56"/>
      <c r="BJ635" s="56"/>
      <c r="BK635" s="56"/>
      <c r="BL635" s="56"/>
      <c r="BM635" s="56"/>
      <c r="BN635" s="56"/>
      <c r="BO635" s="56"/>
      <c r="BP635" s="56"/>
      <c r="BQ635" s="56"/>
      <c r="BR635" s="56"/>
      <c r="BS635" s="56"/>
      <c r="BT635" s="56"/>
      <c r="BU635" s="56"/>
      <c r="BV635" s="56"/>
      <c r="BW635" s="56"/>
      <c r="BX635" s="56"/>
    </row>
    <row r="636">
      <c r="A636" s="48"/>
      <c r="B636" s="48"/>
      <c r="C636" s="48"/>
      <c r="D636" s="48"/>
      <c r="E636" s="48"/>
      <c r="F636" s="48"/>
      <c r="G636" s="48"/>
      <c r="H636" s="48"/>
      <c r="I636" s="48"/>
      <c r="J636" s="48"/>
      <c r="K636" s="64"/>
      <c r="L636" s="64"/>
      <c r="M636" s="48"/>
      <c r="N636" s="48"/>
      <c r="O636" s="48"/>
      <c r="P636" s="48"/>
      <c r="Q636" s="48"/>
      <c r="R636" s="48"/>
      <c r="S636" s="60"/>
      <c r="T636" s="48"/>
      <c r="U636" s="48"/>
      <c r="V636" s="48"/>
      <c r="W636" s="48"/>
      <c r="X636" s="48"/>
      <c r="Y636" s="48"/>
      <c r="Z636" s="48"/>
      <c r="AA636" s="48"/>
      <c r="AB636" s="48"/>
      <c r="AC636" s="48"/>
      <c r="AD636" s="48"/>
      <c r="AE636" s="48"/>
      <c r="AF636" s="60"/>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56"/>
      <c r="BJ636" s="56"/>
      <c r="BK636" s="56"/>
      <c r="BL636" s="56"/>
      <c r="BM636" s="56"/>
      <c r="BN636" s="56"/>
      <c r="BO636" s="56"/>
      <c r="BP636" s="56"/>
      <c r="BQ636" s="56"/>
      <c r="BR636" s="56"/>
      <c r="BS636" s="56"/>
      <c r="BT636" s="56"/>
      <c r="BU636" s="56"/>
      <c r="BV636" s="56"/>
      <c r="BW636" s="56"/>
      <c r="BX636" s="56"/>
    </row>
    <row r="637">
      <c r="A637" s="48"/>
      <c r="B637" s="48"/>
      <c r="C637" s="48"/>
      <c r="D637" s="48"/>
      <c r="E637" s="48"/>
      <c r="F637" s="48"/>
      <c r="G637" s="48"/>
      <c r="H637" s="48"/>
      <c r="I637" s="48"/>
      <c r="J637" s="48"/>
      <c r="K637" s="64"/>
      <c r="L637" s="64"/>
      <c r="M637" s="48"/>
      <c r="N637" s="48"/>
      <c r="O637" s="48"/>
      <c r="P637" s="48"/>
      <c r="Q637" s="48"/>
      <c r="R637" s="48"/>
      <c r="S637" s="60"/>
      <c r="T637" s="48"/>
      <c r="U637" s="48"/>
      <c r="V637" s="48"/>
      <c r="W637" s="48"/>
      <c r="X637" s="48"/>
      <c r="Y637" s="48"/>
      <c r="Z637" s="48"/>
      <c r="AA637" s="48"/>
      <c r="AB637" s="48"/>
      <c r="AC637" s="48"/>
      <c r="AD637" s="48"/>
      <c r="AE637" s="48"/>
      <c r="AF637" s="60"/>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56"/>
      <c r="BJ637" s="56"/>
      <c r="BK637" s="56"/>
      <c r="BL637" s="56"/>
      <c r="BM637" s="56"/>
      <c r="BN637" s="56"/>
      <c r="BO637" s="56"/>
      <c r="BP637" s="56"/>
      <c r="BQ637" s="56"/>
      <c r="BR637" s="56"/>
      <c r="BS637" s="56"/>
      <c r="BT637" s="56"/>
      <c r="BU637" s="56"/>
      <c r="BV637" s="56"/>
      <c r="BW637" s="56"/>
      <c r="BX637" s="56"/>
    </row>
    <row r="638">
      <c r="A638" s="48"/>
      <c r="B638" s="48"/>
      <c r="C638" s="48"/>
      <c r="D638" s="48"/>
      <c r="E638" s="48"/>
      <c r="F638" s="48"/>
      <c r="G638" s="48"/>
      <c r="H638" s="48"/>
      <c r="I638" s="48"/>
      <c r="J638" s="48"/>
      <c r="K638" s="64"/>
      <c r="L638" s="64"/>
      <c r="M638" s="48"/>
      <c r="N638" s="48"/>
      <c r="O638" s="48"/>
      <c r="P638" s="48"/>
      <c r="Q638" s="48"/>
      <c r="R638" s="48"/>
      <c r="S638" s="60"/>
      <c r="T638" s="48"/>
      <c r="U638" s="48"/>
      <c r="V638" s="48"/>
      <c r="W638" s="48"/>
      <c r="X638" s="48"/>
      <c r="Y638" s="48"/>
      <c r="Z638" s="48"/>
      <c r="AA638" s="48"/>
      <c r="AB638" s="48"/>
      <c r="AC638" s="48"/>
      <c r="AD638" s="48"/>
      <c r="AE638" s="48"/>
      <c r="AF638" s="60"/>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56"/>
      <c r="BJ638" s="56"/>
      <c r="BK638" s="56"/>
      <c r="BL638" s="56"/>
      <c r="BM638" s="56"/>
      <c r="BN638" s="56"/>
      <c r="BO638" s="56"/>
      <c r="BP638" s="56"/>
      <c r="BQ638" s="56"/>
      <c r="BR638" s="56"/>
      <c r="BS638" s="56"/>
      <c r="BT638" s="56"/>
      <c r="BU638" s="56"/>
      <c r="BV638" s="56"/>
      <c r="BW638" s="56"/>
      <c r="BX638" s="56"/>
    </row>
    <row r="639">
      <c r="A639" s="48"/>
      <c r="B639" s="48"/>
      <c r="C639" s="48"/>
      <c r="D639" s="48"/>
      <c r="E639" s="48"/>
      <c r="F639" s="48"/>
      <c r="G639" s="48"/>
      <c r="H639" s="48"/>
      <c r="I639" s="48"/>
      <c r="J639" s="48"/>
      <c r="K639" s="64"/>
      <c r="L639" s="64"/>
      <c r="M639" s="48"/>
      <c r="N639" s="48"/>
      <c r="O639" s="48"/>
      <c r="P639" s="48"/>
      <c r="Q639" s="48"/>
      <c r="R639" s="48"/>
      <c r="S639" s="60"/>
      <c r="T639" s="48"/>
      <c r="U639" s="48"/>
      <c r="V639" s="48"/>
      <c r="W639" s="48"/>
      <c r="X639" s="48"/>
      <c r="Y639" s="48"/>
      <c r="Z639" s="48"/>
      <c r="AA639" s="48"/>
      <c r="AB639" s="48"/>
      <c r="AC639" s="48"/>
      <c r="AD639" s="48"/>
      <c r="AE639" s="48"/>
      <c r="AF639" s="60"/>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56"/>
      <c r="BJ639" s="56"/>
      <c r="BK639" s="56"/>
      <c r="BL639" s="56"/>
      <c r="BM639" s="56"/>
      <c r="BN639" s="56"/>
      <c r="BO639" s="56"/>
      <c r="BP639" s="56"/>
      <c r="BQ639" s="56"/>
      <c r="BR639" s="56"/>
      <c r="BS639" s="56"/>
      <c r="BT639" s="56"/>
      <c r="BU639" s="56"/>
      <c r="BV639" s="56"/>
      <c r="BW639" s="56"/>
      <c r="BX639" s="56"/>
    </row>
    <row r="640">
      <c r="A640" s="48"/>
      <c r="B640" s="48"/>
      <c r="C640" s="48"/>
      <c r="D640" s="48"/>
      <c r="E640" s="48"/>
      <c r="F640" s="48"/>
      <c r="G640" s="48"/>
      <c r="H640" s="48"/>
      <c r="I640" s="48"/>
      <c r="J640" s="48"/>
      <c r="K640" s="64"/>
      <c r="L640" s="64"/>
      <c r="M640" s="48"/>
      <c r="N640" s="48"/>
      <c r="O640" s="48"/>
      <c r="P640" s="48"/>
      <c r="Q640" s="48"/>
      <c r="R640" s="48"/>
      <c r="S640" s="60"/>
      <c r="T640" s="48"/>
      <c r="U640" s="48"/>
      <c r="V640" s="48"/>
      <c r="W640" s="48"/>
      <c r="X640" s="48"/>
      <c r="Y640" s="48"/>
      <c r="Z640" s="48"/>
      <c r="AA640" s="48"/>
      <c r="AB640" s="48"/>
      <c r="AC640" s="48"/>
      <c r="AD640" s="48"/>
      <c r="AE640" s="48"/>
      <c r="AF640" s="60"/>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56"/>
      <c r="BJ640" s="56"/>
      <c r="BK640" s="56"/>
      <c r="BL640" s="56"/>
      <c r="BM640" s="56"/>
      <c r="BN640" s="56"/>
      <c r="BO640" s="56"/>
      <c r="BP640" s="56"/>
      <c r="BQ640" s="56"/>
      <c r="BR640" s="56"/>
      <c r="BS640" s="56"/>
      <c r="BT640" s="56"/>
      <c r="BU640" s="56"/>
      <c r="BV640" s="56"/>
      <c r="BW640" s="56"/>
      <c r="BX640" s="56"/>
    </row>
    <row r="641">
      <c r="A641" s="48"/>
      <c r="B641" s="48"/>
      <c r="C641" s="48"/>
      <c r="D641" s="48"/>
      <c r="E641" s="48"/>
      <c r="F641" s="48"/>
      <c r="G641" s="48"/>
      <c r="H641" s="48"/>
      <c r="I641" s="48"/>
      <c r="J641" s="48"/>
      <c r="K641" s="64"/>
      <c r="L641" s="64"/>
      <c r="M641" s="48"/>
      <c r="N641" s="48"/>
      <c r="O641" s="48"/>
      <c r="P641" s="48"/>
      <c r="Q641" s="48"/>
      <c r="R641" s="48"/>
      <c r="S641" s="60"/>
      <c r="T641" s="48"/>
      <c r="U641" s="48"/>
      <c r="V641" s="48"/>
      <c r="W641" s="48"/>
      <c r="X641" s="48"/>
      <c r="Y641" s="48"/>
      <c r="Z641" s="48"/>
      <c r="AA641" s="48"/>
      <c r="AB641" s="48"/>
      <c r="AC641" s="48"/>
      <c r="AD641" s="48"/>
      <c r="AE641" s="48"/>
      <c r="AF641" s="60"/>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56"/>
      <c r="BJ641" s="56"/>
      <c r="BK641" s="56"/>
      <c r="BL641" s="56"/>
      <c r="BM641" s="56"/>
      <c r="BN641" s="56"/>
      <c r="BO641" s="56"/>
      <c r="BP641" s="56"/>
      <c r="BQ641" s="56"/>
      <c r="BR641" s="56"/>
      <c r="BS641" s="56"/>
      <c r="BT641" s="56"/>
      <c r="BU641" s="56"/>
      <c r="BV641" s="56"/>
      <c r="BW641" s="56"/>
      <c r="BX641" s="56"/>
    </row>
    <row r="642">
      <c r="A642" s="48"/>
      <c r="B642" s="48"/>
      <c r="C642" s="48"/>
      <c r="D642" s="48"/>
      <c r="E642" s="48"/>
      <c r="F642" s="48"/>
      <c r="G642" s="48"/>
      <c r="H642" s="48"/>
      <c r="I642" s="48"/>
      <c r="J642" s="48"/>
      <c r="K642" s="64"/>
      <c r="L642" s="64"/>
      <c r="M642" s="48"/>
      <c r="N642" s="48"/>
      <c r="O642" s="48"/>
      <c r="P642" s="48"/>
      <c r="Q642" s="48"/>
      <c r="R642" s="48"/>
      <c r="S642" s="60"/>
      <c r="T642" s="48"/>
      <c r="U642" s="48"/>
      <c r="V642" s="48"/>
      <c r="W642" s="48"/>
      <c r="X642" s="48"/>
      <c r="Y642" s="48"/>
      <c r="Z642" s="48"/>
      <c r="AA642" s="48"/>
      <c r="AB642" s="48"/>
      <c r="AC642" s="48"/>
      <c r="AD642" s="48"/>
      <c r="AE642" s="48"/>
      <c r="AF642" s="60"/>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56"/>
      <c r="BJ642" s="56"/>
      <c r="BK642" s="56"/>
      <c r="BL642" s="56"/>
      <c r="BM642" s="56"/>
      <c r="BN642" s="56"/>
      <c r="BO642" s="56"/>
      <c r="BP642" s="56"/>
      <c r="BQ642" s="56"/>
      <c r="BR642" s="56"/>
      <c r="BS642" s="56"/>
      <c r="BT642" s="56"/>
      <c r="BU642" s="56"/>
      <c r="BV642" s="56"/>
      <c r="BW642" s="56"/>
      <c r="BX642" s="56"/>
    </row>
    <row r="643">
      <c r="A643" s="48"/>
      <c r="B643" s="48"/>
      <c r="C643" s="48"/>
      <c r="D643" s="48"/>
      <c r="E643" s="48"/>
      <c r="F643" s="48"/>
      <c r="G643" s="48"/>
      <c r="H643" s="48"/>
      <c r="I643" s="48"/>
      <c r="J643" s="48"/>
      <c r="K643" s="64"/>
      <c r="L643" s="64"/>
      <c r="M643" s="48"/>
      <c r="N643" s="48"/>
      <c r="O643" s="48"/>
      <c r="P643" s="48"/>
      <c r="Q643" s="48"/>
      <c r="R643" s="48"/>
      <c r="S643" s="60"/>
      <c r="T643" s="48"/>
      <c r="U643" s="48"/>
      <c r="V643" s="48"/>
      <c r="W643" s="48"/>
      <c r="X643" s="48"/>
      <c r="Y643" s="48"/>
      <c r="Z643" s="48"/>
      <c r="AA643" s="48"/>
      <c r="AB643" s="48"/>
      <c r="AC643" s="48"/>
      <c r="AD643" s="48"/>
      <c r="AE643" s="48"/>
      <c r="AF643" s="60"/>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56"/>
      <c r="BJ643" s="56"/>
      <c r="BK643" s="56"/>
      <c r="BL643" s="56"/>
      <c r="BM643" s="56"/>
      <c r="BN643" s="56"/>
      <c r="BO643" s="56"/>
      <c r="BP643" s="56"/>
      <c r="BQ643" s="56"/>
      <c r="BR643" s="56"/>
      <c r="BS643" s="56"/>
      <c r="BT643" s="56"/>
      <c r="BU643" s="56"/>
      <c r="BV643" s="56"/>
      <c r="BW643" s="56"/>
      <c r="BX643" s="56"/>
    </row>
    <row r="644">
      <c r="A644" s="48"/>
      <c r="B644" s="48"/>
      <c r="C644" s="48"/>
      <c r="D644" s="48"/>
      <c r="E644" s="48"/>
      <c r="F644" s="48"/>
      <c r="G644" s="48"/>
      <c r="H644" s="48"/>
      <c r="I644" s="48"/>
      <c r="J644" s="48"/>
      <c r="K644" s="64"/>
      <c r="L644" s="64"/>
      <c r="M644" s="48"/>
      <c r="N644" s="48"/>
      <c r="O644" s="48"/>
      <c r="P644" s="48"/>
      <c r="Q644" s="48"/>
      <c r="R644" s="48"/>
      <c r="S644" s="60"/>
      <c r="T644" s="48"/>
      <c r="U644" s="48"/>
      <c r="V644" s="48"/>
      <c r="W644" s="48"/>
      <c r="X644" s="48"/>
      <c r="Y644" s="48"/>
      <c r="Z644" s="48"/>
      <c r="AA644" s="48"/>
      <c r="AB644" s="48"/>
      <c r="AC644" s="48"/>
      <c r="AD644" s="48"/>
      <c r="AE644" s="48"/>
      <c r="AF644" s="60"/>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56"/>
      <c r="BJ644" s="56"/>
      <c r="BK644" s="56"/>
      <c r="BL644" s="56"/>
      <c r="BM644" s="56"/>
      <c r="BN644" s="56"/>
      <c r="BO644" s="56"/>
      <c r="BP644" s="56"/>
      <c r="BQ644" s="56"/>
      <c r="BR644" s="56"/>
      <c r="BS644" s="56"/>
      <c r="BT644" s="56"/>
      <c r="BU644" s="56"/>
      <c r="BV644" s="56"/>
      <c r="BW644" s="56"/>
      <c r="BX644" s="56"/>
    </row>
    <row r="645">
      <c r="A645" s="48"/>
      <c r="B645" s="48"/>
      <c r="C645" s="48"/>
      <c r="D645" s="48"/>
      <c r="E645" s="48"/>
      <c r="F645" s="48"/>
      <c r="G645" s="48"/>
      <c r="H645" s="48"/>
      <c r="I645" s="48"/>
      <c r="J645" s="48"/>
      <c r="K645" s="64"/>
      <c r="L645" s="64"/>
      <c r="M645" s="48"/>
      <c r="N645" s="48"/>
      <c r="O645" s="48"/>
      <c r="P645" s="48"/>
      <c r="Q645" s="48"/>
      <c r="R645" s="48"/>
      <c r="S645" s="60"/>
      <c r="T645" s="48"/>
      <c r="U645" s="48"/>
      <c r="V645" s="48"/>
      <c r="W645" s="48"/>
      <c r="X645" s="48"/>
      <c r="Y645" s="48"/>
      <c r="Z645" s="48"/>
      <c r="AA645" s="48"/>
      <c r="AB645" s="48"/>
      <c r="AC645" s="48"/>
      <c r="AD645" s="48"/>
      <c r="AE645" s="48"/>
      <c r="AF645" s="60"/>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56"/>
      <c r="BJ645" s="56"/>
      <c r="BK645" s="56"/>
      <c r="BL645" s="56"/>
      <c r="BM645" s="56"/>
      <c r="BN645" s="56"/>
      <c r="BO645" s="56"/>
      <c r="BP645" s="56"/>
      <c r="BQ645" s="56"/>
      <c r="BR645" s="56"/>
      <c r="BS645" s="56"/>
      <c r="BT645" s="56"/>
      <c r="BU645" s="56"/>
      <c r="BV645" s="56"/>
      <c r="BW645" s="56"/>
      <c r="BX645" s="56"/>
    </row>
    <row r="646">
      <c r="A646" s="48"/>
      <c r="B646" s="48"/>
      <c r="C646" s="48"/>
      <c r="D646" s="48"/>
      <c r="E646" s="48"/>
      <c r="F646" s="48"/>
      <c r="G646" s="48"/>
      <c r="H646" s="48"/>
      <c r="I646" s="48"/>
      <c r="J646" s="48"/>
      <c r="K646" s="64"/>
      <c r="L646" s="64"/>
      <c r="M646" s="48"/>
      <c r="N646" s="48"/>
      <c r="O646" s="48"/>
      <c r="P646" s="48"/>
      <c r="Q646" s="48"/>
      <c r="R646" s="48"/>
      <c r="S646" s="60"/>
      <c r="T646" s="48"/>
      <c r="U646" s="48"/>
      <c r="V646" s="48"/>
      <c r="W646" s="48"/>
      <c r="X646" s="48"/>
      <c r="Y646" s="48"/>
      <c r="Z646" s="48"/>
      <c r="AA646" s="48"/>
      <c r="AB646" s="48"/>
      <c r="AC646" s="48"/>
      <c r="AD646" s="48"/>
      <c r="AE646" s="48"/>
      <c r="AF646" s="60"/>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56"/>
      <c r="BJ646" s="56"/>
      <c r="BK646" s="56"/>
      <c r="BL646" s="56"/>
      <c r="BM646" s="56"/>
      <c r="BN646" s="56"/>
      <c r="BO646" s="56"/>
      <c r="BP646" s="56"/>
      <c r="BQ646" s="56"/>
      <c r="BR646" s="56"/>
      <c r="BS646" s="56"/>
      <c r="BT646" s="56"/>
      <c r="BU646" s="56"/>
      <c r="BV646" s="56"/>
      <c r="BW646" s="56"/>
      <c r="BX646" s="56"/>
    </row>
    <row r="647">
      <c r="A647" s="48"/>
      <c r="B647" s="48"/>
      <c r="C647" s="48"/>
      <c r="D647" s="48"/>
      <c r="E647" s="48"/>
      <c r="F647" s="48"/>
      <c r="G647" s="48"/>
      <c r="H647" s="48"/>
      <c r="I647" s="48"/>
      <c r="J647" s="48"/>
      <c r="K647" s="64"/>
      <c r="L647" s="64"/>
      <c r="M647" s="48"/>
      <c r="N647" s="48"/>
      <c r="O647" s="48"/>
      <c r="P647" s="48"/>
      <c r="Q647" s="48"/>
      <c r="R647" s="48"/>
      <c r="S647" s="60"/>
      <c r="T647" s="48"/>
      <c r="U647" s="48"/>
      <c r="V647" s="48"/>
      <c r="W647" s="48"/>
      <c r="X647" s="48"/>
      <c r="Y647" s="48"/>
      <c r="Z647" s="48"/>
      <c r="AA647" s="48"/>
      <c r="AB647" s="48"/>
      <c r="AC647" s="48"/>
      <c r="AD647" s="48"/>
      <c r="AE647" s="48"/>
      <c r="AF647" s="60"/>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56"/>
      <c r="BJ647" s="56"/>
      <c r="BK647" s="56"/>
      <c r="BL647" s="56"/>
      <c r="BM647" s="56"/>
      <c r="BN647" s="56"/>
      <c r="BO647" s="56"/>
      <c r="BP647" s="56"/>
      <c r="BQ647" s="56"/>
      <c r="BR647" s="56"/>
      <c r="BS647" s="56"/>
      <c r="BT647" s="56"/>
      <c r="BU647" s="56"/>
      <c r="BV647" s="56"/>
      <c r="BW647" s="56"/>
      <c r="BX647" s="56"/>
    </row>
    <row r="648">
      <c r="A648" s="48"/>
      <c r="B648" s="48"/>
      <c r="C648" s="48"/>
      <c r="D648" s="48"/>
      <c r="E648" s="48"/>
      <c r="F648" s="48"/>
      <c r="G648" s="48"/>
      <c r="H648" s="48"/>
      <c r="I648" s="48"/>
      <c r="J648" s="48"/>
      <c r="K648" s="64"/>
      <c r="L648" s="64"/>
      <c r="M648" s="48"/>
      <c r="N648" s="48"/>
      <c r="O648" s="48"/>
      <c r="P648" s="48"/>
      <c r="Q648" s="48"/>
      <c r="R648" s="48"/>
      <c r="S648" s="60"/>
      <c r="T648" s="48"/>
      <c r="U648" s="48"/>
      <c r="V648" s="48"/>
      <c r="W648" s="48"/>
      <c r="X648" s="48"/>
      <c r="Y648" s="48"/>
      <c r="Z648" s="48"/>
      <c r="AA648" s="48"/>
      <c r="AB648" s="48"/>
      <c r="AC648" s="48"/>
      <c r="AD648" s="48"/>
      <c r="AE648" s="48"/>
      <c r="AF648" s="60"/>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56"/>
      <c r="BJ648" s="56"/>
      <c r="BK648" s="56"/>
      <c r="BL648" s="56"/>
      <c r="BM648" s="56"/>
      <c r="BN648" s="56"/>
      <c r="BO648" s="56"/>
      <c r="BP648" s="56"/>
      <c r="BQ648" s="56"/>
      <c r="BR648" s="56"/>
      <c r="BS648" s="56"/>
      <c r="BT648" s="56"/>
      <c r="BU648" s="56"/>
      <c r="BV648" s="56"/>
      <c r="BW648" s="56"/>
      <c r="BX648" s="56"/>
    </row>
    <row r="649">
      <c r="A649" s="48"/>
      <c r="B649" s="48"/>
      <c r="C649" s="48"/>
      <c r="D649" s="48"/>
      <c r="E649" s="48"/>
      <c r="F649" s="48"/>
      <c r="G649" s="48"/>
      <c r="H649" s="48"/>
      <c r="I649" s="48"/>
      <c r="J649" s="48"/>
      <c r="K649" s="64"/>
      <c r="L649" s="64"/>
      <c r="M649" s="48"/>
      <c r="N649" s="48"/>
      <c r="O649" s="48"/>
      <c r="P649" s="48"/>
      <c r="Q649" s="48"/>
      <c r="R649" s="48"/>
      <c r="S649" s="60"/>
      <c r="T649" s="48"/>
      <c r="U649" s="48"/>
      <c r="V649" s="48"/>
      <c r="W649" s="48"/>
      <c r="X649" s="48"/>
      <c r="Y649" s="48"/>
      <c r="Z649" s="48"/>
      <c r="AA649" s="48"/>
      <c r="AB649" s="48"/>
      <c r="AC649" s="48"/>
      <c r="AD649" s="48"/>
      <c r="AE649" s="48"/>
      <c r="AF649" s="60"/>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56"/>
      <c r="BJ649" s="56"/>
      <c r="BK649" s="56"/>
      <c r="BL649" s="56"/>
      <c r="BM649" s="56"/>
      <c r="BN649" s="56"/>
      <c r="BO649" s="56"/>
      <c r="BP649" s="56"/>
      <c r="BQ649" s="56"/>
      <c r="BR649" s="56"/>
      <c r="BS649" s="56"/>
      <c r="BT649" s="56"/>
      <c r="BU649" s="56"/>
      <c r="BV649" s="56"/>
      <c r="BW649" s="56"/>
      <c r="BX649" s="56"/>
    </row>
    <row r="650">
      <c r="A650" s="48"/>
      <c r="B650" s="48"/>
      <c r="C650" s="48"/>
      <c r="D650" s="48"/>
      <c r="E650" s="48"/>
      <c r="F650" s="48"/>
      <c r="G650" s="48"/>
      <c r="H650" s="48"/>
      <c r="I650" s="48"/>
      <c r="J650" s="48"/>
      <c r="K650" s="64"/>
      <c r="L650" s="64"/>
      <c r="M650" s="48"/>
      <c r="N650" s="48"/>
      <c r="O650" s="48"/>
      <c r="P650" s="48"/>
      <c r="Q650" s="48"/>
      <c r="R650" s="48"/>
      <c r="S650" s="60"/>
      <c r="T650" s="48"/>
      <c r="U650" s="48"/>
      <c r="V650" s="48"/>
      <c r="W650" s="48"/>
      <c r="X650" s="48"/>
      <c r="Y650" s="48"/>
      <c r="Z650" s="48"/>
      <c r="AA650" s="48"/>
      <c r="AB650" s="48"/>
      <c r="AC650" s="48"/>
      <c r="AD650" s="48"/>
      <c r="AE650" s="48"/>
      <c r="AF650" s="60"/>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56"/>
      <c r="BJ650" s="56"/>
      <c r="BK650" s="56"/>
      <c r="BL650" s="56"/>
      <c r="BM650" s="56"/>
      <c r="BN650" s="56"/>
      <c r="BO650" s="56"/>
      <c r="BP650" s="56"/>
      <c r="BQ650" s="56"/>
      <c r="BR650" s="56"/>
      <c r="BS650" s="56"/>
      <c r="BT650" s="56"/>
      <c r="BU650" s="56"/>
      <c r="BV650" s="56"/>
      <c r="BW650" s="56"/>
      <c r="BX650" s="56"/>
    </row>
    <row r="651">
      <c r="A651" s="48"/>
      <c r="B651" s="48"/>
      <c r="C651" s="48"/>
      <c r="D651" s="48"/>
      <c r="E651" s="48"/>
      <c r="F651" s="48"/>
      <c r="G651" s="48"/>
      <c r="H651" s="48"/>
      <c r="I651" s="48"/>
      <c r="J651" s="48"/>
      <c r="K651" s="64"/>
      <c r="L651" s="64"/>
      <c r="M651" s="48"/>
      <c r="N651" s="48"/>
      <c r="O651" s="48"/>
      <c r="P651" s="48"/>
      <c r="Q651" s="48"/>
      <c r="R651" s="48"/>
      <c r="S651" s="60"/>
      <c r="T651" s="48"/>
      <c r="U651" s="48"/>
      <c r="V651" s="48"/>
      <c r="W651" s="48"/>
      <c r="X651" s="48"/>
      <c r="Y651" s="48"/>
      <c r="Z651" s="48"/>
      <c r="AA651" s="48"/>
      <c r="AB651" s="48"/>
      <c r="AC651" s="48"/>
      <c r="AD651" s="48"/>
      <c r="AE651" s="48"/>
      <c r="AF651" s="60"/>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56"/>
      <c r="BJ651" s="56"/>
      <c r="BK651" s="56"/>
      <c r="BL651" s="56"/>
      <c r="BM651" s="56"/>
      <c r="BN651" s="56"/>
      <c r="BO651" s="56"/>
      <c r="BP651" s="56"/>
      <c r="BQ651" s="56"/>
      <c r="BR651" s="56"/>
      <c r="BS651" s="56"/>
      <c r="BT651" s="56"/>
      <c r="BU651" s="56"/>
      <c r="BV651" s="56"/>
      <c r="BW651" s="56"/>
      <c r="BX651" s="56"/>
    </row>
    <row r="652">
      <c r="A652" s="48"/>
      <c r="B652" s="48"/>
      <c r="C652" s="48"/>
      <c r="D652" s="48"/>
      <c r="E652" s="48"/>
      <c r="F652" s="48"/>
      <c r="G652" s="48"/>
      <c r="H652" s="48"/>
      <c r="I652" s="48"/>
      <c r="J652" s="48"/>
      <c r="K652" s="64"/>
      <c r="L652" s="64"/>
      <c r="M652" s="48"/>
      <c r="N652" s="48"/>
      <c r="O652" s="48"/>
      <c r="P652" s="48"/>
      <c r="Q652" s="48"/>
      <c r="R652" s="48"/>
      <c r="S652" s="60"/>
      <c r="T652" s="48"/>
      <c r="U652" s="48"/>
      <c r="V652" s="48"/>
      <c r="W652" s="48"/>
      <c r="X652" s="48"/>
      <c r="Y652" s="48"/>
      <c r="Z652" s="48"/>
      <c r="AA652" s="48"/>
      <c r="AB652" s="48"/>
      <c r="AC652" s="48"/>
      <c r="AD652" s="48"/>
      <c r="AE652" s="48"/>
      <c r="AF652" s="60"/>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56"/>
      <c r="BJ652" s="56"/>
      <c r="BK652" s="56"/>
      <c r="BL652" s="56"/>
      <c r="BM652" s="56"/>
      <c r="BN652" s="56"/>
      <c r="BO652" s="56"/>
      <c r="BP652" s="56"/>
      <c r="BQ652" s="56"/>
      <c r="BR652" s="56"/>
      <c r="BS652" s="56"/>
      <c r="BT652" s="56"/>
      <c r="BU652" s="56"/>
      <c r="BV652" s="56"/>
      <c r="BW652" s="56"/>
      <c r="BX652" s="56"/>
    </row>
    <row r="653">
      <c r="A653" s="48"/>
      <c r="B653" s="48"/>
      <c r="C653" s="48"/>
      <c r="D653" s="48"/>
      <c r="E653" s="48"/>
      <c r="F653" s="48"/>
      <c r="G653" s="48"/>
      <c r="H653" s="48"/>
      <c r="I653" s="48"/>
      <c r="J653" s="48"/>
      <c r="K653" s="64"/>
      <c r="L653" s="64"/>
      <c r="M653" s="48"/>
      <c r="N653" s="48"/>
      <c r="O653" s="48"/>
      <c r="P653" s="48"/>
      <c r="Q653" s="48"/>
      <c r="R653" s="48"/>
      <c r="S653" s="60"/>
      <c r="T653" s="48"/>
      <c r="U653" s="48"/>
      <c r="V653" s="48"/>
      <c r="W653" s="48"/>
      <c r="X653" s="48"/>
      <c r="Y653" s="48"/>
      <c r="Z653" s="48"/>
      <c r="AA653" s="48"/>
      <c r="AB653" s="48"/>
      <c r="AC653" s="48"/>
      <c r="AD653" s="48"/>
      <c r="AE653" s="48"/>
      <c r="AF653" s="60"/>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56"/>
      <c r="BJ653" s="56"/>
      <c r="BK653" s="56"/>
      <c r="BL653" s="56"/>
      <c r="BM653" s="56"/>
      <c r="BN653" s="56"/>
      <c r="BO653" s="56"/>
      <c r="BP653" s="56"/>
      <c r="BQ653" s="56"/>
      <c r="BR653" s="56"/>
      <c r="BS653" s="56"/>
      <c r="BT653" s="56"/>
      <c r="BU653" s="56"/>
      <c r="BV653" s="56"/>
      <c r="BW653" s="56"/>
      <c r="BX653" s="56"/>
    </row>
    <row r="654">
      <c r="A654" s="48"/>
      <c r="B654" s="48"/>
      <c r="C654" s="48"/>
      <c r="D654" s="48"/>
      <c r="E654" s="48"/>
      <c r="F654" s="48"/>
      <c r="G654" s="48"/>
      <c r="H654" s="48"/>
      <c r="I654" s="48"/>
      <c r="J654" s="48"/>
      <c r="K654" s="64"/>
      <c r="L654" s="64"/>
      <c r="M654" s="48"/>
      <c r="N654" s="48"/>
      <c r="O654" s="48"/>
      <c r="P654" s="48"/>
      <c r="Q654" s="48"/>
      <c r="R654" s="48"/>
      <c r="S654" s="60"/>
      <c r="T654" s="48"/>
      <c r="U654" s="48"/>
      <c r="V654" s="48"/>
      <c r="W654" s="48"/>
      <c r="X654" s="48"/>
      <c r="Y654" s="48"/>
      <c r="Z654" s="48"/>
      <c r="AA654" s="48"/>
      <c r="AB654" s="48"/>
      <c r="AC654" s="48"/>
      <c r="AD654" s="48"/>
      <c r="AE654" s="48"/>
      <c r="AF654" s="60"/>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56"/>
      <c r="BJ654" s="56"/>
      <c r="BK654" s="56"/>
      <c r="BL654" s="56"/>
      <c r="BM654" s="56"/>
      <c r="BN654" s="56"/>
      <c r="BO654" s="56"/>
      <c r="BP654" s="56"/>
      <c r="BQ654" s="56"/>
      <c r="BR654" s="56"/>
      <c r="BS654" s="56"/>
      <c r="BT654" s="56"/>
      <c r="BU654" s="56"/>
      <c r="BV654" s="56"/>
      <c r="BW654" s="56"/>
      <c r="BX654" s="56"/>
    </row>
    <row r="655">
      <c r="A655" s="48"/>
      <c r="B655" s="48"/>
      <c r="C655" s="48"/>
      <c r="D655" s="48"/>
      <c r="E655" s="48"/>
      <c r="F655" s="48"/>
      <c r="G655" s="48"/>
      <c r="H655" s="48"/>
      <c r="I655" s="48"/>
      <c r="J655" s="48"/>
      <c r="K655" s="64"/>
      <c r="L655" s="64"/>
      <c r="M655" s="48"/>
      <c r="N655" s="48"/>
      <c r="O655" s="48"/>
      <c r="P655" s="48"/>
      <c r="Q655" s="48"/>
      <c r="R655" s="48"/>
      <c r="S655" s="60"/>
      <c r="T655" s="48"/>
      <c r="U655" s="48"/>
      <c r="V655" s="48"/>
      <c r="W655" s="48"/>
      <c r="X655" s="48"/>
      <c r="Y655" s="48"/>
      <c r="Z655" s="48"/>
      <c r="AA655" s="48"/>
      <c r="AB655" s="48"/>
      <c r="AC655" s="48"/>
      <c r="AD655" s="48"/>
      <c r="AE655" s="48"/>
      <c r="AF655" s="60"/>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56"/>
      <c r="BJ655" s="56"/>
      <c r="BK655" s="56"/>
      <c r="BL655" s="56"/>
      <c r="BM655" s="56"/>
      <c r="BN655" s="56"/>
      <c r="BO655" s="56"/>
      <c r="BP655" s="56"/>
      <c r="BQ655" s="56"/>
      <c r="BR655" s="56"/>
      <c r="BS655" s="56"/>
      <c r="BT655" s="56"/>
      <c r="BU655" s="56"/>
      <c r="BV655" s="56"/>
      <c r="BW655" s="56"/>
      <c r="BX655" s="56"/>
    </row>
    <row r="656">
      <c r="A656" s="48"/>
      <c r="B656" s="48"/>
      <c r="C656" s="48"/>
      <c r="D656" s="48"/>
      <c r="E656" s="48"/>
      <c r="F656" s="48"/>
      <c r="G656" s="48"/>
      <c r="H656" s="48"/>
      <c r="I656" s="48"/>
      <c r="J656" s="48"/>
      <c r="K656" s="64"/>
      <c r="L656" s="64"/>
      <c r="M656" s="48"/>
      <c r="N656" s="48"/>
      <c r="O656" s="48"/>
      <c r="P656" s="48"/>
      <c r="Q656" s="48"/>
      <c r="R656" s="48"/>
      <c r="S656" s="60"/>
      <c r="T656" s="48"/>
      <c r="U656" s="48"/>
      <c r="V656" s="48"/>
      <c r="W656" s="48"/>
      <c r="X656" s="48"/>
      <c r="Y656" s="48"/>
      <c r="Z656" s="48"/>
      <c r="AA656" s="48"/>
      <c r="AB656" s="48"/>
      <c r="AC656" s="48"/>
      <c r="AD656" s="48"/>
      <c r="AE656" s="48"/>
      <c r="AF656" s="60"/>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56"/>
      <c r="BJ656" s="56"/>
      <c r="BK656" s="56"/>
      <c r="BL656" s="56"/>
      <c r="BM656" s="56"/>
      <c r="BN656" s="56"/>
      <c r="BO656" s="56"/>
      <c r="BP656" s="56"/>
      <c r="BQ656" s="56"/>
      <c r="BR656" s="56"/>
      <c r="BS656" s="56"/>
      <c r="BT656" s="56"/>
      <c r="BU656" s="56"/>
      <c r="BV656" s="56"/>
      <c r="BW656" s="56"/>
      <c r="BX656" s="56"/>
    </row>
    <row r="657">
      <c r="A657" s="48"/>
      <c r="B657" s="48"/>
      <c r="C657" s="48"/>
      <c r="D657" s="48"/>
      <c r="E657" s="48"/>
      <c r="F657" s="48"/>
      <c r="G657" s="48"/>
      <c r="H657" s="48"/>
      <c r="I657" s="48"/>
      <c r="J657" s="48"/>
      <c r="K657" s="64"/>
      <c r="L657" s="64"/>
      <c r="M657" s="48"/>
      <c r="N657" s="48"/>
      <c r="O657" s="48"/>
      <c r="P657" s="48"/>
      <c r="Q657" s="48"/>
      <c r="R657" s="48"/>
      <c r="S657" s="60"/>
      <c r="T657" s="48"/>
      <c r="U657" s="48"/>
      <c r="V657" s="48"/>
      <c r="W657" s="48"/>
      <c r="X657" s="48"/>
      <c r="Y657" s="48"/>
      <c r="Z657" s="48"/>
      <c r="AA657" s="48"/>
      <c r="AB657" s="48"/>
      <c r="AC657" s="48"/>
      <c r="AD657" s="48"/>
      <c r="AE657" s="48"/>
      <c r="AF657" s="60"/>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56"/>
      <c r="BJ657" s="56"/>
      <c r="BK657" s="56"/>
      <c r="BL657" s="56"/>
      <c r="BM657" s="56"/>
      <c r="BN657" s="56"/>
      <c r="BO657" s="56"/>
      <c r="BP657" s="56"/>
      <c r="BQ657" s="56"/>
      <c r="BR657" s="56"/>
      <c r="BS657" s="56"/>
      <c r="BT657" s="56"/>
      <c r="BU657" s="56"/>
      <c r="BV657" s="56"/>
      <c r="BW657" s="56"/>
      <c r="BX657" s="56"/>
    </row>
    <row r="658">
      <c r="A658" s="48"/>
      <c r="B658" s="48"/>
      <c r="C658" s="48"/>
      <c r="D658" s="48"/>
      <c r="E658" s="48"/>
      <c r="F658" s="48"/>
      <c r="G658" s="48"/>
      <c r="H658" s="48"/>
      <c r="I658" s="48"/>
      <c r="J658" s="48"/>
      <c r="K658" s="64"/>
      <c r="L658" s="64"/>
      <c r="M658" s="48"/>
      <c r="N658" s="48"/>
      <c r="O658" s="48"/>
      <c r="P658" s="48"/>
      <c r="Q658" s="48"/>
      <c r="R658" s="48"/>
      <c r="S658" s="60"/>
      <c r="T658" s="48"/>
      <c r="U658" s="48"/>
      <c r="V658" s="48"/>
      <c r="W658" s="48"/>
      <c r="X658" s="48"/>
      <c r="Y658" s="48"/>
      <c r="Z658" s="48"/>
      <c r="AA658" s="48"/>
      <c r="AB658" s="48"/>
      <c r="AC658" s="48"/>
      <c r="AD658" s="48"/>
      <c r="AE658" s="48"/>
      <c r="AF658" s="60"/>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56"/>
      <c r="BJ658" s="56"/>
      <c r="BK658" s="56"/>
      <c r="BL658" s="56"/>
      <c r="BM658" s="56"/>
      <c r="BN658" s="56"/>
      <c r="BO658" s="56"/>
      <c r="BP658" s="56"/>
      <c r="BQ658" s="56"/>
      <c r="BR658" s="56"/>
      <c r="BS658" s="56"/>
      <c r="BT658" s="56"/>
      <c r="BU658" s="56"/>
      <c r="BV658" s="56"/>
      <c r="BW658" s="56"/>
      <c r="BX658" s="56"/>
    </row>
    <row r="659">
      <c r="A659" s="48"/>
      <c r="B659" s="48"/>
      <c r="C659" s="48"/>
      <c r="D659" s="48"/>
      <c r="E659" s="48"/>
      <c r="F659" s="48"/>
      <c r="G659" s="48"/>
      <c r="H659" s="48"/>
      <c r="I659" s="48"/>
      <c r="J659" s="48"/>
      <c r="K659" s="64"/>
      <c r="L659" s="64"/>
      <c r="M659" s="48"/>
      <c r="N659" s="48"/>
      <c r="O659" s="48"/>
      <c r="P659" s="48"/>
      <c r="Q659" s="48"/>
      <c r="R659" s="48"/>
      <c r="S659" s="60"/>
      <c r="T659" s="48"/>
      <c r="U659" s="48"/>
      <c r="V659" s="48"/>
      <c r="W659" s="48"/>
      <c r="X659" s="48"/>
      <c r="Y659" s="48"/>
      <c r="Z659" s="48"/>
      <c r="AA659" s="48"/>
      <c r="AB659" s="48"/>
      <c r="AC659" s="48"/>
      <c r="AD659" s="48"/>
      <c r="AE659" s="48"/>
      <c r="AF659" s="60"/>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56"/>
      <c r="BJ659" s="56"/>
      <c r="BK659" s="56"/>
      <c r="BL659" s="56"/>
      <c r="BM659" s="56"/>
      <c r="BN659" s="56"/>
      <c r="BO659" s="56"/>
      <c r="BP659" s="56"/>
      <c r="BQ659" s="56"/>
      <c r="BR659" s="56"/>
      <c r="BS659" s="56"/>
      <c r="BT659" s="56"/>
      <c r="BU659" s="56"/>
      <c r="BV659" s="56"/>
      <c r="BW659" s="56"/>
      <c r="BX659" s="56"/>
    </row>
    <row r="660">
      <c r="A660" s="48"/>
      <c r="B660" s="48"/>
      <c r="C660" s="48"/>
      <c r="D660" s="48"/>
      <c r="E660" s="48"/>
      <c r="F660" s="48"/>
      <c r="G660" s="48"/>
      <c r="H660" s="48"/>
      <c r="I660" s="48"/>
      <c r="J660" s="48"/>
      <c r="K660" s="64"/>
      <c r="L660" s="64"/>
      <c r="M660" s="48"/>
      <c r="N660" s="48"/>
      <c r="O660" s="48"/>
      <c r="P660" s="48"/>
      <c r="Q660" s="48"/>
      <c r="R660" s="48"/>
      <c r="S660" s="60"/>
      <c r="T660" s="48"/>
      <c r="U660" s="48"/>
      <c r="V660" s="48"/>
      <c r="W660" s="48"/>
      <c r="X660" s="48"/>
      <c r="Y660" s="48"/>
      <c r="Z660" s="48"/>
      <c r="AA660" s="48"/>
      <c r="AB660" s="48"/>
      <c r="AC660" s="48"/>
      <c r="AD660" s="48"/>
      <c r="AE660" s="48"/>
      <c r="AF660" s="60"/>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56"/>
      <c r="BJ660" s="56"/>
      <c r="BK660" s="56"/>
      <c r="BL660" s="56"/>
      <c r="BM660" s="56"/>
      <c r="BN660" s="56"/>
      <c r="BO660" s="56"/>
      <c r="BP660" s="56"/>
      <c r="BQ660" s="56"/>
      <c r="BR660" s="56"/>
      <c r="BS660" s="56"/>
      <c r="BT660" s="56"/>
      <c r="BU660" s="56"/>
      <c r="BV660" s="56"/>
      <c r="BW660" s="56"/>
      <c r="BX660" s="56"/>
    </row>
    <row r="661">
      <c r="A661" s="48"/>
      <c r="B661" s="48"/>
      <c r="C661" s="48"/>
      <c r="D661" s="48"/>
      <c r="E661" s="48"/>
      <c r="F661" s="48"/>
      <c r="G661" s="48"/>
      <c r="H661" s="48"/>
      <c r="I661" s="48"/>
      <c r="J661" s="48"/>
      <c r="K661" s="64"/>
      <c r="L661" s="64"/>
      <c r="M661" s="48"/>
      <c r="N661" s="48"/>
      <c r="O661" s="48"/>
      <c r="P661" s="48"/>
      <c r="Q661" s="48"/>
      <c r="R661" s="48"/>
      <c r="S661" s="60"/>
      <c r="T661" s="48"/>
      <c r="U661" s="48"/>
      <c r="V661" s="48"/>
      <c r="W661" s="48"/>
      <c r="X661" s="48"/>
      <c r="Y661" s="48"/>
      <c r="Z661" s="48"/>
      <c r="AA661" s="48"/>
      <c r="AB661" s="48"/>
      <c r="AC661" s="48"/>
      <c r="AD661" s="48"/>
      <c r="AE661" s="48"/>
      <c r="AF661" s="60"/>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56"/>
      <c r="BJ661" s="56"/>
      <c r="BK661" s="56"/>
      <c r="BL661" s="56"/>
      <c r="BM661" s="56"/>
      <c r="BN661" s="56"/>
      <c r="BO661" s="56"/>
      <c r="BP661" s="56"/>
      <c r="BQ661" s="56"/>
      <c r="BR661" s="56"/>
      <c r="BS661" s="56"/>
      <c r="BT661" s="56"/>
      <c r="BU661" s="56"/>
      <c r="BV661" s="56"/>
      <c r="BW661" s="56"/>
      <c r="BX661" s="56"/>
    </row>
    <row r="662">
      <c r="A662" s="48"/>
      <c r="B662" s="48"/>
      <c r="C662" s="48"/>
      <c r="D662" s="48"/>
      <c r="E662" s="48"/>
      <c r="F662" s="48"/>
      <c r="G662" s="48"/>
      <c r="H662" s="48"/>
      <c r="I662" s="48"/>
      <c r="J662" s="48"/>
      <c r="K662" s="64"/>
      <c r="L662" s="64"/>
      <c r="M662" s="48"/>
      <c r="N662" s="48"/>
      <c r="O662" s="48"/>
      <c r="P662" s="48"/>
      <c r="Q662" s="48"/>
      <c r="R662" s="48"/>
      <c r="S662" s="60"/>
      <c r="T662" s="48"/>
      <c r="U662" s="48"/>
      <c r="V662" s="48"/>
      <c r="W662" s="48"/>
      <c r="X662" s="48"/>
      <c r="Y662" s="48"/>
      <c r="Z662" s="48"/>
      <c r="AA662" s="48"/>
      <c r="AB662" s="48"/>
      <c r="AC662" s="48"/>
      <c r="AD662" s="48"/>
      <c r="AE662" s="48"/>
      <c r="AF662" s="60"/>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56"/>
      <c r="BJ662" s="56"/>
      <c r="BK662" s="56"/>
      <c r="BL662" s="56"/>
      <c r="BM662" s="56"/>
      <c r="BN662" s="56"/>
      <c r="BO662" s="56"/>
      <c r="BP662" s="56"/>
      <c r="BQ662" s="56"/>
      <c r="BR662" s="56"/>
      <c r="BS662" s="56"/>
      <c r="BT662" s="56"/>
      <c r="BU662" s="56"/>
      <c r="BV662" s="56"/>
      <c r="BW662" s="56"/>
      <c r="BX662" s="56"/>
    </row>
    <row r="663">
      <c r="A663" s="48"/>
      <c r="B663" s="48"/>
      <c r="C663" s="48"/>
      <c r="D663" s="48"/>
      <c r="E663" s="48"/>
      <c r="F663" s="48"/>
      <c r="G663" s="48"/>
      <c r="H663" s="48"/>
      <c r="I663" s="48"/>
      <c r="J663" s="48"/>
      <c r="K663" s="64"/>
      <c r="L663" s="64"/>
      <c r="M663" s="48"/>
      <c r="N663" s="48"/>
      <c r="O663" s="48"/>
      <c r="P663" s="48"/>
      <c r="Q663" s="48"/>
      <c r="R663" s="48"/>
      <c r="S663" s="60"/>
      <c r="T663" s="48"/>
      <c r="U663" s="48"/>
      <c r="V663" s="48"/>
      <c r="W663" s="48"/>
      <c r="X663" s="48"/>
      <c r="Y663" s="48"/>
      <c r="Z663" s="48"/>
      <c r="AA663" s="48"/>
      <c r="AB663" s="48"/>
      <c r="AC663" s="48"/>
      <c r="AD663" s="48"/>
      <c r="AE663" s="48"/>
      <c r="AF663" s="60"/>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56"/>
      <c r="BJ663" s="56"/>
      <c r="BK663" s="56"/>
      <c r="BL663" s="56"/>
      <c r="BM663" s="56"/>
      <c r="BN663" s="56"/>
      <c r="BO663" s="56"/>
      <c r="BP663" s="56"/>
      <c r="BQ663" s="56"/>
      <c r="BR663" s="56"/>
      <c r="BS663" s="56"/>
      <c r="BT663" s="56"/>
      <c r="BU663" s="56"/>
      <c r="BV663" s="56"/>
      <c r="BW663" s="56"/>
      <c r="BX663" s="56"/>
    </row>
    <row r="664">
      <c r="A664" s="48"/>
      <c r="B664" s="48"/>
      <c r="C664" s="48"/>
      <c r="D664" s="48"/>
      <c r="E664" s="48"/>
      <c r="F664" s="48"/>
      <c r="G664" s="48"/>
      <c r="H664" s="48"/>
      <c r="I664" s="48"/>
      <c r="J664" s="48"/>
      <c r="K664" s="64"/>
      <c r="L664" s="64"/>
      <c r="M664" s="48"/>
      <c r="N664" s="48"/>
      <c r="O664" s="48"/>
      <c r="P664" s="48"/>
      <c r="Q664" s="48"/>
      <c r="R664" s="48"/>
      <c r="S664" s="60"/>
      <c r="T664" s="48"/>
      <c r="U664" s="48"/>
      <c r="V664" s="48"/>
      <c r="W664" s="48"/>
      <c r="X664" s="48"/>
      <c r="Y664" s="48"/>
      <c r="Z664" s="48"/>
      <c r="AA664" s="48"/>
      <c r="AB664" s="48"/>
      <c r="AC664" s="48"/>
      <c r="AD664" s="48"/>
      <c r="AE664" s="48"/>
      <c r="AF664" s="60"/>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56"/>
      <c r="BJ664" s="56"/>
      <c r="BK664" s="56"/>
      <c r="BL664" s="56"/>
      <c r="BM664" s="56"/>
      <c r="BN664" s="56"/>
      <c r="BO664" s="56"/>
      <c r="BP664" s="56"/>
      <c r="BQ664" s="56"/>
      <c r="BR664" s="56"/>
      <c r="BS664" s="56"/>
      <c r="BT664" s="56"/>
      <c r="BU664" s="56"/>
      <c r="BV664" s="56"/>
      <c r="BW664" s="56"/>
      <c r="BX664" s="56"/>
    </row>
    <row r="665">
      <c r="A665" s="48"/>
      <c r="B665" s="48"/>
      <c r="C665" s="48"/>
      <c r="D665" s="48"/>
      <c r="E665" s="48"/>
      <c r="F665" s="48"/>
      <c r="G665" s="48"/>
      <c r="H665" s="48"/>
      <c r="I665" s="48"/>
      <c r="J665" s="48"/>
      <c r="K665" s="64"/>
      <c r="L665" s="64"/>
      <c r="M665" s="48"/>
      <c r="N665" s="48"/>
      <c r="O665" s="48"/>
      <c r="P665" s="48"/>
      <c r="Q665" s="48"/>
      <c r="R665" s="48"/>
      <c r="S665" s="60"/>
      <c r="T665" s="48"/>
      <c r="U665" s="48"/>
      <c r="V665" s="48"/>
      <c r="W665" s="48"/>
      <c r="X665" s="48"/>
      <c r="Y665" s="48"/>
      <c r="Z665" s="48"/>
      <c r="AA665" s="48"/>
      <c r="AB665" s="48"/>
      <c r="AC665" s="48"/>
      <c r="AD665" s="48"/>
      <c r="AE665" s="48"/>
      <c r="AF665" s="60"/>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56"/>
      <c r="BJ665" s="56"/>
      <c r="BK665" s="56"/>
      <c r="BL665" s="56"/>
      <c r="BM665" s="56"/>
      <c r="BN665" s="56"/>
      <c r="BO665" s="56"/>
      <c r="BP665" s="56"/>
      <c r="BQ665" s="56"/>
      <c r="BR665" s="56"/>
      <c r="BS665" s="56"/>
      <c r="BT665" s="56"/>
      <c r="BU665" s="56"/>
      <c r="BV665" s="56"/>
      <c r="BW665" s="56"/>
      <c r="BX665" s="56"/>
    </row>
    <row r="666">
      <c r="A666" s="48"/>
      <c r="B666" s="48"/>
      <c r="C666" s="48"/>
      <c r="D666" s="48"/>
      <c r="E666" s="48"/>
      <c r="F666" s="48"/>
      <c r="G666" s="48"/>
      <c r="H666" s="48"/>
      <c r="I666" s="48"/>
      <c r="J666" s="48"/>
      <c r="K666" s="64"/>
      <c r="L666" s="64"/>
      <c r="M666" s="48"/>
      <c r="N666" s="48"/>
      <c r="O666" s="48"/>
      <c r="P666" s="48"/>
      <c r="Q666" s="48"/>
      <c r="R666" s="48"/>
      <c r="S666" s="60"/>
      <c r="T666" s="48"/>
      <c r="U666" s="48"/>
      <c r="V666" s="48"/>
      <c r="W666" s="48"/>
      <c r="X666" s="48"/>
      <c r="Y666" s="48"/>
      <c r="Z666" s="48"/>
      <c r="AA666" s="48"/>
      <c r="AB666" s="48"/>
      <c r="AC666" s="48"/>
      <c r="AD666" s="48"/>
      <c r="AE666" s="48"/>
      <c r="AF666" s="60"/>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56"/>
      <c r="BJ666" s="56"/>
      <c r="BK666" s="56"/>
      <c r="BL666" s="56"/>
      <c r="BM666" s="56"/>
      <c r="BN666" s="56"/>
      <c r="BO666" s="56"/>
      <c r="BP666" s="56"/>
      <c r="BQ666" s="56"/>
      <c r="BR666" s="56"/>
      <c r="BS666" s="56"/>
      <c r="BT666" s="56"/>
      <c r="BU666" s="56"/>
      <c r="BV666" s="56"/>
      <c r="BW666" s="56"/>
      <c r="BX666" s="56"/>
    </row>
    <row r="667">
      <c r="A667" s="48"/>
      <c r="B667" s="48"/>
      <c r="C667" s="48"/>
      <c r="D667" s="48"/>
      <c r="E667" s="48"/>
      <c r="F667" s="48"/>
      <c r="G667" s="48"/>
      <c r="H667" s="48"/>
      <c r="I667" s="48"/>
      <c r="J667" s="48"/>
      <c r="K667" s="64"/>
      <c r="L667" s="64"/>
      <c r="M667" s="48"/>
      <c r="N667" s="48"/>
      <c r="O667" s="48"/>
      <c r="P667" s="48"/>
      <c r="Q667" s="48"/>
      <c r="R667" s="48"/>
      <c r="S667" s="60"/>
      <c r="T667" s="48"/>
      <c r="U667" s="48"/>
      <c r="V667" s="48"/>
      <c r="W667" s="48"/>
      <c r="X667" s="48"/>
      <c r="Y667" s="48"/>
      <c r="Z667" s="48"/>
      <c r="AA667" s="48"/>
      <c r="AB667" s="48"/>
      <c r="AC667" s="48"/>
      <c r="AD667" s="48"/>
      <c r="AE667" s="48"/>
      <c r="AF667" s="60"/>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56"/>
      <c r="BJ667" s="56"/>
      <c r="BK667" s="56"/>
      <c r="BL667" s="56"/>
      <c r="BM667" s="56"/>
      <c r="BN667" s="56"/>
      <c r="BO667" s="56"/>
      <c r="BP667" s="56"/>
      <c r="BQ667" s="56"/>
      <c r="BR667" s="56"/>
      <c r="BS667" s="56"/>
      <c r="BT667" s="56"/>
      <c r="BU667" s="56"/>
      <c r="BV667" s="56"/>
      <c r="BW667" s="56"/>
      <c r="BX667" s="56"/>
    </row>
    <row r="668">
      <c r="A668" s="48"/>
      <c r="B668" s="48"/>
      <c r="C668" s="48"/>
      <c r="D668" s="48"/>
      <c r="E668" s="48"/>
      <c r="F668" s="48"/>
      <c r="G668" s="48"/>
      <c r="H668" s="48"/>
      <c r="I668" s="48"/>
      <c r="J668" s="48"/>
      <c r="K668" s="64"/>
      <c r="L668" s="64"/>
      <c r="M668" s="48"/>
      <c r="N668" s="48"/>
      <c r="O668" s="48"/>
      <c r="P668" s="48"/>
      <c r="Q668" s="48"/>
      <c r="R668" s="48"/>
      <c r="S668" s="60"/>
      <c r="T668" s="48"/>
      <c r="U668" s="48"/>
      <c r="V668" s="48"/>
      <c r="W668" s="48"/>
      <c r="X668" s="48"/>
      <c r="Y668" s="48"/>
      <c r="Z668" s="48"/>
      <c r="AA668" s="48"/>
      <c r="AB668" s="48"/>
      <c r="AC668" s="48"/>
      <c r="AD668" s="48"/>
      <c r="AE668" s="48"/>
      <c r="AF668" s="60"/>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56"/>
      <c r="BJ668" s="56"/>
      <c r="BK668" s="56"/>
      <c r="BL668" s="56"/>
      <c r="BM668" s="56"/>
      <c r="BN668" s="56"/>
      <c r="BO668" s="56"/>
      <c r="BP668" s="56"/>
      <c r="BQ668" s="56"/>
      <c r="BR668" s="56"/>
      <c r="BS668" s="56"/>
      <c r="BT668" s="56"/>
      <c r="BU668" s="56"/>
      <c r="BV668" s="56"/>
      <c r="BW668" s="56"/>
      <c r="BX668" s="56"/>
    </row>
    <row r="669">
      <c r="A669" s="48"/>
      <c r="B669" s="48"/>
      <c r="C669" s="48"/>
      <c r="D669" s="48"/>
      <c r="E669" s="48"/>
      <c r="F669" s="48"/>
      <c r="G669" s="48"/>
      <c r="H669" s="48"/>
      <c r="I669" s="48"/>
      <c r="J669" s="48"/>
      <c r="K669" s="64"/>
      <c r="L669" s="64"/>
      <c r="M669" s="48"/>
      <c r="N669" s="48"/>
      <c r="O669" s="48"/>
      <c r="P669" s="48"/>
      <c r="Q669" s="48"/>
      <c r="R669" s="48"/>
      <c r="S669" s="60"/>
      <c r="T669" s="48"/>
      <c r="U669" s="48"/>
      <c r="V669" s="48"/>
      <c r="W669" s="48"/>
      <c r="X669" s="48"/>
      <c r="Y669" s="48"/>
      <c r="Z669" s="48"/>
      <c r="AA669" s="48"/>
      <c r="AB669" s="48"/>
      <c r="AC669" s="48"/>
      <c r="AD669" s="48"/>
      <c r="AE669" s="48"/>
      <c r="AF669" s="60"/>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56"/>
      <c r="BJ669" s="56"/>
      <c r="BK669" s="56"/>
      <c r="BL669" s="56"/>
      <c r="BM669" s="56"/>
      <c r="BN669" s="56"/>
      <c r="BO669" s="56"/>
      <c r="BP669" s="56"/>
      <c r="BQ669" s="56"/>
      <c r="BR669" s="56"/>
      <c r="BS669" s="56"/>
      <c r="BT669" s="56"/>
      <c r="BU669" s="56"/>
      <c r="BV669" s="56"/>
      <c r="BW669" s="56"/>
      <c r="BX669" s="56"/>
    </row>
    <row r="670">
      <c r="A670" s="48"/>
      <c r="B670" s="48"/>
      <c r="C670" s="48"/>
      <c r="D670" s="48"/>
      <c r="E670" s="48"/>
      <c r="F670" s="48"/>
      <c r="G670" s="48"/>
      <c r="H670" s="48"/>
      <c r="I670" s="48"/>
      <c r="J670" s="48"/>
      <c r="K670" s="64"/>
      <c r="L670" s="64"/>
      <c r="M670" s="48"/>
      <c r="N670" s="48"/>
      <c r="O670" s="48"/>
      <c r="P670" s="48"/>
      <c r="Q670" s="48"/>
      <c r="R670" s="48"/>
      <c r="S670" s="60"/>
      <c r="T670" s="48"/>
      <c r="U670" s="48"/>
      <c r="V670" s="48"/>
      <c r="W670" s="48"/>
      <c r="X670" s="48"/>
      <c r="Y670" s="48"/>
      <c r="Z670" s="48"/>
      <c r="AA670" s="48"/>
      <c r="AB670" s="48"/>
      <c r="AC670" s="48"/>
      <c r="AD670" s="48"/>
      <c r="AE670" s="48"/>
      <c r="AF670" s="60"/>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56"/>
      <c r="BJ670" s="56"/>
      <c r="BK670" s="56"/>
      <c r="BL670" s="56"/>
      <c r="BM670" s="56"/>
      <c r="BN670" s="56"/>
      <c r="BO670" s="56"/>
      <c r="BP670" s="56"/>
      <c r="BQ670" s="56"/>
      <c r="BR670" s="56"/>
      <c r="BS670" s="56"/>
      <c r="BT670" s="56"/>
      <c r="BU670" s="56"/>
      <c r="BV670" s="56"/>
      <c r="BW670" s="56"/>
      <c r="BX670" s="56"/>
    </row>
    <row r="671">
      <c r="A671" s="48"/>
      <c r="B671" s="48"/>
      <c r="C671" s="48"/>
      <c r="D671" s="48"/>
      <c r="E671" s="48"/>
      <c r="F671" s="48"/>
      <c r="G671" s="48"/>
      <c r="H671" s="48"/>
      <c r="I671" s="48"/>
      <c r="J671" s="48"/>
      <c r="K671" s="64"/>
      <c r="L671" s="64"/>
      <c r="M671" s="48"/>
      <c r="N671" s="48"/>
      <c r="O671" s="48"/>
      <c r="P671" s="48"/>
      <c r="Q671" s="48"/>
      <c r="R671" s="48"/>
      <c r="S671" s="60"/>
      <c r="T671" s="48"/>
      <c r="U671" s="48"/>
      <c r="V671" s="48"/>
      <c r="W671" s="48"/>
      <c r="X671" s="48"/>
      <c r="Y671" s="48"/>
      <c r="Z671" s="48"/>
      <c r="AA671" s="48"/>
      <c r="AB671" s="48"/>
      <c r="AC671" s="48"/>
      <c r="AD671" s="48"/>
      <c r="AE671" s="48"/>
      <c r="AF671" s="60"/>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56"/>
      <c r="BJ671" s="56"/>
      <c r="BK671" s="56"/>
      <c r="BL671" s="56"/>
      <c r="BM671" s="56"/>
      <c r="BN671" s="56"/>
      <c r="BO671" s="56"/>
      <c r="BP671" s="56"/>
      <c r="BQ671" s="56"/>
      <c r="BR671" s="56"/>
      <c r="BS671" s="56"/>
      <c r="BT671" s="56"/>
      <c r="BU671" s="56"/>
      <c r="BV671" s="56"/>
      <c r="BW671" s="56"/>
      <c r="BX671" s="56"/>
    </row>
    <row r="672">
      <c r="A672" s="48"/>
      <c r="B672" s="48"/>
      <c r="C672" s="48"/>
      <c r="D672" s="48"/>
      <c r="E672" s="48"/>
      <c r="F672" s="48"/>
      <c r="G672" s="48"/>
      <c r="H672" s="48"/>
      <c r="I672" s="48"/>
      <c r="J672" s="48"/>
      <c r="K672" s="64"/>
      <c r="L672" s="64"/>
      <c r="M672" s="48"/>
      <c r="N672" s="48"/>
      <c r="O672" s="48"/>
      <c r="P672" s="48"/>
      <c r="Q672" s="48"/>
      <c r="R672" s="48"/>
      <c r="S672" s="60"/>
      <c r="T672" s="48"/>
      <c r="U672" s="48"/>
      <c r="V672" s="48"/>
      <c r="W672" s="48"/>
      <c r="X672" s="48"/>
      <c r="Y672" s="48"/>
      <c r="Z672" s="48"/>
      <c r="AA672" s="48"/>
      <c r="AB672" s="48"/>
      <c r="AC672" s="48"/>
      <c r="AD672" s="48"/>
      <c r="AE672" s="48"/>
      <c r="AF672" s="60"/>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56"/>
      <c r="BJ672" s="56"/>
      <c r="BK672" s="56"/>
      <c r="BL672" s="56"/>
      <c r="BM672" s="56"/>
      <c r="BN672" s="56"/>
      <c r="BO672" s="56"/>
      <c r="BP672" s="56"/>
      <c r="BQ672" s="56"/>
      <c r="BR672" s="56"/>
      <c r="BS672" s="56"/>
      <c r="BT672" s="56"/>
      <c r="BU672" s="56"/>
      <c r="BV672" s="56"/>
      <c r="BW672" s="56"/>
      <c r="BX672" s="56"/>
    </row>
    <row r="673">
      <c r="A673" s="48"/>
      <c r="B673" s="48"/>
      <c r="C673" s="48"/>
      <c r="D673" s="48"/>
      <c r="E673" s="48"/>
      <c r="F673" s="48"/>
      <c r="G673" s="48"/>
      <c r="H673" s="48"/>
      <c r="I673" s="48"/>
      <c r="J673" s="48"/>
      <c r="K673" s="64"/>
      <c r="L673" s="64"/>
      <c r="M673" s="48"/>
      <c r="N673" s="48"/>
      <c r="O673" s="48"/>
      <c r="P673" s="48"/>
      <c r="Q673" s="48"/>
      <c r="R673" s="48"/>
      <c r="S673" s="60"/>
      <c r="T673" s="48"/>
      <c r="U673" s="48"/>
      <c r="V673" s="48"/>
      <c r="W673" s="48"/>
      <c r="X673" s="48"/>
      <c r="Y673" s="48"/>
      <c r="Z673" s="48"/>
      <c r="AA673" s="48"/>
      <c r="AB673" s="48"/>
      <c r="AC673" s="48"/>
      <c r="AD673" s="48"/>
      <c r="AE673" s="48"/>
      <c r="AF673" s="60"/>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56"/>
      <c r="BJ673" s="56"/>
      <c r="BK673" s="56"/>
      <c r="BL673" s="56"/>
      <c r="BM673" s="56"/>
      <c r="BN673" s="56"/>
      <c r="BO673" s="56"/>
      <c r="BP673" s="56"/>
      <c r="BQ673" s="56"/>
      <c r="BR673" s="56"/>
      <c r="BS673" s="56"/>
      <c r="BT673" s="56"/>
      <c r="BU673" s="56"/>
      <c r="BV673" s="56"/>
      <c r="BW673" s="56"/>
      <c r="BX673" s="56"/>
    </row>
    <row r="674">
      <c r="A674" s="48"/>
      <c r="B674" s="48"/>
      <c r="C674" s="48"/>
      <c r="D674" s="48"/>
      <c r="E674" s="48"/>
      <c r="F674" s="48"/>
      <c r="G674" s="48"/>
      <c r="H674" s="48"/>
      <c r="I674" s="48"/>
      <c r="J674" s="48"/>
      <c r="K674" s="64"/>
      <c r="L674" s="64"/>
      <c r="M674" s="48"/>
      <c r="N674" s="48"/>
      <c r="O674" s="48"/>
      <c r="P674" s="48"/>
      <c r="Q674" s="48"/>
      <c r="R674" s="48"/>
      <c r="S674" s="60"/>
      <c r="T674" s="48"/>
      <c r="U674" s="48"/>
      <c r="V674" s="48"/>
      <c r="W674" s="48"/>
      <c r="X674" s="48"/>
      <c r="Y674" s="48"/>
      <c r="Z674" s="48"/>
      <c r="AA674" s="48"/>
      <c r="AB674" s="48"/>
      <c r="AC674" s="48"/>
      <c r="AD674" s="48"/>
      <c r="AE674" s="48"/>
      <c r="AF674" s="60"/>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56"/>
      <c r="BJ674" s="56"/>
      <c r="BK674" s="56"/>
      <c r="BL674" s="56"/>
      <c r="BM674" s="56"/>
      <c r="BN674" s="56"/>
      <c r="BO674" s="56"/>
      <c r="BP674" s="56"/>
      <c r="BQ674" s="56"/>
      <c r="BR674" s="56"/>
      <c r="BS674" s="56"/>
      <c r="BT674" s="56"/>
      <c r="BU674" s="56"/>
      <c r="BV674" s="56"/>
      <c r="BW674" s="56"/>
      <c r="BX674" s="56"/>
    </row>
    <row r="675">
      <c r="A675" s="48"/>
      <c r="B675" s="48"/>
      <c r="C675" s="48"/>
      <c r="D675" s="48"/>
      <c r="E675" s="48"/>
      <c r="F675" s="48"/>
      <c r="G675" s="48"/>
      <c r="H675" s="48"/>
      <c r="I675" s="48"/>
      <c r="J675" s="48"/>
      <c r="K675" s="64"/>
      <c r="L675" s="64"/>
      <c r="M675" s="48"/>
      <c r="N675" s="48"/>
      <c r="O675" s="48"/>
      <c r="P675" s="48"/>
      <c r="Q675" s="48"/>
      <c r="R675" s="48"/>
      <c r="S675" s="60"/>
      <c r="T675" s="48"/>
      <c r="U675" s="48"/>
      <c r="V675" s="48"/>
      <c r="W675" s="48"/>
      <c r="X675" s="48"/>
      <c r="Y675" s="48"/>
      <c r="Z675" s="48"/>
      <c r="AA675" s="48"/>
      <c r="AB675" s="48"/>
      <c r="AC675" s="48"/>
      <c r="AD675" s="48"/>
      <c r="AE675" s="48"/>
      <c r="AF675" s="60"/>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56"/>
      <c r="BJ675" s="56"/>
      <c r="BK675" s="56"/>
      <c r="BL675" s="56"/>
      <c r="BM675" s="56"/>
      <c r="BN675" s="56"/>
      <c r="BO675" s="56"/>
      <c r="BP675" s="56"/>
      <c r="BQ675" s="56"/>
      <c r="BR675" s="56"/>
      <c r="BS675" s="56"/>
      <c r="BT675" s="56"/>
      <c r="BU675" s="56"/>
      <c r="BV675" s="56"/>
      <c r="BW675" s="56"/>
      <c r="BX675" s="56"/>
    </row>
    <row r="676">
      <c r="A676" s="48"/>
      <c r="B676" s="48"/>
      <c r="C676" s="48"/>
      <c r="D676" s="48"/>
      <c r="E676" s="48"/>
      <c r="F676" s="48"/>
      <c r="G676" s="48"/>
      <c r="H676" s="48"/>
      <c r="I676" s="48"/>
      <c r="J676" s="48"/>
      <c r="K676" s="64"/>
      <c r="L676" s="64"/>
      <c r="M676" s="48"/>
      <c r="N676" s="48"/>
      <c r="O676" s="48"/>
      <c r="P676" s="48"/>
      <c r="Q676" s="48"/>
      <c r="R676" s="48"/>
      <c r="S676" s="60"/>
      <c r="T676" s="48"/>
      <c r="U676" s="48"/>
      <c r="V676" s="48"/>
      <c r="W676" s="48"/>
      <c r="X676" s="48"/>
      <c r="Y676" s="48"/>
      <c r="Z676" s="48"/>
      <c r="AA676" s="48"/>
      <c r="AB676" s="48"/>
      <c r="AC676" s="48"/>
      <c r="AD676" s="48"/>
      <c r="AE676" s="48"/>
      <c r="AF676" s="60"/>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56"/>
      <c r="BJ676" s="56"/>
      <c r="BK676" s="56"/>
      <c r="BL676" s="56"/>
      <c r="BM676" s="56"/>
      <c r="BN676" s="56"/>
      <c r="BO676" s="56"/>
      <c r="BP676" s="56"/>
      <c r="BQ676" s="56"/>
      <c r="BR676" s="56"/>
      <c r="BS676" s="56"/>
      <c r="BT676" s="56"/>
      <c r="BU676" s="56"/>
      <c r="BV676" s="56"/>
      <c r="BW676" s="56"/>
      <c r="BX676" s="56"/>
    </row>
    <row r="677">
      <c r="A677" s="48"/>
      <c r="B677" s="48"/>
      <c r="C677" s="48"/>
      <c r="D677" s="48"/>
      <c r="E677" s="48"/>
      <c r="F677" s="48"/>
      <c r="G677" s="48"/>
      <c r="H677" s="48"/>
      <c r="I677" s="48"/>
      <c r="J677" s="48"/>
      <c r="K677" s="64"/>
      <c r="L677" s="64"/>
      <c r="M677" s="48"/>
      <c r="N677" s="48"/>
      <c r="O677" s="48"/>
      <c r="P677" s="48"/>
      <c r="Q677" s="48"/>
      <c r="R677" s="48"/>
      <c r="S677" s="60"/>
      <c r="T677" s="48"/>
      <c r="U677" s="48"/>
      <c r="V677" s="48"/>
      <c r="W677" s="48"/>
      <c r="X677" s="48"/>
      <c r="Y677" s="48"/>
      <c r="Z677" s="48"/>
      <c r="AA677" s="48"/>
      <c r="AB677" s="48"/>
      <c r="AC677" s="48"/>
      <c r="AD677" s="48"/>
      <c r="AE677" s="48"/>
      <c r="AF677" s="60"/>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56"/>
      <c r="BJ677" s="56"/>
      <c r="BK677" s="56"/>
      <c r="BL677" s="56"/>
      <c r="BM677" s="56"/>
      <c r="BN677" s="56"/>
      <c r="BO677" s="56"/>
      <c r="BP677" s="56"/>
      <c r="BQ677" s="56"/>
      <c r="BR677" s="56"/>
      <c r="BS677" s="56"/>
      <c r="BT677" s="56"/>
      <c r="BU677" s="56"/>
      <c r="BV677" s="56"/>
      <c r="BW677" s="56"/>
      <c r="BX677" s="56"/>
    </row>
    <row r="678">
      <c r="A678" s="48"/>
      <c r="B678" s="48"/>
      <c r="C678" s="48"/>
      <c r="D678" s="48"/>
      <c r="E678" s="48"/>
      <c r="F678" s="48"/>
      <c r="G678" s="48"/>
      <c r="H678" s="48"/>
      <c r="I678" s="48"/>
      <c r="J678" s="48"/>
      <c r="K678" s="64"/>
      <c r="L678" s="64"/>
      <c r="M678" s="48"/>
      <c r="N678" s="48"/>
      <c r="O678" s="48"/>
      <c r="P678" s="48"/>
      <c r="Q678" s="48"/>
      <c r="R678" s="48"/>
      <c r="S678" s="60"/>
      <c r="T678" s="48"/>
      <c r="U678" s="48"/>
      <c r="V678" s="48"/>
      <c r="W678" s="48"/>
      <c r="X678" s="48"/>
      <c r="Y678" s="48"/>
      <c r="Z678" s="48"/>
      <c r="AA678" s="48"/>
      <c r="AB678" s="48"/>
      <c r="AC678" s="48"/>
      <c r="AD678" s="48"/>
      <c r="AE678" s="48"/>
      <c r="AF678" s="60"/>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56"/>
      <c r="BJ678" s="56"/>
      <c r="BK678" s="56"/>
      <c r="BL678" s="56"/>
      <c r="BM678" s="56"/>
      <c r="BN678" s="56"/>
      <c r="BO678" s="56"/>
      <c r="BP678" s="56"/>
      <c r="BQ678" s="56"/>
      <c r="BR678" s="56"/>
      <c r="BS678" s="56"/>
      <c r="BT678" s="56"/>
      <c r="BU678" s="56"/>
      <c r="BV678" s="56"/>
      <c r="BW678" s="56"/>
      <c r="BX678" s="56"/>
    </row>
    <row r="679">
      <c r="A679" s="48"/>
      <c r="B679" s="48"/>
      <c r="C679" s="48"/>
      <c r="D679" s="48"/>
      <c r="E679" s="48"/>
      <c r="F679" s="48"/>
      <c r="G679" s="48"/>
      <c r="H679" s="48"/>
      <c r="I679" s="48"/>
      <c r="J679" s="48"/>
      <c r="K679" s="64"/>
      <c r="L679" s="64"/>
      <c r="M679" s="48"/>
      <c r="N679" s="48"/>
      <c r="O679" s="48"/>
      <c r="P679" s="48"/>
      <c r="Q679" s="48"/>
      <c r="R679" s="48"/>
      <c r="S679" s="60"/>
      <c r="T679" s="48"/>
      <c r="U679" s="48"/>
      <c r="V679" s="48"/>
      <c r="W679" s="48"/>
      <c r="X679" s="48"/>
      <c r="Y679" s="48"/>
      <c r="Z679" s="48"/>
      <c r="AA679" s="48"/>
      <c r="AB679" s="48"/>
      <c r="AC679" s="48"/>
      <c r="AD679" s="48"/>
      <c r="AE679" s="48"/>
      <c r="AF679" s="60"/>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56"/>
      <c r="BJ679" s="56"/>
      <c r="BK679" s="56"/>
      <c r="BL679" s="56"/>
      <c r="BM679" s="56"/>
      <c r="BN679" s="56"/>
      <c r="BO679" s="56"/>
      <c r="BP679" s="56"/>
      <c r="BQ679" s="56"/>
      <c r="BR679" s="56"/>
      <c r="BS679" s="56"/>
      <c r="BT679" s="56"/>
      <c r="BU679" s="56"/>
      <c r="BV679" s="56"/>
      <c r="BW679" s="56"/>
      <c r="BX679" s="56"/>
    </row>
    <row r="680">
      <c r="A680" s="48"/>
      <c r="B680" s="48"/>
      <c r="C680" s="48"/>
      <c r="D680" s="48"/>
      <c r="E680" s="48"/>
      <c r="F680" s="48"/>
      <c r="G680" s="48"/>
      <c r="H680" s="48"/>
      <c r="I680" s="48"/>
      <c r="J680" s="48"/>
      <c r="K680" s="64"/>
      <c r="L680" s="64"/>
      <c r="M680" s="48"/>
      <c r="N680" s="48"/>
      <c r="O680" s="48"/>
      <c r="P680" s="48"/>
      <c r="Q680" s="48"/>
      <c r="R680" s="48"/>
      <c r="S680" s="60"/>
      <c r="T680" s="48"/>
      <c r="U680" s="48"/>
      <c r="V680" s="48"/>
      <c r="W680" s="48"/>
      <c r="X680" s="48"/>
      <c r="Y680" s="48"/>
      <c r="Z680" s="48"/>
      <c r="AA680" s="48"/>
      <c r="AB680" s="48"/>
      <c r="AC680" s="48"/>
      <c r="AD680" s="48"/>
      <c r="AE680" s="48"/>
      <c r="AF680" s="60"/>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56"/>
      <c r="BJ680" s="56"/>
      <c r="BK680" s="56"/>
      <c r="BL680" s="56"/>
      <c r="BM680" s="56"/>
      <c r="BN680" s="56"/>
      <c r="BO680" s="56"/>
      <c r="BP680" s="56"/>
      <c r="BQ680" s="56"/>
      <c r="BR680" s="56"/>
      <c r="BS680" s="56"/>
      <c r="BT680" s="56"/>
      <c r="BU680" s="56"/>
      <c r="BV680" s="56"/>
      <c r="BW680" s="56"/>
      <c r="BX680" s="56"/>
    </row>
    <row r="681">
      <c r="A681" s="48"/>
      <c r="B681" s="48"/>
      <c r="C681" s="48"/>
      <c r="D681" s="48"/>
      <c r="E681" s="48"/>
      <c r="F681" s="48"/>
      <c r="G681" s="48"/>
      <c r="H681" s="48"/>
      <c r="I681" s="48"/>
      <c r="J681" s="48"/>
      <c r="K681" s="64"/>
      <c r="L681" s="64"/>
      <c r="M681" s="48"/>
      <c r="N681" s="48"/>
      <c r="O681" s="48"/>
      <c r="P681" s="48"/>
      <c r="Q681" s="48"/>
      <c r="R681" s="48"/>
      <c r="S681" s="60"/>
      <c r="T681" s="48"/>
      <c r="U681" s="48"/>
      <c r="V681" s="48"/>
      <c r="W681" s="48"/>
      <c r="X681" s="48"/>
      <c r="Y681" s="48"/>
      <c r="Z681" s="48"/>
      <c r="AA681" s="48"/>
      <c r="AB681" s="48"/>
      <c r="AC681" s="48"/>
      <c r="AD681" s="48"/>
      <c r="AE681" s="48"/>
      <c r="AF681" s="60"/>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56"/>
      <c r="BJ681" s="56"/>
      <c r="BK681" s="56"/>
      <c r="BL681" s="56"/>
      <c r="BM681" s="56"/>
      <c r="BN681" s="56"/>
      <c r="BO681" s="56"/>
      <c r="BP681" s="56"/>
      <c r="BQ681" s="56"/>
      <c r="BR681" s="56"/>
      <c r="BS681" s="56"/>
      <c r="BT681" s="56"/>
      <c r="BU681" s="56"/>
      <c r="BV681" s="56"/>
      <c r="BW681" s="56"/>
      <c r="BX681" s="56"/>
    </row>
    <row r="682">
      <c r="A682" s="48"/>
      <c r="B682" s="48"/>
      <c r="C682" s="48"/>
      <c r="D682" s="48"/>
      <c r="E682" s="48"/>
      <c r="F682" s="48"/>
      <c r="G682" s="48"/>
      <c r="H682" s="48"/>
      <c r="I682" s="48"/>
      <c r="J682" s="48"/>
      <c r="K682" s="64"/>
      <c r="L682" s="64"/>
      <c r="M682" s="48"/>
      <c r="N682" s="48"/>
      <c r="O682" s="48"/>
      <c r="P682" s="48"/>
      <c r="Q682" s="48"/>
      <c r="R682" s="48"/>
      <c r="S682" s="60"/>
      <c r="T682" s="48"/>
      <c r="U682" s="48"/>
      <c r="V682" s="48"/>
      <c r="W682" s="48"/>
      <c r="X682" s="48"/>
      <c r="Y682" s="48"/>
      <c r="Z682" s="48"/>
      <c r="AA682" s="48"/>
      <c r="AB682" s="48"/>
      <c r="AC682" s="48"/>
      <c r="AD682" s="48"/>
      <c r="AE682" s="48"/>
      <c r="AF682" s="60"/>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56"/>
      <c r="BJ682" s="56"/>
      <c r="BK682" s="56"/>
      <c r="BL682" s="56"/>
      <c r="BM682" s="56"/>
      <c r="BN682" s="56"/>
      <c r="BO682" s="56"/>
      <c r="BP682" s="56"/>
      <c r="BQ682" s="56"/>
      <c r="BR682" s="56"/>
      <c r="BS682" s="56"/>
      <c r="BT682" s="56"/>
      <c r="BU682" s="56"/>
      <c r="BV682" s="56"/>
      <c r="BW682" s="56"/>
      <c r="BX682" s="56"/>
    </row>
    <row r="683">
      <c r="A683" s="48"/>
      <c r="B683" s="48"/>
      <c r="C683" s="48"/>
      <c r="D683" s="48"/>
      <c r="E683" s="48"/>
      <c r="F683" s="48"/>
      <c r="G683" s="48"/>
      <c r="H683" s="48"/>
      <c r="I683" s="48"/>
      <c r="J683" s="48"/>
      <c r="K683" s="64"/>
      <c r="L683" s="64"/>
      <c r="M683" s="48"/>
      <c r="N683" s="48"/>
      <c r="O683" s="48"/>
      <c r="P683" s="48"/>
      <c r="Q683" s="48"/>
      <c r="R683" s="48"/>
      <c r="S683" s="60"/>
      <c r="T683" s="48"/>
      <c r="U683" s="48"/>
      <c r="V683" s="48"/>
      <c r="W683" s="48"/>
      <c r="X683" s="48"/>
      <c r="Y683" s="48"/>
      <c r="Z683" s="48"/>
      <c r="AA683" s="48"/>
      <c r="AB683" s="48"/>
      <c r="AC683" s="48"/>
      <c r="AD683" s="48"/>
      <c r="AE683" s="48"/>
      <c r="AF683" s="60"/>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56"/>
      <c r="BJ683" s="56"/>
      <c r="BK683" s="56"/>
      <c r="BL683" s="56"/>
      <c r="BM683" s="56"/>
      <c r="BN683" s="56"/>
      <c r="BO683" s="56"/>
      <c r="BP683" s="56"/>
      <c r="BQ683" s="56"/>
      <c r="BR683" s="56"/>
      <c r="BS683" s="56"/>
      <c r="BT683" s="56"/>
      <c r="BU683" s="56"/>
      <c r="BV683" s="56"/>
      <c r="BW683" s="56"/>
      <c r="BX683" s="56"/>
    </row>
    <row r="684">
      <c r="A684" s="48"/>
      <c r="B684" s="48"/>
      <c r="C684" s="48"/>
      <c r="D684" s="48"/>
      <c r="E684" s="48"/>
      <c r="F684" s="48"/>
      <c r="G684" s="48"/>
      <c r="H684" s="48"/>
      <c r="I684" s="48"/>
      <c r="J684" s="48"/>
      <c r="K684" s="64"/>
      <c r="L684" s="64"/>
      <c r="M684" s="48"/>
      <c r="N684" s="48"/>
      <c r="O684" s="48"/>
      <c r="P684" s="48"/>
      <c r="Q684" s="48"/>
      <c r="R684" s="48"/>
      <c r="S684" s="60"/>
      <c r="T684" s="48"/>
      <c r="U684" s="48"/>
      <c r="V684" s="48"/>
      <c r="W684" s="48"/>
      <c r="X684" s="48"/>
      <c r="Y684" s="48"/>
      <c r="Z684" s="48"/>
      <c r="AA684" s="48"/>
      <c r="AB684" s="48"/>
      <c r="AC684" s="48"/>
      <c r="AD684" s="48"/>
      <c r="AE684" s="48"/>
      <c r="AF684" s="60"/>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56"/>
      <c r="BJ684" s="56"/>
      <c r="BK684" s="56"/>
      <c r="BL684" s="56"/>
      <c r="BM684" s="56"/>
      <c r="BN684" s="56"/>
      <c r="BO684" s="56"/>
      <c r="BP684" s="56"/>
      <c r="BQ684" s="56"/>
      <c r="BR684" s="56"/>
      <c r="BS684" s="56"/>
      <c r="BT684" s="56"/>
      <c r="BU684" s="56"/>
      <c r="BV684" s="56"/>
      <c r="BW684" s="56"/>
      <c r="BX684" s="56"/>
    </row>
    <row r="685">
      <c r="A685" s="48"/>
      <c r="B685" s="48"/>
      <c r="C685" s="48"/>
      <c r="D685" s="48"/>
      <c r="E685" s="48"/>
      <c r="F685" s="48"/>
      <c r="G685" s="48"/>
      <c r="H685" s="48"/>
      <c r="I685" s="48"/>
      <c r="J685" s="48"/>
      <c r="K685" s="64"/>
      <c r="L685" s="64"/>
      <c r="M685" s="48"/>
      <c r="N685" s="48"/>
      <c r="O685" s="48"/>
      <c r="P685" s="48"/>
      <c r="Q685" s="48"/>
      <c r="R685" s="48"/>
      <c r="S685" s="60"/>
      <c r="T685" s="48"/>
      <c r="U685" s="48"/>
      <c r="V685" s="48"/>
      <c r="W685" s="48"/>
      <c r="X685" s="48"/>
      <c r="Y685" s="48"/>
      <c r="Z685" s="48"/>
      <c r="AA685" s="48"/>
      <c r="AB685" s="48"/>
      <c r="AC685" s="48"/>
      <c r="AD685" s="48"/>
      <c r="AE685" s="48"/>
      <c r="AF685" s="60"/>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56"/>
      <c r="BJ685" s="56"/>
      <c r="BK685" s="56"/>
      <c r="BL685" s="56"/>
      <c r="BM685" s="56"/>
      <c r="BN685" s="56"/>
      <c r="BO685" s="56"/>
      <c r="BP685" s="56"/>
      <c r="BQ685" s="56"/>
      <c r="BR685" s="56"/>
      <c r="BS685" s="56"/>
      <c r="BT685" s="56"/>
      <c r="BU685" s="56"/>
      <c r="BV685" s="56"/>
      <c r="BW685" s="56"/>
      <c r="BX685" s="56"/>
    </row>
    <row r="686">
      <c r="A686" s="48"/>
      <c r="B686" s="48"/>
      <c r="C686" s="48"/>
      <c r="D686" s="48"/>
      <c r="E686" s="48"/>
      <c r="F686" s="48"/>
      <c r="G686" s="48"/>
      <c r="H686" s="48"/>
      <c r="I686" s="48"/>
      <c r="J686" s="48"/>
      <c r="K686" s="64"/>
      <c r="L686" s="64"/>
      <c r="M686" s="48"/>
      <c r="N686" s="48"/>
      <c r="O686" s="48"/>
      <c r="P686" s="48"/>
      <c r="Q686" s="48"/>
      <c r="R686" s="48"/>
      <c r="S686" s="60"/>
      <c r="T686" s="48"/>
      <c r="U686" s="48"/>
      <c r="V686" s="48"/>
      <c r="W686" s="48"/>
      <c r="X686" s="48"/>
      <c r="Y686" s="48"/>
      <c r="Z686" s="48"/>
      <c r="AA686" s="48"/>
      <c r="AB686" s="48"/>
      <c r="AC686" s="48"/>
      <c r="AD686" s="48"/>
      <c r="AE686" s="48"/>
      <c r="AF686" s="60"/>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56"/>
      <c r="BJ686" s="56"/>
      <c r="BK686" s="56"/>
      <c r="BL686" s="56"/>
      <c r="BM686" s="56"/>
      <c r="BN686" s="56"/>
      <c r="BO686" s="56"/>
      <c r="BP686" s="56"/>
      <c r="BQ686" s="56"/>
      <c r="BR686" s="56"/>
      <c r="BS686" s="56"/>
      <c r="BT686" s="56"/>
      <c r="BU686" s="56"/>
      <c r="BV686" s="56"/>
      <c r="BW686" s="56"/>
      <c r="BX686" s="56"/>
    </row>
    <row r="687">
      <c r="A687" s="48"/>
      <c r="B687" s="48"/>
      <c r="C687" s="48"/>
      <c r="D687" s="48"/>
      <c r="E687" s="48"/>
      <c r="F687" s="48"/>
      <c r="G687" s="48"/>
      <c r="H687" s="48"/>
      <c r="I687" s="48"/>
      <c r="J687" s="48"/>
      <c r="K687" s="64"/>
      <c r="L687" s="64"/>
      <c r="M687" s="48"/>
      <c r="N687" s="48"/>
      <c r="O687" s="48"/>
      <c r="P687" s="48"/>
      <c r="Q687" s="48"/>
      <c r="R687" s="48"/>
      <c r="S687" s="60"/>
      <c r="T687" s="48"/>
      <c r="U687" s="48"/>
      <c r="V687" s="48"/>
      <c r="W687" s="48"/>
      <c r="X687" s="48"/>
      <c r="Y687" s="48"/>
      <c r="Z687" s="48"/>
      <c r="AA687" s="48"/>
      <c r="AB687" s="48"/>
      <c r="AC687" s="48"/>
      <c r="AD687" s="48"/>
      <c r="AE687" s="48"/>
      <c r="AF687" s="60"/>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56"/>
      <c r="BJ687" s="56"/>
      <c r="BK687" s="56"/>
      <c r="BL687" s="56"/>
      <c r="BM687" s="56"/>
      <c r="BN687" s="56"/>
      <c r="BO687" s="56"/>
      <c r="BP687" s="56"/>
      <c r="BQ687" s="56"/>
      <c r="BR687" s="56"/>
      <c r="BS687" s="56"/>
      <c r="BT687" s="56"/>
      <c r="BU687" s="56"/>
      <c r="BV687" s="56"/>
      <c r="BW687" s="56"/>
      <c r="BX687" s="56"/>
    </row>
    <row r="688">
      <c r="A688" s="48"/>
      <c r="B688" s="48"/>
      <c r="C688" s="48"/>
      <c r="D688" s="48"/>
      <c r="E688" s="48"/>
      <c r="F688" s="48"/>
      <c r="G688" s="48"/>
      <c r="H688" s="48"/>
      <c r="I688" s="48"/>
      <c r="J688" s="48"/>
      <c r="K688" s="64"/>
      <c r="L688" s="64"/>
      <c r="M688" s="48"/>
      <c r="N688" s="48"/>
      <c r="O688" s="48"/>
      <c r="P688" s="48"/>
      <c r="Q688" s="48"/>
      <c r="R688" s="48"/>
      <c r="S688" s="60"/>
      <c r="T688" s="48"/>
      <c r="U688" s="48"/>
      <c r="V688" s="48"/>
      <c r="W688" s="48"/>
      <c r="X688" s="48"/>
      <c r="Y688" s="48"/>
      <c r="Z688" s="48"/>
      <c r="AA688" s="48"/>
      <c r="AB688" s="48"/>
      <c r="AC688" s="48"/>
      <c r="AD688" s="48"/>
      <c r="AE688" s="48"/>
      <c r="AF688" s="60"/>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56"/>
      <c r="BJ688" s="56"/>
      <c r="BK688" s="56"/>
      <c r="BL688" s="56"/>
      <c r="BM688" s="56"/>
      <c r="BN688" s="56"/>
      <c r="BO688" s="56"/>
      <c r="BP688" s="56"/>
      <c r="BQ688" s="56"/>
      <c r="BR688" s="56"/>
      <c r="BS688" s="56"/>
      <c r="BT688" s="56"/>
      <c r="BU688" s="56"/>
      <c r="BV688" s="56"/>
      <c r="BW688" s="56"/>
      <c r="BX688" s="56"/>
    </row>
    <row r="689">
      <c r="A689" s="48"/>
      <c r="B689" s="48"/>
      <c r="C689" s="48"/>
      <c r="D689" s="48"/>
      <c r="E689" s="48"/>
      <c r="F689" s="48"/>
      <c r="G689" s="48"/>
      <c r="H689" s="48"/>
      <c r="I689" s="48"/>
      <c r="J689" s="48"/>
      <c r="K689" s="64"/>
      <c r="L689" s="64"/>
      <c r="M689" s="48"/>
      <c r="N689" s="48"/>
      <c r="O689" s="48"/>
      <c r="P689" s="48"/>
      <c r="Q689" s="48"/>
      <c r="R689" s="48"/>
      <c r="S689" s="60"/>
      <c r="T689" s="48"/>
      <c r="U689" s="48"/>
      <c r="V689" s="48"/>
      <c r="W689" s="48"/>
      <c r="X689" s="48"/>
      <c r="Y689" s="48"/>
      <c r="Z689" s="48"/>
      <c r="AA689" s="48"/>
      <c r="AB689" s="48"/>
      <c r="AC689" s="48"/>
      <c r="AD689" s="48"/>
      <c r="AE689" s="48"/>
      <c r="AF689" s="60"/>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56"/>
      <c r="BJ689" s="56"/>
      <c r="BK689" s="56"/>
      <c r="BL689" s="56"/>
      <c r="BM689" s="56"/>
      <c r="BN689" s="56"/>
      <c r="BO689" s="56"/>
      <c r="BP689" s="56"/>
      <c r="BQ689" s="56"/>
      <c r="BR689" s="56"/>
      <c r="BS689" s="56"/>
      <c r="BT689" s="56"/>
      <c r="BU689" s="56"/>
      <c r="BV689" s="56"/>
      <c r="BW689" s="56"/>
      <c r="BX689" s="56"/>
    </row>
    <row r="690">
      <c r="A690" s="48"/>
      <c r="B690" s="48"/>
      <c r="C690" s="48"/>
      <c r="D690" s="48"/>
      <c r="E690" s="48"/>
      <c r="F690" s="48"/>
      <c r="G690" s="48"/>
      <c r="H690" s="48"/>
      <c r="I690" s="48"/>
      <c r="J690" s="48"/>
      <c r="K690" s="64"/>
      <c r="L690" s="64"/>
      <c r="M690" s="48"/>
      <c r="N690" s="48"/>
      <c r="O690" s="48"/>
      <c r="P690" s="48"/>
      <c r="Q690" s="48"/>
      <c r="R690" s="48"/>
      <c r="S690" s="60"/>
      <c r="T690" s="48"/>
      <c r="U690" s="48"/>
      <c r="V690" s="48"/>
      <c r="W690" s="48"/>
      <c r="X690" s="48"/>
      <c r="Y690" s="48"/>
      <c r="Z690" s="48"/>
      <c r="AA690" s="48"/>
      <c r="AB690" s="48"/>
      <c r="AC690" s="48"/>
      <c r="AD690" s="48"/>
      <c r="AE690" s="48"/>
      <c r="AF690" s="60"/>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56"/>
      <c r="BJ690" s="56"/>
      <c r="BK690" s="56"/>
      <c r="BL690" s="56"/>
      <c r="BM690" s="56"/>
      <c r="BN690" s="56"/>
      <c r="BO690" s="56"/>
      <c r="BP690" s="56"/>
      <c r="BQ690" s="56"/>
      <c r="BR690" s="56"/>
      <c r="BS690" s="56"/>
      <c r="BT690" s="56"/>
      <c r="BU690" s="56"/>
      <c r="BV690" s="56"/>
      <c r="BW690" s="56"/>
      <c r="BX690" s="56"/>
    </row>
    <row r="691">
      <c r="A691" s="48"/>
      <c r="B691" s="48"/>
      <c r="C691" s="48"/>
      <c r="D691" s="48"/>
      <c r="E691" s="48"/>
      <c r="F691" s="48"/>
      <c r="G691" s="48"/>
      <c r="H691" s="48"/>
      <c r="I691" s="48"/>
      <c r="J691" s="48"/>
      <c r="K691" s="64"/>
      <c r="L691" s="64"/>
      <c r="M691" s="48"/>
      <c r="N691" s="48"/>
      <c r="O691" s="48"/>
      <c r="P691" s="48"/>
      <c r="Q691" s="48"/>
      <c r="R691" s="48"/>
      <c r="S691" s="60"/>
      <c r="T691" s="48"/>
      <c r="U691" s="48"/>
      <c r="V691" s="48"/>
      <c r="W691" s="48"/>
      <c r="X691" s="48"/>
      <c r="Y691" s="48"/>
      <c r="Z691" s="48"/>
      <c r="AA691" s="48"/>
      <c r="AB691" s="48"/>
      <c r="AC691" s="48"/>
      <c r="AD691" s="48"/>
      <c r="AE691" s="48"/>
      <c r="AF691" s="60"/>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56"/>
      <c r="BJ691" s="56"/>
      <c r="BK691" s="56"/>
      <c r="BL691" s="56"/>
      <c r="BM691" s="56"/>
      <c r="BN691" s="56"/>
      <c r="BO691" s="56"/>
      <c r="BP691" s="56"/>
      <c r="BQ691" s="56"/>
      <c r="BR691" s="56"/>
      <c r="BS691" s="56"/>
      <c r="BT691" s="56"/>
      <c r="BU691" s="56"/>
      <c r="BV691" s="56"/>
      <c r="BW691" s="56"/>
      <c r="BX691" s="56"/>
    </row>
    <row r="692">
      <c r="A692" s="48"/>
      <c r="B692" s="48"/>
      <c r="C692" s="48"/>
      <c r="D692" s="48"/>
      <c r="E692" s="48"/>
      <c r="F692" s="48"/>
      <c r="G692" s="48"/>
      <c r="H692" s="48"/>
      <c r="I692" s="48"/>
      <c r="J692" s="48"/>
      <c r="K692" s="64"/>
      <c r="L692" s="64"/>
      <c r="M692" s="48"/>
      <c r="N692" s="48"/>
      <c r="O692" s="48"/>
      <c r="P692" s="48"/>
      <c r="Q692" s="48"/>
      <c r="R692" s="48"/>
      <c r="S692" s="60"/>
      <c r="T692" s="48"/>
      <c r="U692" s="48"/>
      <c r="V692" s="48"/>
      <c r="W692" s="48"/>
      <c r="X692" s="48"/>
      <c r="Y692" s="48"/>
      <c r="Z692" s="48"/>
      <c r="AA692" s="48"/>
      <c r="AB692" s="48"/>
      <c r="AC692" s="48"/>
      <c r="AD692" s="48"/>
      <c r="AE692" s="48"/>
      <c r="AF692" s="60"/>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56"/>
      <c r="BJ692" s="56"/>
      <c r="BK692" s="56"/>
      <c r="BL692" s="56"/>
      <c r="BM692" s="56"/>
      <c r="BN692" s="56"/>
      <c r="BO692" s="56"/>
      <c r="BP692" s="56"/>
      <c r="BQ692" s="56"/>
      <c r="BR692" s="56"/>
      <c r="BS692" s="56"/>
      <c r="BT692" s="56"/>
      <c r="BU692" s="56"/>
      <c r="BV692" s="56"/>
      <c r="BW692" s="56"/>
      <c r="BX692" s="56"/>
    </row>
    <row r="693">
      <c r="A693" s="48"/>
      <c r="B693" s="48"/>
      <c r="C693" s="48"/>
      <c r="D693" s="48"/>
      <c r="E693" s="48"/>
      <c r="F693" s="48"/>
      <c r="G693" s="48"/>
      <c r="H693" s="48"/>
      <c r="I693" s="48"/>
      <c r="J693" s="48"/>
      <c r="K693" s="64"/>
      <c r="L693" s="64"/>
      <c r="M693" s="48"/>
      <c r="N693" s="48"/>
      <c r="O693" s="48"/>
      <c r="P693" s="48"/>
      <c r="Q693" s="48"/>
      <c r="R693" s="48"/>
      <c r="S693" s="60"/>
      <c r="T693" s="48"/>
      <c r="U693" s="48"/>
      <c r="V693" s="48"/>
      <c r="W693" s="48"/>
      <c r="X693" s="48"/>
      <c r="Y693" s="48"/>
      <c r="Z693" s="48"/>
      <c r="AA693" s="48"/>
      <c r="AB693" s="48"/>
      <c r="AC693" s="48"/>
      <c r="AD693" s="48"/>
      <c r="AE693" s="48"/>
      <c r="AF693" s="60"/>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56"/>
      <c r="BJ693" s="56"/>
      <c r="BK693" s="56"/>
      <c r="BL693" s="56"/>
      <c r="BM693" s="56"/>
      <c r="BN693" s="56"/>
      <c r="BO693" s="56"/>
      <c r="BP693" s="56"/>
      <c r="BQ693" s="56"/>
      <c r="BR693" s="56"/>
      <c r="BS693" s="56"/>
      <c r="BT693" s="56"/>
      <c r="BU693" s="56"/>
      <c r="BV693" s="56"/>
      <c r="BW693" s="56"/>
      <c r="BX693" s="56"/>
    </row>
    <row r="694">
      <c r="A694" s="48"/>
      <c r="B694" s="48"/>
      <c r="C694" s="48"/>
      <c r="D694" s="48"/>
      <c r="E694" s="48"/>
      <c r="F694" s="48"/>
      <c r="G694" s="48"/>
      <c r="H694" s="48"/>
      <c r="I694" s="48"/>
      <c r="J694" s="48"/>
      <c r="K694" s="64"/>
      <c r="L694" s="64"/>
      <c r="M694" s="48"/>
      <c r="N694" s="48"/>
      <c r="O694" s="48"/>
      <c r="P694" s="48"/>
      <c r="Q694" s="48"/>
      <c r="R694" s="48"/>
      <c r="S694" s="60"/>
      <c r="T694" s="48"/>
      <c r="U694" s="48"/>
      <c r="V694" s="48"/>
      <c r="W694" s="48"/>
      <c r="X694" s="48"/>
      <c r="Y694" s="48"/>
      <c r="Z694" s="48"/>
      <c r="AA694" s="48"/>
      <c r="AB694" s="48"/>
      <c r="AC694" s="48"/>
      <c r="AD694" s="48"/>
      <c r="AE694" s="48"/>
      <c r="AF694" s="60"/>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56"/>
      <c r="BJ694" s="56"/>
      <c r="BK694" s="56"/>
      <c r="BL694" s="56"/>
      <c r="BM694" s="56"/>
      <c r="BN694" s="56"/>
      <c r="BO694" s="56"/>
      <c r="BP694" s="56"/>
      <c r="BQ694" s="56"/>
      <c r="BR694" s="56"/>
      <c r="BS694" s="56"/>
      <c r="BT694" s="56"/>
      <c r="BU694" s="56"/>
      <c r="BV694" s="56"/>
      <c r="BW694" s="56"/>
      <c r="BX694" s="56"/>
    </row>
    <row r="695">
      <c r="A695" s="48"/>
      <c r="B695" s="48"/>
      <c r="C695" s="48"/>
      <c r="D695" s="48"/>
      <c r="E695" s="48"/>
      <c r="F695" s="48"/>
      <c r="G695" s="48"/>
      <c r="H695" s="48"/>
      <c r="I695" s="48"/>
      <c r="J695" s="48"/>
      <c r="K695" s="64"/>
      <c r="L695" s="64"/>
      <c r="M695" s="48"/>
      <c r="N695" s="48"/>
      <c r="O695" s="48"/>
      <c r="P695" s="48"/>
      <c r="Q695" s="48"/>
      <c r="R695" s="48"/>
      <c r="S695" s="60"/>
      <c r="T695" s="48"/>
      <c r="U695" s="48"/>
      <c r="V695" s="48"/>
      <c r="W695" s="48"/>
      <c r="X695" s="48"/>
      <c r="Y695" s="48"/>
      <c r="Z695" s="48"/>
      <c r="AA695" s="48"/>
      <c r="AB695" s="48"/>
      <c r="AC695" s="48"/>
      <c r="AD695" s="48"/>
      <c r="AE695" s="48"/>
      <c r="AF695" s="60"/>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56"/>
      <c r="BJ695" s="56"/>
      <c r="BK695" s="56"/>
      <c r="BL695" s="56"/>
      <c r="BM695" s="56"/>
      <c r="BN695" s="56"/>
      <c r="BO695" s="56"/>
      <c r="BP695" s="56"/>
      <c r="BQ695" s="56"/>
      <c r="BR695" s="56"/>
      <c r="BS695" s="56"/>
      <c r="BT695" s="56"/>
      <c r="BU695" s="56"/>
      <c r="BV695" s="56"/>
      <c r="BW695" s="56"/>
      <c r="BX695" s="56"/>
    </row>
    <row r="696">
      <c r="A696" s="48"/>
      <c r="B696" s="48"/>
      <c r="C696" s="48"/>
      <c r="D696" s="48"/>
      <c r="E696" s="48"/>
      <c r="F696" s="48"/>
      <c r="G696" s="48"/>
      <c r="H696" s="48"/>
      <c r="I696" s="48"/>
      <c r="J696" s="48"/>
      <c r="K696" s="64"/>
      <c r="L696" s="64"/>
      <c r="M696" s="48"/>
      <c r="N696" s="48"/>
      <c r="O696" s="48"/>
      <c r="P696" s="48"/>
      <c r="Q696" s="48"/>
      <c r="R696" s="48"/>
      <c r="S696" s="60"/>
      <c r="T696" s="48"/>
      <c r="U696" s="48"/>
      <c r="V696" s="48"/>
      <c r="W696" s="48"/>
      <c r="X696" s="48"/>
      <c r="Y696" s="48"/>
      <c r="Z696" s="48"/>
      <c r="AA696" s="48"/>
      <c r="AB696" s="48"/>
      <c r="AC696" s="48"/>
      <c r="AD696" s="48"/>
      <c r="AE696" s="48"/>
      <c r="AF696" s="60"/>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56"/>
      <c r="BJ696" s="56"/>
      <c r="BK696" s="56"/>
      <c r="BL696" s="56"/>
      <c r="BM696" s="56"/>
      <c r="BN696" s="56"/>
      <c r="BO696" s="56"/>
      <c r="BP696" s="56"/>
      <c r="BQ696" s="56"/>
      <c r="BR696" s="56"/>
      <c r="BS696" s="56"/>
      <c r="BT696" s="56"/>
      <c r="BU696" s="56"/>
      <c r="BV696" s="56"/>
      <c r="BW696" s="56"/>
      <c r="BX696" s="56"/>
    </row>
    <row r="697">
      <c r="A697" s="48"/>
      <c r="B697" s="48"/>
      <c r="C697" s="48"/>
      <c r="D697" s="48"/>
      <c r="E697" s="48"/>
      <c r="F697" s="48"/>
      <c r="G697" s="48"/>
      <c r="H697" s="48"/>
      <c r="I697" s="48"/>
      <c r="J697" s="48"/>
      <c r="K697" s="64"/>
      <c r="L697" s="64"/>
      <c r="M697" s="48"/>
      <c r="N697" s="48"/>
      <c r="O697" s="48"/>
      <c r="P697" s="48"/>
      <c r="Q697" s="48"/>
      <c r="R697" s="48"/>
      <c r="S697" s="60"/>
      <c r="T697" s="48"/>
      <c r="U697" s="48"/>
      <c r="V697" s="48"/>
      <c r="W697" s="48"/>
      <c r="X697" s="48"/>
      <c r="Y697" s="48"/>
      <c r="Z697" s="48"/>
      <c r="AA697" s="48"/>
      <c r="AB697" s="48"/>
      <c r="AC697" s="48"/>
      <c r="AD697" s="48"/>
      <c r="AE697" s="48"/>
      <c r="AF697" s="60"/>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56"/>
      <c r="BJ697" s="56"/>
      <c r="BK697" s="56"/>
      <c r="BL697" s="56"/>
      <c r="BM697" s="56"/>
      <c r="BN697" s="56"/>
      <c r="BO697" s="56"/>
      <c r="BP697" s="56"/>
      <c r="BQ697" s="56"/>
      <c r="BR697" s="56"/>
      <c r="BS697" s="56"/>
      <c r="BT697" s="56"/>
      <c r="BU697" s="56"/>
      <c r="BV697" s="56"/>
      <c r="BW697" s="56"/>
      <c r="BX697" s="56"/>
    </row>
    <row r="698">
      <c r="A698" s="48"/>
      <c r="B698" s="48"/>
      <c r="C698" s="48"/>
      <c r="D698" s="48"/>
      <c r="E698" s="48"/>
      <c r="F698" s="48"/>
      <c r="G698" s="48"/>
      <c r="H698" s="48"/>
      <c r="I698" s="48"/>
      <c r="J698" s="48"/>
      <c r="K698" s="64"/>
      <c r="L698" s="64"/>
      <c r="M698" s="48"/>
      <c r="N698" s="48"/>
      <c r="O698" s="48"/>
      <c r="P698" s="48"/>
      <c r="Q698" s="48"/>
      <c r="R698" s="48"/>
      <c r="S698" s="60"/>
      <c r="T698" s="48"/>
      <c r="U698" s="48"/>
      <c r="V698" s="48"/>
      <c r="W698" s="48"/>
      <c r="X698" s="48"/>
      <c r="Y698" s="48"/>
      <c r="Z698" s="48"/>
      <c r="AA698" s="48"/>
      <c r="AB698" s="48"/>
      <c r="AC698" s="48"/>
      <c r="AD698" s="48"/>
      <c r="AE698" s="48"/>
      <c r="AF698" s="60"/>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56"/>
      <c r="BJ698" s="56"/>
      <c r="BK698" s="56"/>
      <c r="BL698" s="56"/>
      <c r="BM698" s="56"/>
      <c r="BN698" s="56"/>
      <c r="BO698" s="56"/>
      <c r="BP698" s="56"/>
      <c r="BQ698" s="56"/>
      <c r="BR698" s="56"/>
      <c r="BS698" s="56"/>
      <c r="BT698" s="56"/>
      <c r="BU698" s="56"/>
      <c r="BV698" s="56"/>
      <c r="BW698" s="56"/>
      <c r="BX698" s="56"/>
    </row>
    <row r="699">
      <c r="A699" s="48"/>
      <c r="B699" s="48"/>
      <c r="C699" s="48"/>
      <c r="D699" s="48"/>
      <c r="E699" s="48"/>
      <c r="F699" s="48"/>
      <c r="G699" s="48"/>
      <c r="H699" s="48"/>
      <c r="I699" s="48"/>
      <c r="J699" s="48"/>
      <c r="K699" s="64"/>
      <c r="L699" s="64"/>
      <c r="M699" s="48"/>
      <c r="N699" s="48"/>
      <c r="O699" s="48"/>
      <c r="P699" s="48"/>
      <c r="Q699" s="48"/>
      <c r="R699" s="48"/>
      <c r="S699" s="60"/>
      <c r="T699" s="48"/>
      <c r="U699" s="48"/>
      <c r="V699" s="48"/>
      <c r="W699" s="48"/>
      <c r="X699" s="48"/>
      <c r="Y699" s="48"/>
      <c r="Z699" s="48"/>
      <c r="AA699" s="48"/>
      <c r="AB699" s="48"/>
      <c r="AC699" s="48"/>
      <c r="AD699" s="48"/>
      <c r="AE699" s="48"/>
      <c r="AF699" s="60"/>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56"/>
      <c r="BJ699" s="56"/>
      <c r="BK699" s="56"/>
      <c r="BL699" s="56"/>
      <c r="BM699" s="56"/>
      <c r="BN699" s="56"/>
      <c r="BO699" s="56"/>
      <c r="BP699" s="56"/>
      <c r="BQ699" s="56"/>
      <c r="BR699" s="56"/>
      <c r="BS699" s="56"/>
      <c r="BT699" s="56"/>
      <c r="BU699" s="56"/>
      <c r="BV699" s="56"/>
      <c r="BW699" s="56"/>
      <c r="BX699" s="56"/>
    </row>
    <row r="700">
      <c r="A700" s="48"/>
      <c r="B700" s="48"/>
      <c r="C700" s="48"/>
      <c r="D700" s="48"/>
      <c r="E700" s="48"/>
      <c r="F700" s="48"/>
      <c r="G700" s="48"/>
      <c r="H700" s="48"/>
      <c r="I700" s="48"/>
      <c r="J700" s="48"/>
      <c r="K700" s="64"/>
      <c r="L700" s="64"/>
      <c r="M700" s="48"/>
      <c r="N700" s="48"/>
      <c r="O700" s="48"/>
      <c r="P700" s="48"/>
      <c r="Q700" s="48"/>
      <c r="R700" s="48"/>
      <c r="S700" s="60"/>
      <c r="T700" s="48"/>
      <c r="U700" s="48"/>
      <c r="V700" s="48"/>
      <c r="W700" s="48"/>
      <c r="X700" s="48"/>
      <c r="Y700" s="48"/>
      <c r="Z700" s="48"/>
      <c r="AA700" s="48"/>
      <c r="AB700" s="48"/>
      <c r="AC700" s="48"/>
      <c r="AD700" s="48"/>
      <c r="AE700" s="48"/>
      <c r="AF700" s="60"/>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56"/>
      <c r="BJ700" s="56"/>
      <c r="BK700" s="56"/>
      <c r="BL700" s="56"/>
      <c r="BM700" s="56"/>
      <c r="BN700" s="56"/>
      <c r="BO700" s="56"/>
      <c r="BP700" s="56"/>
      <c r="BQ700" s="56"/>
      <c r="BR700" s="56"/>
      <c r="BS700" s="56"/>
      <c r="BT700" s="56"/>
      <c r="BU700" s="56"/>
      <c r="BV700" s="56"/>
      <c r="BW700" s="56"/>
      <c r="BX700" s="56"/>
    </row>
    <row r="701">
      <c r="A701" s="48"/>
      <c r="B701" s="48"/>
      <c r="C701" s="48"/>
      <c r="D701" s="48"/>
      <c r="E701" s="48"/>
      <c r="F701" s="48"/>
      <c r="G701" s="48"/>
      <c r="H701" s="48"/>
      <c r="I701" s="48"/>
      <c r="J701" s="48"/>
      <c r="K701" s="64"/>
      <c r="L701" s="64"/>
      <c r="M701" s="48"/>
      <c r="N701" s="48"/>
      <c r="O701" s="48"/>
      <c r="P701" s="48"/>
      <c r="Q701" s="48"/>
      <c r="R701" s="48"/>
      <c r="S701" s="60"/>
      <c r="T701" s="48"/>
      <c r="U701" s="48"/>
      <c r="V701" s="48"/>
      <c r="W701" s="48"/>
      <c r="X701" s="48"/>
      <c r="Y701" s="48"/>
      <c r="Z701" s="48"/>
      <c r="AA701" s="48"/>
      <c r="AB701" s="48"/>
      <c r="AC701" s="48"/>
      <c r="AD701" s="48"/>
      <c r="AE701" s="48"/>
      <c r="AF701" s="60"/>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56"/>
      <c r="BJ701" s="56"/>
      <c r="BK701" s="56"/>
      <c r="BL701" s="56"/>
      <c r="BM701" s="56"/>
      <c r="BN701" s="56"/>
      <c r="BO701" s="56"/>
      <c r="BP701" s="56"/>
      <c r="BQ701" s="56"/>
      <c r="BR701" s="56"/>
      <c r="BS701" s="56"/>
      <c r="BT701" s="56"/>
      <c r="BU701" s="56"/>
      <c r="BV701" s="56"/>
      <c r="BW701" s="56"/>
      <c r="BX701" s="56"/>
    </row>
    <row r="702">
      <c r="A702" s="48"/>
      <c r="B702" s="48"/>
      <c r="C702" s="48"/>
      <c r="D702" s="48"/>
      <c r="E702" s="48"/>
      <c r="F702" s="48"/>
      <c r="G702" s="48"/>
      <c r="H702" s="48"/>
      <c r="I702" s="48"/>
      <c r="J702" s="48"/>
      <c r="K702" s="64"/>
      <c r="L702" s="64"/>
      <c r="M702" s="48"/>
      <c r="N702" s="48"/>
      <c r="O702" s="48"/>
      <c r="P702" s="48"/>
      <c r="Q702" s="48"/>
      <c r="R702" s="48"/>
      <c r="S702" s="60"/>
      <c r="T702" s="48"/>
      <c r="U702" s="48"/>
      <c r="V702" s="48"/>
      <c r="W702" s="48"/>
      <c r="X702" s="48"/>
      <c r="Y702" s="48"/>
      <c r="Z702" s="48"/>
      <c r="AA702" s="48"/>
      <c r="AB702" s="48"/>
      <c r="AC702" s="48"/>
      <c r="AD702" s="48"/>
      <c r="AE702" s="48"/>
      <c r="AF702" s="60"/>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56"/>
      <c r="BJ702" s="56"/>
      <c r="BK702" s="56"/>
      <c r="BL702" s="56"/>
      <c r="BM702" s="56"/>
      <c r="BN702" s="56"/>
      <c r="BO702" s="56"/>
      <c r="BP702" s="56"/>
      <c r="BQ702" s="56"/>
      <c r="BR702" s="56"/>
      <c r="BS702" s="56"/>
      <c r="BT702" s="56"/>
      <c r="BU702" s="56"/>
      <c r="BV702" s="56"/>
      <c r="BW702" s="56"/>
      <c r="BX702" s="56"/>
    </row>
    <row r="703">
      <c r="A703" s="48"/>
      <c r="B703" s="48"/>
      <c r="C703" s="48"/>
      <c r="D703" s="48"/>
      <c r="E703" s="48"/>
      <c r="F703" s="48"/>
      <c r="G703" s="48"/>
      <c r="H703" s="48"/>
      <c r="I703" s="48"/>
      <c r="J703" s="48"/>
      <c r="K703" s="64"/>
      <c r="L703" s="64"/>
      <c r="M703" s="48"/>
      <c r="N703" s="48"/>
      <c r="O703" s="48"/>
      <c r="P703" s="48"/>
      <c r="Q703" s="48"/>
      <c r="R703" s="48"/>
      <c r="S703" s="60"/>
      <c r="T703" s="48"/>
      <c r="U703" s="48"/>
      <c r="V703" s="48"/>
      <c r="W703" s="48"/>
      <c r="X703" s="48"/>
      <c r="Y703" s="48"/>
      <c r="Z703" s="48"/>
      <c r="AA703" s="48"/>
      <c r="AB703" s="48"/>
      <c r="AC703" s="48"/>
      <c r="AD703" s="48"/>
      <c r="AE703" s="48"/>
      <c r="AF703" s="60"/>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56"/>
      <c r="BJ703" s="56"/>
      <c r="BK703" s="56"/>
      <c r="BL703" s="56"/>
      <c r="BM703" s="56"/>
      <c r="BN703" s="56"/>
      <c r="BO703" s="56"/>
      <c r="BP703" s="56"/>
      <c r="BQ703" s="56"/>
      <c r="BR703" s="56"/>
      <c r="BS703" s="56"/>
      <c r="BT703" s="56"/>
      <c r="BU703" s="56"/>
      <c r="BV703" s="56"/>
      <c r="BW703" s="56"/>
      <c r="BX703" s="56"/>
    </row>
    <row r="704">
      <c r="A704" s="48"/>
      <c r="B704" s="48"/>
      <c r="C704" s="48"/>
      <c r="D704" s="48"/>
      <c r="E704" s="48"/>
      <c r="F704" s="48"/>
      <c r="G704" s="48"/>
      <c r="H704" s="48"/>
      <c r="I704" s="48"/>
      <c r="J704" s="48"/>
      <c r="K704" s="64"/>
      <c r="L704" s="64"/>
      <c r="M704" s="48"/>
      <c r="N704" s="48"/>
      <c r="O704" s="48"/>
      <c r="P704" s="48"/>
      <c r="Q704" s="48"/>
      <c r="R704" s="48"/>
      <c r="S704" s="60"/>
      <c r="T704" s="48"/>
      <c r="U704" s="48"/>
      <c r="V704" s="48"/>
      <c r="W704" s="48"/>
      <c r="X704" s="48"/>
      <c r="Y704" s="48"/>
      <c r="Z704" s="48"/>
      <c r="AA704" s="48"/>
      <c r="AB704" s="48"/>
      <c r="AC704" s="48"/>
      <c r="AD704" s="48"/>
      <c r="AE704" s="48"/>
      <c r="AF704" s="60"/>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56"/>
      <c r="BJ704" s="56"/>
      <c r="BK704" s="56"/>
      <c r="BL704" s="56"/>
      <c r="BM704" s="56"/>
      <c r="BN704" s="56"/>
      <c r="BO704" s="56"/>
      <c r="BP704" s="56"/>
      <c r="BQ704" s="56"/>
      <c r="BR704" s="56"/>
      <c r="BS704" s="56"/>
      <c r="BT704" s="56"/>
      <c r="BU704" s="56"/>
      <c r="BV704" s="56"/>
      <c r="BW704" s="56"/>
      <c r="BX704" s="56"/>
    </row>
    <row r="705">
      <c r="A705" s="48"/>
      <c r="B705" s="48"/>
      <c r="C705" s="48"/>
      <c r="D705" s="48"/>
      <c r="E705" s="48"/>
      <c r="F705" s="48"/>
      <c r="G705" s="48"/>
      <c r="H705" s="48"/>
      <c r="I705" s="48"/>
      <c r="J705" s="48"/>
      <c r="K705" s="64"/>
      <c r="L705" s="64"/>
      <c r="M705" s="48"/>
      <c r="N705" s="48"/>
      <c r="O705" s="48"/>
      <c r="P705" s="48"/>
      <c r="Q705" s="48"/>
      <c r="R705" s="48"/>
      <c r="S705" s="60"/>
      <c r="T705" s="48"/>
      <c r="U705" s="48"/>
      <c r="V705" s="48"/>
      <c r="W705" s="48"/>
      <c r="X705" s="48"/>
      <c r="Y705" s="48"/>
      <c r="Z705" s="48"/>
      <c r="AA705" s="48"/>
      <c r="AB705" s="48"/>
      <c r="AC705" s="48"/>
      <c r="AD705" s="48"/>
      <c r="AE705" s="48"/>
      <c r="AF705" s="60"/>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56"/>
      <c r="BJ705" s="56"/>
      <c r="BK705" s="56"/>
      <c r="BL705" s="56"/>
      <c r="BM705" s="56"/>
      <c r="BN705" s="56"/>
      <c r="BO705" s="56"/>
      <c r="BP705" s="56"/>
      <c r="BQ705" s="56"/>
      <c r="BR705" s="56"/>
      <c r="BS705" s="56"/>
      <c r="BT705" s="56"/>
      <c r="BU705" s="56"/>
      <c r="BV705" s="56"/>
      <c r="BW705" s="56"/>
      <c r="BX705" s="56"/>
    </row>
    <row r="706">
      <c r="A706" s="48"/>
      <c r="B706" s="48"/>
      <c r="C706" s="48"/>
      <c r="D706" s="48"/>
      <c r="E706" s="48"/>
      <c r="F706" s="48"/>
      <c r="G706" s="48"/>
      <c r="H706" s="48"/>
      <c r="I706" s="48"/>
      <c r="J706" s="48"/>
      <c r="K706" s="64"/>
      <c r="L706" s="64"/>
      <c r="M706" s="48"/>
      <c r="N706" s="48"/>
      <c r="O706" s="48"/>
      <c r="P706" s="48"/>
      <c r="Q706" s="48"/>
      <c r="R706" s="48"/>
      <c r="S706" s="60"/>
      <c r="T706" s="48"/>
      <c r="U706" s="48"/>
      <c r="V706" s="48"/>
      <c r="W706" s="48"/>
      <c r="X706" s="48"/>
      <c r="Y706" s="48"/>
      <c r="Z706" s="48"/>
      <c r="AA706" s="48"/>
      <c r="AB706" s="48"/>
      <c r="AC706" s="48"/>
      <c r="AD706" s="48"/>
      <c r="AE706" s="48"/>
      <c r="AF706" s="60"/>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56"/>
      <c r="BJ706" s="56"/>
      <c r="BK706" s="56"/>
      <c r="BL706" s="56"/>
      <c r="BM706" s="56"/>
      <c r="BN706" s="56"/>
      <c r="BO706" s="56"/>
      <c r="BP706" s="56"/>
      <c r="BQ706" s="56"/>
      <c r="BR706" s="56"/>
      <c r="BS706" s="56"/>
      <c r="BT706" s="56"/>
      <c r="BU706" s="56"/>
      <c r="BV706" s="56"/>
      <c r="BW706" s="56"/>
      <c r="BX706" s="56"/>
    </row>
    <row r="707">
      <c r="A707" s="48"/>
      <c r="B707" s="48"/>
      <c r="C707" s="48"/>
      <c r="D707" s="48"/>
      <c r="E707" s="48"/>
      <c r="F707" s="48"/>
      <c r="G707" s="48"/>
      <c r="H707" s="48"/>
      <c r="I707" s="48"/>
      <c r="J707" s="48"/>
      <c r="K707" s="64"/>
      <c r="L707" s="64"/>
      <c r="M707" s="48"/>
      <c r="N707" s="48"/>
      <c r="O707" s="48"/>
      <c r="P707" s="48"/>
      <c r="Q707" s="48"/>
      <c r="R707" s="48"/>
      <c r="S707" s="60"/>
      <c r="T707" s="48"/>
      <c r="U707" s="48"/>
      <c r="V707" s="48"/>
      <c r="W707" s="48"/>
      <c r="X707" s="48"/>
      <c r="Y707" s="48"/>
      <c r="Z707" s="48"/>
      <c r="AA707" s="48"/>
      <c r="AB707" s="48"/>
      <c r="AC707" s="48"/>
      <c r="AD707" s="48"/>
      <c r="AE707" s="48"/>
      <c r="AF707" s="60"/>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56"/>
      <c r="BJ707" s="56"/>
      <c r="BK707" s="56"/>
      <c r="BL707" s="56"/>
      <c r="BM707" s="56"/>
      <c r="BN707" s="56"/>
      <c r="BO707" s="56"/>
      <c r="BP707" s="56"/>
      <c r="BQ707" s="56"/>
      <c r="BR707" s="56"/>
      <c r="BS707" s="56"/>
      <c r="BT707" s="56"/>
      <c r="BU707" s="56"/>
      <c r="BV707" s="56"/>
      <c r="BW707" s="56"/>
      <c r="BX707" s="56"/>
    </row>
    <row r="708">
      <c r="A708" s="48"/>
      <c r="B708" s="48"/>
      <c r="C708" s="48"/>
      <c r="D708" s="48"/>
      <c r="E708" s="48"/>
      <c r="F708" s="48"/>
      <c r="G708" s="48"/>
      <c r="H708" s="48"/>
      <c r="I708" s="48"/>
      <c r="J708" s="48"/>
      <c r="K708" s="64"/>
      <c r="L708" s="64"/>
      <c r="M708" s="48"/>
      <c r="N708" s="48"/>
      <c r="O708" s="48"/>
      <c r="P708" s="48"/>
      <c r="Q708" s="48"/>
      <c r="R708" s="48"/>
      <c r="S708" s="60"/>
      <c r="T708" s="48"/>
      <c r="U708" s="48"/>
      <c r="V708" s="48"/>
      <c r="W708" s="48"/>
      <c r="X708" s="48"/>
      <c r="Y708" s="48"/>
      <c r="Z708" s="48"/>
      <c r="AA708" s="48"/>
      <c r="AB708" s="48"/>
      <c r="AC708" s="48"/>
      <c r="AD708" s="48"/>
      <c r="AE708" s="48"/>
      <c r="AF708" s="60"/>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56"/>
      <c r="BJ708" s="56"/>
      <c r="BK708" s="56"/>
      <c r="BL708" s="56"/>
      <c r="BM708" s="56"/>
      <c r="BN708" s="56"/>
      <c r="BO708" s="56"/>
      <c r="BP708" s="56"/>
      <c r="BQ708" s="56"/>
      <c r="BR708" s="56"/>
      <c r="BS708" s="56"/>
      <c r="BT708" s="56"/>
      <c r="BU708" s="56"/>
      <c r="BV708" s="56"/>
      <c r="BW708" s="56"/>
      <c r="BX708" s="56"/>
    </row>
    <row r="709">
      <c r="A709" s="48"/>
      <c r="B709" s="48"/>
      <c r="C709" s="48"/>
      <c r="D709" s="48"/>
      <c r="E709" s="48"/>
      <c r="F709" s="48"/>
      <c r="G709" s="48"/>
      <c r="H709" s="48"/>
      <c r="I709" s="48"/>
      <c r="J709" s="48"/>
      <c r="K709" s="64"/>
      <c r="L709" s="64"/>
      <c r="M709" s="48"/>
      <c r="N709" s="48"/>
      <c r="O709" s="48"/>
      <c r="P709" s="48"/>
      <c r="Q709" s="48"/>
      <c r="R709" s="48"/>
      <c r="S709" s="60"/>
      <c r="T709" s="48"/>
      <c r="U709" s="48"/>
      <c r="V709" s="48"/>
      <c r="W709" s="48"/>
      <c r="X709" s="48"/>
      <c r="Y709" s="48"/>
      <c r="Z709" s="48"/>
      <c r="AA709" s="48"/>
      <c r="AB709" s="48"/>
      <c r="AC709" s="48"/>
      <c r="AD709" s="48"/>
      <c r="AE709" s="48"/>
      <c r="AF709" s="60"/>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56"/>
      <c r="BJ709" s="56"/>
      <c r="BK709" s="56"/>
      <c r="BL709" s="56"/>
      <c r="BM709" s="56"/>
      <c r="BN709" s="56"/>
      <c r="BO709" s="56"/>
      <c r="BP709" s="56"/>
      <c r="BQ709" s="56"/>
      <c r="BR709" s="56"/>
      <c r="BS709" s="56"/>
      <c r="BT709" s="56"/>
      <c r="BU709" s="56"/>
      <c r="BV709" s="56"/>
      <c r="BW709" s="56"/>
      <c r="BX709" s="56"/>
    </row>
    <row r="710">
      <c r="A710" s="48"/>
      <c r="B710" s="48"/>
      <c r="C710" s="48"/>
      <c r="D710" s="48"/>
      <c r="E710" s="48"/>
      <c r="F710" s="48"/>
      <c r="G710" s="48"/>
      <c r="H710" s="48"/>
      <c r="I710" s="48"/>
      <c r="J710" s="48"/>
      <c r="K710" s="64"/>
      <c r="L710" s="64"/>
      <c r="M710" s="48"/>
      <c r="N710" s="48"/>
      <c r="O710" s="48"/>
      <c r="P710" s="48"/>
      <c r="Q710" s="48"/>
      <c r="R710" s="48"/>
      <c r="S710" s="60"/>
      <c r="T710" s="48"/>
      <c r="U710" s="48"/>
      <c r="V710" s="48"/>
      <c r="W710" s="48"/>
      <c r="X710" s="48"/>
      <c r="Y710" s="48"/>
      <c r="Z710" s="48"/>
      <c r="AA710" s="48"/>
      <c r="AB710" s="48"/>
      <c r="AC710" s="48"/>
      <c r="AD710" s="48"/>
      <c r="AE710" s="48"/>
      <c r="AF710" s="60"/>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56"/>
      <c r="BJ710" s="56"/>
      <c r="BK710" s="56"/>
      <c r="BL710" s="56"/>
      <c r="BM710" s="56"/>
      <c r="BN710" s="56"/>
      <c r="BO710" s="56"/>
      <c r="BP710" s="56"/>
      <c r="BQ710" s="56"/>
      <c r="BR710" s="56"/>
      <c r="BS710" s="56"/>
      <c r="BT710" s="56"/>
      <c r="BU710" s="56"/>
      <c r="BV710" s="56"/>
      <c r="BW710" s="56"/>
      <c r="BX710" s="56"/>
    </row>
    <row r="711">
      <c r="A711" s="48"/>
      <c r="B711" s="48"/>
      <c r="C711" s="48"/>
      <c r="D711" s="48"/>
      <c r="E711" s="48"/>
      <c r="F711" s="48"/>
      <c r="G711" s="48"/>
      <c r="H711" s="48"/>
      <c r="I711" s="48"/>
      <c r="J711" s="48"/>
      <c r="K711" s="64"/>
      <c r="L711" s="64"/>
      <c r="M711" s="48"/>
      <c r="N711" s="48"/>
      <c r="O711" s="48"/>
      <c r="P711" s="48"/>
      <c r="Q711" s="48"/>
      <c r="R711" s="48"/>
      <c r="S711" s="60"/>
      <c r="T711" s="48"/>
      <c r="U711" s="48"/>
      <c r="V711" s="48"/>
      <c r="W711" s="48"/>
      <c r="X711" s="48"/>
      <c r="Y711" s="48"/>
      <c r="Z711" s="48"/>
      <c r="AA711" s="48"/>
      <c r="AB711" s="48"/>
      <c r="AC711" s="48"/>
      <c r="AD711" s="48"/>
      <c r="AE711" s="48"/>
      <c r="AF711" s="60"/>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56"/>
      <c r="BJ711" s="56"/>
      <c r="BK711" s="56"/>
      <c r="BL711" s="56"/>
      <c r="BM711" s="56"/>
      <c r="BN711" s="56"/>
      <c r="BO711" s="56"/>
      <c r="BP711" s="56"/>
      <c r="BQ711" s="56"/>
      <c r="BR711" s="56"/>
      <c r="BS711" s="56"/>
      <c r="BT711" s="56"/>
      <c r="BU711" s="56"/>
      <c r="BV711" s="56"/>
      <c r="BW711" s="56"/>
      <c r="BX711" s="56"/>
    </row>
    <row r="712">
      <c r="A712" s="48"/>
      <c r="B712" s="48"/>
      <c r="C712" s="48"/>
      <c r="D712" s="48"/>
      <c r="E712" s="48"/>
      <c r="F712" s="48"/>
      <c r="G712" s="48"/>
      <c r="H712" s="48"/>
      <c r="I712" s="48"/>
      <c r="J712" s="48"/>
      <c r="K712" s="64"/>
      <c r="L712" s="64"/>
      <c r="M712" s="48"/>
      <c r="N712" s="48"/>
      <c r="O712" s="48"/>
      <c r="P712" s="48"/>
      <c r="Q712" s="48"/>
      <c r="R712" s="48"/>
      <c r="S712" s="60"/>
      <c r="T712" s="48"/>
      <c r="U712" s="48"/>
      <c r="V712" s="48"/>
      <c r="W712" s="48"/>
      <c r="X712" s="48"/>
      <c r="Y712" s="48"/>
      <c r="Z712" s="48"/>
      <c r="AA712" s="48"/>
      <c r="AB712" s="48"/>
      <c r="AC712" s="48"/>
      <c r="AD712" s="48"/>
      <c r="AE712" s="48"/>
      <c r="AF712" s="60"/>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56"/>
      <c r="BJ712" s="56"/>
      <c r="BK712" s="56"/>
      <c r="BL712" s="56"/>
      <c r="BM712" s="56"/>
      <c r="BN712" s="56"/>
      <c r="BO712" s="56"/>
      <c r="BP712" s="56"/>
      <c r="BQ712" s="56"/>
      <c r="BR712" s="56"/>
      <c r="BS712" s="56"/>
      <c r="BT712" s="56"/>
      <c r="BU712" s="56"/>
      <c r="BV712" s="56"/>
      <c r="BW712" s="56"/>
      <c r="BX712" s="56"/>
    </row>
    <row r="713">
      <c r="A713" s="48"/>
      <c r="B713" s="48"/>
      <c r="C713" s="48"/>
      <c r="D713" s="48"/>
      <c r="E713" s="48"/>
      <c r="F713" s="48"/>
      <c r="G713" s="48"/>
      <c r="H713" s="48"/>
      <c r="I713" s="48"/>
      <c r="J713" s="48"/>
      <c r="K713" s="64"/>
      <c r="L713" s="64"/>
      <c r="M713" s="48"/>
      <c r="N713" s="48"/>
      <c r="O713" s="48"/>
      <c r="P713" s="48"/>
      <c r="Q713" s="48"/>
      <c r="R713" s="48"/>
      <c r="S713" s="60"/>
      <c r="T713" s="48"/>
      <c r="U713" s="48"/>
      <c r="V713" s="48"/>
      <c r="W713" s="48"/>
      <c r="X713" s="48"/>
      <c r="Y713" s="48"/>
      <c r="Z713" s="48"/>
      <c r="AA713" s="48"/>
      <c r="AB713" s="48"/>
      <c r="AC713" s="48"/>
      <c r="AD713" s="48"/>
      <c r="AE713" s="48"/>
      <c r="AF713" s="60"/>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56"/>
      <c r="BJ713" s="56"/>
      <c r="BK713" s="56"/>
      <c r="BL713" s="56"/>
      <c r="BM713" s="56"/>
      <c r="BN713" s="56"/>
      <c r="BO713" s="56"/>
      <c r="BP713" s="56"/>
      <c r="BQ713" s="56"/>
      <c r="BR713" s="56"/>
      <c r="BS713" s="56"/>
      <c r="BT713" s="56"/>
      <c r="BU713" s="56"/>
      <c r="BV713" s="56"/>
      <c r="BW713" s="56"/>
      <c r="BX713" s="56"/>
    </row>
    <row r="714">
      <c r="A714" s="48"/>
      <c r="B714" s="48"/>
      <c r="C714" s="48"/>
      <c r="D714" s="48"/>
      <c r="E714" s="48"/>
      <c r="F714" s="48"/>
      <c r="G714" s="48"/>
      <c r="H714" s="48"/>
      <c r="I714" s="48"/>
      <c r="J714" s="48"/>
      <c r="K714" s="64"/>
      <c r="L714" s="64"/>
      <c r="M714" s="48"/>
      <c r="N714" s="48"/>
      <c r="O714" s="48"/>
      <c r="P714" s="48"/>
      <c r="Q714" s="48"/>
      <c r="R714" s="48"/>
      <c r="S714" s="60"/>
      <c r="T714" s="48"/>
      <c r="U714" s="48"/>
      <c r="V714" s="48"/>
      <c r="W714" s="48"/>
      <c r="X714" s="48"/>
      <c r="Y714" s="48"/>
      <c r="Z714" s="48"/>
      <c r="AA714" s="48"/>
      <c r="AB714" s="48"/>
      <c r="AC714" s="48"/>
      <c r="AD714" s="48"/>
      <c r="AE714" s="48"/>
      <c r="AF714" s="60"/>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56"/>
      <c r="BJ714" s="56"/>
      <c r="BK714" s="56"/>
      <c r="BL714" s="56"/>
      <c r="BM714" s="56"/>
      <c r="BN714" s="56"/>
      <c r="BO714" s="56"/>
      <c r="BP714" s="56"/>
      <c r="BQ714" s="56"/>
      <c r="BR714" s="56"/>
      <c r="BS714" s="56"/>
      <c r="BT714" s="56"/>
      <c r="BU714" s="56"/>
      <c r="BV714" s="56"/>
      <c r="BW714" s="56"/>
      <c r="BX714" s="56"/>
    </row>
    <row r="715">
      <c r="A715" s="48"/>
      <c r="B715" s="48"/>
      <c r="C715" s="48"/>
      <c r="D715" s="48"/>
      <c r="E715" s="48"/>
      <c r="F715" s="48"/>
      <c r="G715" s="48"/>
      <c r="H715" s="48"/>
      <c r="I715" s="48"/>
      <c r="J715" s="48"/>
      <c r="K715" s="64"/>
      <c r="L715" s="64"/>
      <c r="M715" s="48"/>
      <c r="N715" s="48"/>
      <c r="O715" s="48"/>
      <c r="P715" s="48"/>
      <c r="Q715" s="48"/>
      <c r="R715" s="48"/>
      <c r="S715" s="60"/>
      <c r="T715" s="48"/>
      <c r="U715" s="48"/>
      <c r="V715" s="48"/>
      <c r="W715" s="48"/>
      <c r="X715" s="48"/>
      <c r="Y715" s="48"/>
      <c r="Z715" s="48"/>
      <c r="AA715" s="48"/>
      <c r="AB715" s="48"/>
      <c r="AC715" s="48"/>
      <c r="AD715" s="48"/>
      <c r="AE715" s="48"/>
      <c r="AF715" s="60"/>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56"/>
      <c r="BJ715" s="56"/>
      <c r="BK715" s="56"/>
      <c r="BL715" s="56"/>
      <c r="BM715" s="56"/>
      <c r="BN715" s="56"/>
      <c r="BO715" s="56"/>
      <c r="BP715" s="56"/>
      <c r="BQ715" s="56"/>
      <c r="BR715" s="56"/>
      <c r="BS715" s="56"/>
      <c r="BT715" s="56"/>
      <c r="BU715" s="56"/>
      <c r="BV715" s="56"/>
      <c r="BW715" s="56"/>
      <c r="BX715" s="56"/>
    </row>
    <row r="716">
      <c r="A716" s="48"/>
      <c r="B716" s="48"/>
      <c r="C716" s="48"/>
      <c r="D716" s="48"/>
      <c r="E716" s="48"/>
      <c r="F716" s="48"/>
      <c r="G716" s="48"/>
      <c r="H716" s="48"/>
      <c r="I716" s="48"/>
      <c r="J716" s="48"/>
      <c r="K716" s="64"/>
      <c r="L716" s="64"/>
      <c r="M716" s="48"/>
      <c r="N716" s="48"/>
      <c r="O716" s="48"/>
      <c r="P716" s="48"/>
      <c r="Q716" s="48"/>
      <c r="R716" s="48"/>
      <c r="S716" s="60"/>
      <c r="T716" s="48"/>
      <c r="U716" s="48"/>
      <c r="V716" s="48"/>
      <c r="W716" s="48"/>
      <c r="X716" s="48"/>
      <c r="Y716" s="48"/>
      <c r="Z716" s="48"/>
      <c r="AA716" s="48"/>
      <c r="AB716" s="48"/>
      <c r="AC716" s="48"/>
      <c r="AD716" s="48"/>
      <c r="AE716" s="48"/>
      <c r="AF716" s="60"/>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56"/>
      <c r="BJ716" s="56"/>
      <c r="BK716" s="56"/>
      <c r="BL716" s="56"/>
      <c r="BM716" s="56"/>
      <c r="BN716" s="56"/>
      <c r="BO716" s="56"/>
      <c r="BP716" s="56"/>
      <c r="BQ716" s="56"/>
      <c r="BR716" s="56"/>
      <c r="BS716" s="56"/>
      <c r="BT716" s="56"/>
      <c r="BU716" s="56"/>
      <c r="BV716" s="56"/>
      <c r="BW716" s="56"/>
      <c r="BX716" s="56"/>
    </row>
    <row r="717">
      <c r="A717" s="48"/>
      <c r="B717" s="48"/>
      <c r="C717" s="48"/>
      <c r="D717" s="48"/>
      <c r="E717" s="48"/>
      <c r="F717" s="48"/>
      <c r="G717" s="48"/>
      <c r="H717" s="48"/>
      <c r="I717" s="48"/>
      <c r="J717" s="48"/>
      <c r="K717" s="64"/>
      <c r="L717" s="64"/>
      <c r="M717" s="48"/>
      <c r="N717" s="48"/>
      <c r="O717" s="48"/>
      <c r="P717" s="48"/>
      <c r="Q717" s="48"/>
      <c r="R717" s="48"/>
      <c r="S717" s="60"/>
      <c r="T717" s="48"/>
      <c r="U717" s="48"/>
      <c r="V717" s="48"/>
      <c r="W717" s="48"/>
      <c r="X717" s="48"/>
      <c r="Y717" s="48"/>
      <c r="Z717" s="48"/>
      <c r="AA717" s="48"/>
      <c r="AB717" s="48"/>
      <c r="AC717" s="48"/>
      <c r="AD717" s="48"/>
      <c r="AE717" s="48"/>
      <c r="AF717" s="60"/>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56"/>
      <c r="BJ717" s="56"/>
      <c r="BK717" s="56"/>
      <c r="BL717" s="56"/>
      <c r="BM717" s="56"/>
      <c r="BN717" s="56"/>
      <c r="BO717" s="56"/>
      <c r="BP717" s="56"/>
      <c r="BQ717" s="56"/>
      <c r="BR717" s="56"/>
      <c r="BS717" s="56"/>
      <c r="BT717" s="56"/>
      <c r="BU717" s="56"/>
      <c r="BV717" s="56"/>
      <c r="BW717" s="56"/>
      <c r="BX717" s="56"/>
    </row>
    <row r="718">
      <c r="A718" s="48"/>
      <c r="B718" s="48"/>
      <c r="C718" s="48"/>
      <c r="D718" s="48"/>
      <c r="E718" s="48"/>
      <c r="F718" s="48"/>
      <c r="G718" s="48"/>
      <c r="H718" s="48"/>
      <c r="I718" s="48"/>
      <c r="J718" s="48"/>
      <c r="K718" s="64"/>
      <c r="L718" s="64"/>
      <c r="M718" s="48"/>
      <c r="N718" s="48"/>
      <c r="O718" s="48"/>
      <c r="P718" s="48"/>
      <c r="Q718" s="48"/>
      <c r="R718" s="48"/>
      <c r="S718" s="60"/>
      <c r="T718" s="48"/>
      <c r="U718" s="48"/>
      <c r="V718" s="48"/>
      <c r="W718" s="48"/>
      <c r="X718" s="48"/>
      <c r="Y718" s="48"/>
      <c r="Z718" s="48"/>
      <c r="AA718" s="48"/>
      <c r="AB718" s="48"/>
      <c r="AC718" s="48"/>
      <c r="AD718" s="48"/>
      <c r="AE718" s="48"/>
      <c r="AF718" s="60"/>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56"/>
      <c r="BJ718" s="56"/>
      <c r="BK718" s="56"/>
      <c r="BL718" s="56"/>
      <c r="BM718" s="56"/>
      <c r="BN718" s="56"/>
      <c r="BO718" s="56"/>
      <c r="BP718" s="56"/>
      <c r="BQ718" s="56"/>
      <c r="BR718" s="56"/>
      <c r="BS718" s="56"/>
      <c r="BT718" s="56"/>
      <c r="BU718" s="56"/>
      <c r="BV718" s="56"/>
      <c r="BW718" s="56"/>
      <c r="BX718" s="56"/>
    </row>
    <row r="719">
      <c r="A719" s="48"/>
      <c r="B719" s="48"/>
      <c r="C719" s="48"/>
      <c r="D719" s="48"/>
      <c r="E719" s="48"/>
      <c r="F719" s="48"/>
      <c r="G719" s="48"/>
      <c r="H719" s="48"/>
      <c r="I719" s="48"/>
      <c r="J719" s="48"/>
      <c r="K719" s="64"/>
      <c r="L719" s="64"/>
      <c r="M719" s="48"/>
      <c r="N719" s="48"/>
      <c r="O719" s="48"/>
      <c r="P719" s="48"/>
      <c r="Q719" s="48"/>
      <c r="R719" s="48"/>
      <c r="S719" s="60"/>
      <c r="T719" s="48"/>
      <c r="U719" s="48"/>
      <c r="V719" s="48"/>
      <c r="W719" s="48"/>
      <c r="X719" s="48"/>
      <c r="Y719" s="48"/>
      <c r="Z719" s="48"/>
      <c r="AA719" s="48"/>
      <c r="AB719" s="48"/>
      <c r="AC719" s="48"/>
      <c r="AD719" s="48"/>
      <c r="AE719" s="48"/>
      <c r="AF719" s="60"/>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56"/>
      <c r="BJ719" s="56"/>
      <c r="BK719" s="56"/>
      <c r="BL719" s="56"/>
      <c r="BM719" s="56"/>
      <c r="BN719" s="56"/>
      <c r="BO719" s="56"/>
      <c r="BP719" s="56"/>
      <c r="BQ719" s="56"/>
      <c r="BR719" s="56"/>
      <c r="BS719" s="56"/>
      <c r="BT719" s="56"/>
      <c r="BU719" s="56"/>
      <c r="BV719" s="56"/>
      <c r="BW719" s="56"/>
      <c r="BX719" s="56"/>
    </row>
    <row r="720">
      <c r="A720" s="48"/>
      <c r="B720" s="48"/>
      <c r="C720" s="48"/>
      <c r="D720" s="48"/>
      <c r="E720" s="48"/>
      <c r="F720" s="48"/>
      <c r="G720" s="48"/>
      <c r="H720" s="48"/>
      <c r="I720" s="48"/>
      <c r="J720" s="48"/>
      <c r="K720" s="64"/>
      <c r="L720" s="64"/>
      <c r="M720" s="48"/>
      <c r="N720" s="48"/>
      <c r="O720" s="48"/>
      <c r="P720" s="48"/>
      <c r="Q720" s="48"/>
      <c r="R720" s="48"/>
      <c r="S720" s="60"/>
      <c r="T720" s="48"/>
      <c r="U720" s="48"/>
      <c r="V720" s="48"/>
      <c r="W720" s="48"/>
      <c r="X720" s="48"/>
      <c r="Y720" s="48"/>
      <c r="Z720" s="48"/>
      <c r="AA720" s="48"/>
      <c r="AB720" s="48"/>
      <c r="AC720" s="48"/>
      <c r="AD720" s="48"/>
      <c r="AE720" s="48"/>
      <c r="AF720" s="60"/>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56"/>
      <c r="BJ720" s="56"/>
      <c r="BK720" s="56"/>
      <c r="BL720" s="56"/>
      <c r="BM720" s="56"/>
      <c r="BN720" s="56"/>
      <c r="BO720" s="56"/>
      <c r="BP720" s="56"/>
      <c r="BQ720" s="56"/>
      <c r="BR720" s="56"/>
      <c r="BS720" s="56"/>
      <c r="BT720" s="56"/>
      <c r="BU720" s="56"/>
      <c r="BV720" s="56"/>
      <c r="BW720" s="56"/>
      <c r="BX720" s="56"/>
    </row>
    <row r="721">
      <c r="A721" s="48"/>
      <c r="B721" s="48"/>
      <c r="C721" s="48"/>
      <c r="D721" s="48"/>
      <c r="E721" s="48"/>
      <c r="F721" s="48"/>
      <c r="G721" s="48"/>
      <c r="H721" s="48"/>
      <c r="I721" s="48"/>
      <c r="J721" s="48"/>
      <c r="K721" s="64"/>
      <c r="L721" s="64"/>
      <c r="M721" s="48"/>
      <c r="N721" s="48"/>
      <c r="O721" s="48"/>
      <c r="P721" s="48"/>
      <c r="Q721" s="48"/>
      <c r="R721" s="48"/>
      <c r="S721" s="60"/>
      <c r="T721" s="48"/>
      <c r="U721" s="48"/>
      <c r="V721" s="48"/>
      <c r="W721" s="48"/>
      <c r="X721" s="48"/>
      <c r="Y721" s="48"/>
      <c r="Z721" s="48"/>
      <c r="AA721" s="48"/>
      <c r="AB721" s="48"/>
      <c r="AC721" s="48"/>
      <c r="AD721" s="48"/>
      <c r="AE721" s="48"/>
      <c r="AF721" s="60"/>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56"/>
      <c r="BJ721" s="56"/>
      <c r="BK721" s="56"/>
      <c r="BL721" s="56"/>
      <c r="BM721" s="56"/>
      <c r="BN721" s="56"/>
      <c r="BO721" s="56"/>
      <c r="BP721" s="56"/>
      <c r="BQ721" s="56"/>
      <c r="BR721" s="56"/>
      <c r="BS721" s="56"/>
      <c r="BT721" s="56"/>
      <c r="BU721" s="56"/>
      <c r="BV721" s="56"/>
      <c r="BW721" s="56"/>
      <c r="BX721" s="56"/>
    </row>
    <row r="722">
      <c r="A722" s="48"/>
      <c r="B722" s="48"/>
      <c r="C722" s="48"/>
      <c r="D722" s="48"/>
      <c r="E722" s="48"/>
      <c r="F722" s="48"/>
      <c r="G722" s="48"/>
      <c r="H722" s="48"/>
      <c r="I722" s="48"/>
      <c r="J722" s="48"/>
      <c r="K722" s="64"/>
      <c r="L722" s="64"/>
      <c r="M722" s="48"/>
      <c r="N722" s="48"/>
      <c r="O722" s="48"/>
      <c r="P722" s="48"/>
      <c r="Q722" s="48"/>
      <c r="R722" s="48"/>
      <c r="S722" s="60"/>
      <c r="T722" s="48"/>
      <c r="U722" s="48"/>
      <c r="V722" s="48"/>
      <c r="W722" s="48"/>
      <c r="X722" s="48"/>
      <c r="Y722" s="48"/>
      <c r="Z722" s="48"/>
      <c r="AA722" s="48"/>
      <c r="AB722" s="48"/>
      <c r="AC722" s="48"/>
      <c r="AD722" s="48"/>
      <c r="AE722" s="48"/>
      <c r="AF722" s="60"/>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56"/>
      <c r="BJ722" s="56"/>
      <c r="BK722" s="56"/>
      <c r="BL722" s="56"/>
      <c r="BM722" s="56"/>
      <c r="BN722" s="56"/>
      <c r="BO722" s="56"/>
      <c r="BP722" s="56"/>
      <c r="BQ722" s="56"/>
      <c r="BR722" s="56"/>
      <c r="BS722" s="56"/>
      <c r="BT722" s="56"/>
      <c r="BU722" s="56"/>
      <c r="BV722" s="56"/>
      <c r="BW722" s="56"/>
      <c r="BX722" s="56"/>
    </row>
    <row r="723">
      <c r="A723" s="48"/>
      <c r="B723" s="48"/>
      <c r="C723" s="48"/>
      <c r="D723" s="48"/>
      <c r="E723" s="48"/>
      <c r="F723" s="48"/>
      <c r="G723" s="48"/>
      <c r="H723" s="48"/>
      <c r="I723" s="48"/>
      <c r="J723" s="48"/>
      <c r="K723" s="64"/>
      <c r="L723" s="64"/>
      <c r="M723" s="48"/>
      <c r="N723" s="48"/>
      <c r="O723" s="48"/>
      <c r="P723" s="48"/>
      <c r="Q723" s="48"/>
      <c r="R723" s="48"/>
      <c r="S723" s="60"/>
      <c r="T723" s="48"/>
      <c r="U723" s="48"/>
      <c r="V723" s="48"/>
      <c r="W723" s="48"/>
      <c r="X723" s="48"/>
      <c r="Y723" s="48"/>
      <c r="Z723" s="48"/>
      <c r="AA723" s="48"/>
      <c r="AB723" s="48"/>
      <c r="AC723" s="48"/>
      <c r="AD723" s="48"/>
      <c r="AE723" s="48"/>
      <c r="AF723" s="60"/>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56"/>
      <c r="BJ723" s="56"/>
      <c r="BK723" s="56"/>
      <c r="BL723" s="56"/>
      <c r="BM723" s="56"/>
      <c r="BN723" s="56"/>
      <c r="BO723" s="56"/>
      <c r="BP723" s="56"/>
      <c r="BQ723" s="56"/>
      <c r="BR723" s="56"/>
      <c r="BS723" s="56"/>
      <c r="BT723" s="56"/>
      <c r="BU723" s="56"/>
      <c r="BV723" s="56"/>
      <c r="BW723" s="56"/>
      <c r="BX723" s="56"/>
    </row>
    <row r="724">
      <c r="A724" s="48"/>
      <c r="B724" s="48"/>
      <c r="C724" s="48"/>
      <c r="D724" s="48"/>
      <c r="E724" s="48"/>
      <c r="F724" s="48"/>
      <c r="G724" s="48"/>
      <c r="H724" s="48"/>
      <c r="I724" s="48"/>
      <c r="J724" s="48"/>
      <c r="K724" s="64"/>
      <c r="L724" s="64"/>
      <c r="M724" s="48"/>
      <c r="N724" s="48"/>
      <c r="O724" s="48"/>
      <c r="P724" s="48"/>
      <c r="Q724" s="48"/>
      <c r="R724" s="48"/>
      <c r="S724" s="60"/>
      <c r="T724" s="48"/>
      <c r="U724" s="48"/>
      <c r="V724" s="48"/>
      <c r="W724" s="48"/>
      <c r="X724" s="48"/>
      <c r="Y724" s="48"/>
      <c r="Z724" s="48"/>
      <c r="AA724" s="48"/>
      <c r="AB724" s="48"/>
      <c r="AC724" s="48"/>
      <c r="AD724" s="48"/>
      <c r="AE724" s="48"/>
      <c r="AF724" s="60"/>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56"/>
      <c r="BJ724" s="56"/>
      <c r="BK724" s="56"/>
      <c r="BL724" s="56"/>
      <c r="BM724" s="56"/>
      <c r="BN724" s="56"/>
      <c r="BO724" s="56"/>
      <c r="BP724" s="56"/>
      <c r="BQ724" s="56"/>
      <c r="BR724" s="56"/>
      <c r="BS724" s="56"/>
      <c r="BT724" s="56"/>
      <c r="BU724" s="56"/>
      <c r="BV724" s="56"/>
      <c r="BW724" s="56"/>
      <c r="BX724" s="56"/>
    </row>
    <row r="725">
      <c r="A725" s="48"/>
      <c r="B725" s="48"/>
      <c r="C725" s="48"/>
      <c r="D725" s="48"/>
      <c r="E725" s="48"/>
      <c r="F725" s="48"/>
      <c r="G725" s="48"/>
      <c r="H725" s="48"/>
      <c r="I725" s="48"/>
      <c r="J725" s="48"/>
      <c r="K725" s="64"/>
      <c r="L725" s="64"/>
      <c r="M725" s="48"/>
      <c r="N725" s="48"/>
      <c r="O725" s="48"/>
      <c r="P725" s="48"/>
      <c r="Q725" s="48"/>
      <c r="R725" s="48"/>
      <c r="S725" s="60"/>
      <c r="T725" s="48"/>
      <c r="U725" s="48"/>
      <c r="V725" s="48"/>
      <c r="W725" s="48"/>
      <c r="X725" s="48"/>
      <c r="Y725" s="48"/>
      <c r="Z725" s="48"/>
      <c r="AA725" s="48"/>
      <c r="AB725" s="48"/>
      <c r="AC725" s="48"/>
      <c r="AD725" s="48"/>
      <c r="AE725" s="48"/>
      <c r="AF725" s="60"/>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56"/>
      <c r="BJ725" s="56"/>
      <c r="BK725" s="56"/>
      <c r="BL725" s="56"/>
      <c r="BM725" s="56"/>
      <c r="BN725" s="56"/>
      <c r="BO725" s="56"/>
      <c r="BP725" s="56"/>
      <c r="BQ725" s="56"/>
      <c r="BR725" s="56"/>
      <c r="BS725" s="56"/>
      <c r="BT725" s="56"/>
      <c r="BU725" s="56"/>
      <c r="BV725" s="56"/>
      <c r="BW725" s="56"/>
      <c r="BX725" s="56"/>
    </row>
    <row r="726">
      <c r="A726" s="48"/>
      <c r="B726" s="48"/>
      <c r="C726" s="48"/>
      <c r="D726" s="48"/>
      <c r="E726" s="48"/>
      <c r="F726" s="48"/>
      <c r="G726" s="48"/>
      <c r="H726" s="48"/>
      <c r="I726" s="48"/>
      <c r="J726" s="48"/>
      <c r="K726" s="64"/>
      <c r="L726" s="64"/>
      <c r="M726" s="48"/>
      <c r="N726" s="48"/>
      <c r="O726" s="48"/>
      <c r="P726" s="48"/>
      <c r="Q726" s="48"/>
      <c r="R726" s="48"/>
      <c r="S726" s="60"/>
      <c r="T726" s="48"/>
      <c r="U726" s="48"/>
      <c r="V726" s="48"/>
      <c r="W726" s="48"/>
      <c r="X726" s="48"/>
      <c r="Y726" s="48"/>
      <c r="Z726" s="48"/>
      <c r="AA726" s="48"/>
      <c r="AB726" s="48"/>
      <c r="AC726" s="48"/>
      <c r="AD726" s="48"/>
      <c r="AE726" s="48"/>
      <c r="AF726" s="60"/>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56"/>
      <c r="BJ726" s="56"/>
      <c r="BK726" s="56"/>
      <c r="BL726" s="56"/>
      <c r="BM726" s="56"/>
      <c r="BN726" s="56"/>
      <c r="BO726" s="56"/>
      <c r="BP726" s="56"/>
      <c r="BQ726" s="56"/>
      <c r="BR726" s="56"/>
      <c r="BS726" s="56"/>
      <c r="BT726" s="56"/>
      <c r="BU726" s="56"/>
      <c r="BV726" s="56"/>
      <c r="BW726" s="56"/>
      <c r="BX726" s="56"/>
    </row>
    <row r="727">
      <c r="A727" s="48"/>
      <c r="B727" s="48"/>
      <c r="C727" s="48"/>
      <c r="D727" s="48"/>
      <c r="E727" s="48"/>
      <c r="F727" s="48"/>
      <c r="G727" s="48"/>
      <c r="H727" s="48"/>
      <c r="I727" s="48"/>
      <c r="J727" s="48"/>
      <c r="K727" s="64"/>
      <c r="L727" s="64"/>
      <c r="M727" s="48"/>
      <c r="N727" s="48"/>
      <c r="O727" s="48"/>
      <c r="P727" s="48"/>
      <c r="Q727" s="48"/>
      <c r="R727" s="48"/>
      <c r="S727" s="60"/>
      <c r="T727" s="48"/>
      <c r="U727" s="48"/>
      <c r="V727" s="48"/>
      <c r="W727" s="48"/>
      <c r="X727" s="48"/>
      <c r="Y727" s="48"/>
      <c r="Z727" s="48"/>
      <c r="AA727" s="48"/>
      <c r="AB727" s="48"/>
      <c r="AC727" s="48"/>
      <c r="AD727" s="48"/>
      <c r="AE727" s="48"/>
      <c r="AF727" s="60"/>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56"/>
      <c r="BJ727" s="56"/>
      <c r="BK727" s="56"/>
      <c r="BL727" s="56"/>
      <c r="BM727" s="56"/>
      <c r="BN727" s="56"/>
      <c r="BO727" s="56"/>
      <c r="BP727" s="56"/>
      <c r="BQ727" s="56"/>
      <c r="BR727" s="56"/>
      <c r="BS727" s="56"/>
      <c r="BT727" s="56"/>
      <c r="BU727" s="56"/>
      <c r="BV727" s="56"/>
      <c r="BW727" s="56"/>
      <c r="BX727" s="56"/>
    </row>
    <row r="728">
      <c r="A728" s="48"/>
      <c r="B728" s="48"/>
      <c r="C728" s="48"/>
      <c r="D728" s="48"/>
      <c r="E728" s="48"/>
      <c r="F728" s="48"/>
      <c r="G728" s="48"/>
      <c r="H728" s="48"/>
      <c r="I728" s="48"/>
      <c r="J728" s="48"/>
      <c r="K728" s="64"/>
      <c r="L728" s="64"/>
      <c r="M728" s="48"/>
      <c r="N728" s="48"/>
      <c r="O728" s="48"/>
      <c r="P728" s="48"/>
      <c r="Q728" s="48"/>
      <c r="R728" s="48"/>
      <c r="S728" s="60"/>
      <c r="T728" s="48"/>
      <c r="U728" s="48"/>
      <c r="V728" s="48"/>
      <c r="W728" s="48"/>
      <c r="X728" s="48"/>
      <c r="Y728" s="48"/>
      <c r="Z728" s="48"/>
      <c r="AA728" s="48"/>
      <c r="AB728" s="48"/>
      <c r="AC728" s="48"/>
      <c r="AD728" s="48"/>
      <c r="AE728" s="48"/>
      <c r="AF728" s="60"/>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56"/>
      <c r="BJ728" s="56"/>
      <c r="BK728" s="56"/>
      <c r="BL728" s="56"/>
      <c r="BM728" s="56"/>
      <c r="BN728" s="56"/>
      <c r="BO728" s="56"/>
      <c r="BP728" s="56"/>
      <c r="BQ728" s="56"/>
      <c r="BR728" s="56"/>
      <c r="BS728" s="56"/>
      <c r="BT728" s="56"/>
      <c r="BU728" s="56"/>
      <c r="BV728" s="56"/>
      <c r="BW728" s="56"/>
      <c r="BX728" s="56"/>
    </row>
    <row r="729">
      <c r="A729" s="48"/>
      <c r="B729" s="48"/>
      <c r="C729" s="48"/>
      <c r="D729" s="48"/>
      <c r="E729" s="48"/>
      <c r="F729" s="48"/>
      <c r="G729" s="48"/>
      <c r="H729" s="48"/>
      <c r="I729" s="48"/>
      <c r="J729" s="48"/>
      <c r="K729" s="64"/>
      <c r="L729" s="64"/>
      <c r="M729" s="48"/>
      <c r="N729" s="48"/>
      <c r="O729" s="48"/>
      <c r="P729" s="48"/>
      <c r="Q729" s="48"/>
      <c r="R729" s="48"/>
      <c r="S729" s="60"/>
      <c r="T729" s="48"/>
      <c r="U729" s="48"/>
      <c r="V729" s="48"/>
      <c r="W729" s="48"/>
      <c r="X729" s="48"/>
      <c r="Y729" s="48"/>
      <c r="Z729" s="48"/>
      <c r="AA729" s="48"/>
      <c r="AB729" s="48"/>
      <c r="AC729" s="48"/>
      <c r="AD729" s="48"/>
      <c r="AE729" s="48"/>
      <c r="AF729" s="60"/>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56"/>
      <c r="BJ729" s="56"/>
      <c r="BK729" s="56"/>
      <c r="BL729" s="56"/>
      <c r="BM729" s="56"/>
      <c r="BN729" s="56"/>
      <c r="BO729" s="56"/>
      <c r="BP729" s="56"/>
      <c r="BQ729" s="56"/>
      <c r="BR729" s="56"/>
      <c r="BS729" s="56"/>
      <c r="BT729" s="56"/>
      <c r="BU729" s="56"/>
      <c r="BV729" s="56"/>
      <c r="BW729" s="56"/>
      <c r="BX729" s="56"/>
    </row>
    <row r="730">
      <c r="A730" s="48"/>
      <c r="B730" s="48"/>
      <c r="C730" s="48"/>
      <c r="D730" s="48"/>
      <c r="E730" s="48"/>
      <c r="F730" s="48"/>
      <c r="G730" s="48"/>
      <c r="H730" s="48"/>
      <c r="I730" s="48"/>
      <c r="J730" s="48"/>
      <c r="K730" s="64"/>
      <c r="L730" s="64"/>
      <c r="M730" s="48"/>
      <c r="N730" s="48"/>
      <c r="O730" s="48"/>
      <c r="P730" s="48"/>
      <c r="Q730" s="48"/>
      <c r="R730" s="48"/>
      <c r="S730" s="60"/>
      <c r="T730" s="48"/>
      <c r="U730" s="48"/>
      <c r="V730" s="48"/>
      <c r="W730" s="48"/>
      <c r="X730" s="48"/>
      <c r="Y730" s="48"/>
      <c r="Z730" s="48"/>
      <c r="AA730" s="48"/>
      <c r="AB730" s="48"/>
      <c r="AC730" s="48"/>
      <c r="AD730" s="48"/>
      <c r="AE730" s="48"/>
      <c r="AF730" s="60"/>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56"/>
      <c r="BJ730" s="56"/>
      <c r="BK730" s="56"/>
      <c r="BL730" s="56"/>
      <c r="BM730" s="56"/>
      <c r="BN730" s="56"/>
      <c r="BO730" s="56"/>
      <c r="BP730" s="56"/>
      <c r="BQ730" s="56"/>
      <c r="BR730" s="56"/>
      <c r="BS730" s="56"/>
      <c r="BT730" s="56"/>
      <c r="BU730" s="56"/>
      <c r="BV730" s="56"/>
      <c r="BW730" s="56"/>
      <c r="BX730" s="56"/>
    </row>
    <row r="731">
      <c r="A731" s="48"/>
      <c r="B731" s="48"/>
      <c r="C731" s="48"/>
      <c r="D731" s="48"/>
      <c r="E731" s="48"/>
      <c r="F731" s="48"/>
      <c r="G731" s="48"/>
      <c r="H731" s="48"/>
      <c r="I731" s="48"/>
      <c r="J731" s="48"/>
      <c r="K731" s="64"/>
      <c r="L731" s="64"/>
      <c r="M731" s="48"/>
      <c r="N731" s="48"/>
      <c r="O731" s="48"/>
      <c r="P731" s="48"/>
      <c r="Q731" s="48"/>
      <c r="R731" s="48"/>
      <c r="S731" s="60"/>
      <c r="T731" s="48"/>
      <c r="U731" s="48"/>
      <c r="V731" s="48"/>
      <c r="W731" s="48"/>
      <c r="X731" s="48"/>
      <c r="Y731" s="48"/>
      <c r="Z731" s="48"/>
      <c r="AA731" s="48"/>
      <c r="AB731" s="48"/>
      <c r="AC731" s="48"/>
      <c r="AD731" s="48"/>
      <c r="AE731" s="48"/>
      <c r="AF731" s="60"/>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56"/>
      <c r="BJ731" s="56"/>
      <c r="BK731" s="56"/>
      <c r="BL731" s="56"/>
      <c r="BM731" s="56"/>
      <c r="BN731" s="56"/>
      <c r="BO731" s="56"/>
      <c r="BP731" s="56"/>
      <c r="BQ731" s="56"/>
      <c r="BR731" s="56"/>
      <c r="BS731" s="56"/>
      <c r="BT731" s="56"/>
      <c r="BU731" s="56"/>
      <c r="BV731" s="56"/>
      <c r="BW731" s="56"/>
      <c r="BX731" s="56"/>
    </row>
    <row r="732">
      <c r="A732" s="48"/>
      <c r="B732" s="48"/>
      <c r="C732" s="48"/>
      <c r="D732" s="48"/>
      <c r="E732" s="48"/>
      <c r="F732" s="48"/>
      <c r="G732" s="48"/>
      <c r="H732" s="48"/>
      <c r="I732" s="48"/>
      <c r="J732" s="48"/>
      <c r="K732" s="64"/>
      <c r="L732" s="64"/>
      <c r="M732" s="48"/>
      <c r="N732" s="48"/>
      <c r="O732" s="48"/>
      <c r="P732" s="48"/>
      <c r="Q732" s="48"/>
      <c r="R732" s="48"/>
      <c r="S732" s="60"/>
      <c r="T732" s="48"/>
      <c r="U732" s="48"/>
      <c r="V732" s="48"/>
      <c r="W732" s="48"/>
      <c r="X732" s="48"/>
      <c r="Y732" s="48"/>
      <c r="Z732" s="48"/>
      <c r="AA732" s="48"/>
      <c r="AB732" s="48"/>
      <c r="AC732" s="48"/>
      <c r="AD732" s="48"/>
      <c r="AE732" s="48"/>
      <c r="AF732" s="60"/>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56"/>
      <c r="BJ732" s="56"/>
      <c r="BK732" s="56"/>
      <c r="BL732" s="56"/>
      <c r="BM732" s="56"/>
      <c r="BN732" s="56"/>
      <c r="BO732" s="56"/>
      <c r="BP732" s="56"/>
      <c r="BQ732" s="56"/>
      <c r="BR732" s="56"/>
      <c r="BS732" s="56"/>
      <c r="BT732" s="56"/>
      <c r="BU732" s="56"/>
      <c r="BV732" s="56"/>
      <c r="BW732" s="56"/>
      <c r="BX732" s="56"/>
    </row>
    <row r="733">
      <c r="A733" s="48"/>
      <c r="B733" s="48"/>
      <c r="C733" s="48"/>
      <c r="D733" s="48"/>
      <c r="E733" s="48"/>
      <c r="F733" s="48"/>
      <c r="G733" s="48"/>
      <c r="H733" s="48"/>
      <c r="I733" s="48"/>
      <c r="J733" s="48"/>
      <c r="K733" s="64"/>
      <c r="L733" s="64"/>
      <c r="M733" s="48"/>
      <c r="N733" s="48"/>
      <c r="O733" s="48"/>
      <c r="P733" s="48"/>
      <c r="Q733" s="48"/>
      <c r="R733" s="48"/>
      <c r="S733" s="60"/>
      <c r="T733" s="48"/>
      <c r="U733" s="48"/>
      <c r="V733" s="48"/>
      <c r="W733" s="48"/>
      <c r="X733" s="48"/>
      <c r="Y733" s="48"/>
      <c r="Z733" s="48"/>
      <c r="AA733" s="48"/>
      <c r="AB733" s="48"/>
      <c r="AC733" s="48"/>
      <c r="AD733" s="48"/>
      <c r="AE733" s="48"/>
      <c r="AF733" s="60"/>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56"/>
      <c r="BJ733" s="56"/>
      <c r="BK733" s="56"/>
      <c r="BL733" s="56"/>
      <c r="BM733" s="56"/>
      <c r="BN733" s="56"/>
      <c r="BO733" s="56"/>
      <c r="BP733" s="56"/>
      <c r="BQ733" s="56"/>
      <c r="BR733" s="56"/>
      <c r="BS733" s="56"/>
      <c r="BT733" s="56"/>
      <c r="BU733" s="56"/>
      <c r="BV733" s="56"/>
      <c r="BW733" s="56"/>
      <c r="BX733" s="56"/>
    </row>
    <row r="734">
      <c r="A734" s="48"/>
      <c r="B734" s="48"/>
      <c r="C734" s="48"/>
      <c r="D734" s="48"/>
      <c r="E734" s="48"/>
      <c r="F734" s="48"/>
      <c r="G734" s="48"/>
      <c r="H734" s="48"/>
      <c r="I734" s="48"/>
      <c r="J734" s="48"/>
      <c r="K734" s="64"/>
      <c r="L734" s="64"/>
      <c r="M734" s="48"/>
      <c r="N734" s="48"/>
      <c r="O734" s="48"/>
      <c r="P734" s="48"/>
      <c r="Q734" s="48"/>
      <c r="R734" s="48"/>
      <c r="S734" s="60"/>
      <c r="T734" s="48"/>
      <c r="U734" s="48"/>
      <c r="V734" s="48"/>
      <c r="W734" s="48"/>
      <c r="X734" s="48"/>
      <c r="Y734" s="48"/>
      <c r="Z734" s="48"/>
      <c r="AA734" s="48"/>
      <c r="AB734" s="48"/>
      <c r="AC734" s="48"/>
      <c r="AD734" s="48"/>
      <c r="AE734" s="48"/>
      <c r="AF734" s="60"/>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56"/>
      <c r="BJ734" s="56"/>
      <c r="BK734" s="56"/>
      <c r="BL734" s="56"/>
      <c r="BM734" s="56"/>
      <c r="BN734" s="56"/>
      <c r="BO734" s="56"/>
      <c r="BP734" s="56"/>
      <c r="BQ734" s="56"/>
      <c r="BR734" s="56"/>
      <c r="BS734" s="56"/>
      <c r="BT734" s="56"/>
      <c r="BU734" s="56"/>
      <c r="BV734" s="56"/>
      <c r="BW734" s="56"/>
      <c r="BX734" s="56"/>
    </row>
    <row r="735">
      <c r="A735" s="48"/>
      <c r="B735" s="48"/>
      <c r="C735" s="48"/>
      <c r="D735" s="48"/>
      <c r="E735" s="48"/>
      <c r="F735" s="48"/>
      <c r="G735" s="48"/>
      <c r="H735" s="48"/>
      <c r="I735" s="48"/>
      <c r="J735" s="48"/>
      <c r="K735" s="64"/>
      <c r="L735" s="64"/>
      <c r="M735" s="48"/>
      <c r="N735" s="48"/>
      <c r="O735" s="48"/>
      <c r="P735" s="48"/>
      <c r="Q735" s="48"/>
      <c r="R735" s="48"/>
      <c r="S735" s="60"/>
      <c r="T735" s="48"/>
      <c r="U735" s="48"/>
      <c r="V735" s="48"/>
      <c r="W735" s="48"/>
      <c r="X735" s="48"/>
      <c r="Y735" s="48"/>
      <c r="Z735" s="48"/>
      <c r="AA735" s="48"/>
      <c r="AB735" s="48"/>
      <c r="AC735" s="48"/>
      <c r="AD735" s="48"/>
      <c r="AE735" s="48"/>
      <c r="AF735" s="60"/>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56"/>
      <c r="BJ735" s="56"/>
      <c r="BK735" s="56"/>
      <c r="BL735" s="56"/>
      <c r="BM735" s="56"/>
      <c r="BN735" s="56"/>
      <c r="BO735" s="56"/>
      <c r="BP735" s="56"/>
      <c r="BQ735" s="56"/>
      <c r="BR735" s="56"/>
      <c r="BS735" s="56"/>
      <c r="BT735" s="56"/>
      <c r="BU735" s="56"/>
      <c r="BV735" s="56"/>
      <c r="BW735" s="56"/>
      <c r="BX735" s="56"/>
    </row>
    <row r="736">
      <c r="A736" s="48"/>
      <c r="B736" s="48"/>
      <c r="C736" s="48"/>
      <c r="D736" s="48"/>
      <c r="E736" s="48"/>
      <c r="F736" s="48"/>
      <c r="G736" s="48"/>
      <c r="H736" s="48"/>
      <c r="I736" s="48"/>
      <c r="J736" s="48"/>
      <c r="K736" s="64"/>
      <c r="L736" s="64"/>
      <c r="M736" s="48"/>
      <c r="N736" s="48"/>
      <c r="O736" s="48"/>
      <c r="P736" s="48"/>
      <c r="Q736" s="48"/>
      <c r="R736" s="48"/>
      <c r="S736" s="60"/>
      <c r="T736" s="48"/>
      <c r="U736" s="48"/>
      <c r="V736" s="48"/>
      <c r="W736" s="48"/>
      <c r="X736" s="48"/>
      <c r="Y736" s="48"/>
      <c r="Z736" s="48"/>
      <c r="AA736" s="48"/>
      <c r="AB736" s="48"/>
      <c r="AC736" s="48"/>
      <c r="AD736" s="48"/>
      <c r="AE736" s="48"/>
      <c r="AF736" s="60"/>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56"/>
      <c r="BJ736" s="56"/>
      <c r="BK736" s="56"/>
      <c r="BL736" s="56"/>
      <c r="BM736" s="56"/>
      <c r="BN736" s="56"/>
      <c r="BO736" s="56"/>
      <c r="BP736" s="56"/>
      <c r="BQ736" s="56"/>
      <c r="BR736" s="56"/>
      <c r="BS736" s="56"/>
      <c r="BT736" s="56"/>
      <c r="BU736" s="56"/>
      <c r="BV736" s="56"/>
      <c r="BW736" s="56"/>
      <c r="BX736" s="56"/>
    </row>
    <row r="737">
      <c r="A737" s="48"/>
      <c r="B737" s="48"/>
      <c r="C737" s="48"/>
      <c r="D737" s="48"/>
      <c r="E737" s="48"/>
      <c r="F737" s="48"/>
      <c r="G737" s="48"/>
      <c r="H737" s="48"/>
      <c r="I737" s="48"/>
      <c r="J737" s="48"/>
      <c r="K737" s="64"/>
      <c r="L737" s="64"/>
      <c r="M737" s="48"/>
      <c r="N737" s="48"/>
      <c r="O737" s="48"/>
      <c r="P737" s="48"/>
      <c r="Q737" s="48"/>
      <c r="R737" s="48"/>
      <c r="S737" s="60"/>
      <c r="T737" s="48"/>
      <c r="U737" s="48"/>
      <c r="V737" s="48"/>
      <c r="W737" s="48"/>
      <c r="X737" s="48"/>
      <c r="Y737" s="48"/>
      <c r="Z737" s="48"/>
      <c r="AA737" s="48"/>
      <c r="AB737" s="48"/>
      <c r="AC737" s="48"/>
      <c r="AD737" s="48"/>
      <c r="AE737" s="48"/>
      <c r="AF737" s="60"/>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56"/>
      <c r="BJ737" s="56"/>
      <c r="BK737" s="56"/>
      <c r="BL737" s="56"/>
      <c r="BM737" s="56"/>
      <c r="BN737" s="56"/>
      <c r="BO737" s="56"/>
      <c r="BP737" s="56"/>
      <c r="BQ737" s="56"/>
      <c r="BR737" s="56"/>
      <c r="BS737" s="56"/>
      <c r="BT737" s="56"/>
      <c r="BU737" s="56"/>
      <c r="BV737" s="56"/>
      <c r="BW737" s="56"/>
      <c r="BX737" s="56"/>
    </row>
    <row r="738">
      <c r="A738" s="48"/>
      <c r="B738" s="48"/>
      <c r="C738" s="48"/>
      <c r="D738" s="48"/>
      <c r="E738" s="48"/>
      <c r="F738" s="48"/>
      <c r="G738" s="48"/>
      <c r="H738" s="48"/>
      <c r="I738" s="48"/>
      <c r="J738" s="48"/>
      <c r="K738" s="64"/>
      <c r="L738" s="64"/>
      <c r="M738" s="48"/>
      <c r="N738" s="48"/>
      <c r="O738" s="48"/>
      <c r="P738" s="48"/>
      <c r="Q738" s="48"/>
      <c r="R738" s="48"/>
      <c r="S738" s="60"/>
      <c r="T738" s="48"/>
      <c r="U738" s="48"/>
      <c r="V738" s="48"/>
      <c r="W738" s="48"/>
      <c r="X738" s="48"/>
      <c r="Y738" s="48"/>
      <c r="Z738" s="48"/>
      <c r="AA738" s="48"/>
      <c r="AB738" s="48"/>
      <c r="AC738" s="48"/>
      <c r="AD738" s="48"/>
      <c r="AE738" s="48"/>
      <c r="AF738" s="60"/>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56"/>
      <c r="BJ738" s="56"/>
      <c r="BK738" s="56"/>
      <c r="BL738" s="56"/>
      <c r="BM738" s="56"/>
      <c r="BN738" s="56"/>
      <c r="BO738" s="56"/>
      <c r="BP738" s="56"/>
      <c r="BQ738" s="56"/>
      <c r="BR738" s="56"/>
      <c r="BS738" s="56"/>
      <c r="BT738" s="56"/>
      <c r="BU738" s="56"/>
      <c r="BV738" s="56"/>
      <c r="BW738" s="56"/>
      <c r="BX738" s="56"/>
    </row>
    <row r="739">
      <c r="A739" s="48"/>
      <c r="B739" s="48"/>
      <c r="C739" s="48"/>
      <c r="D739" s="48"/>
      <c r="E739" s="48"/>
      <c r="F739" s="48"/>
      <c r="G739" s="48"/>
      <c r="H739" s="48"/>
      <c r="I739" s="48"/>
      <c r="J739" s="48"/>
      <c r="K739" s="64"/>
      <c r="L739" s="64"/>
      <c r="M739" s="48"/>
      <c r="N739" s="48"/>
      <c r="O739" s="48"/>
      <c r="P739" s="48"/>
      <c r="Q739" s="48"/>
      <c r="R739" s="48"/>
      <c r="S739" s="60"/>
      <c r="T739" s="48"/>
      <c r="U739" s="48"/>
      <c r="V739" s="48"/>
      <c r="W739" s="48"/>
      <c r="X739" s="48"/>
      <c r="Y739" s="48"/>
      <c r="Z739" s="48"/>
      <c r="AA739" s="48"/>
      <c r="AB739" s="48"/>
      <c r="AC739" s="48"/>
      <c r="AD739" s="48"/>
      <c r="AE739" s="48"/>
      <c r="AF739" s="60"/>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56"/>
      <c r="BJ739" s="56"/>
      <c r="BK739" s="56"/>
      <c r="BL739" s="56"/>
      <c r="BM739" s="56"/>
      <c r="BN739" s="56"/>
      <c r="BO739" s="56"/>
      <c r="BP739" s="56"/>
      <c r="BQ739" s="56"/>
      <c r="BR739" s="56"/>
      <c r="BS739" s="56"/>
      <c r="BT739" s="56"/>
      <c r="BU739" s="56"/>
      <c r="BV739" s="56"/>
      <c r="BW739" s="56"/>
      <c r="BX739" s="56"/>
    </row>
    <row r="740">
      <c r="A740" s="48"/>
      <c r="B740" s="48"/>
      <c r="C740" s="48"/>
      <c r="D740" s="48"/>
      <c r="E740" s="48"/>
      <c r="F740" s="48"/>
      <c r="G740" s="48"/>
      <c r="H740" s="48"/>
      <c r="I740" s="48"/>
      <c r="J740" s="48"/>
      <c r="K740" s="64"/>
      <c r="L740" s="64"/>
      <c r="M740" s="48"/>
      <c r="N740" s="48"/>
      <c r="O740" s="48"/>
      <c r="P740" s="48"/>
      <c r="Q740" s="48"/>
      <c r="R740" s="48"/>
      <c r="S740" s="60"/>
      <c r="T740" s="48"/>
      <c r="U740" s="48"/>
      <c r="V740" s="48"/>
      <c r="W740" s="48"/>
      <c r="X740" s="48"/>
      <c r="Y740" s="48"/>
      <c r="Z740" s="48"/>
      <c r="AA740" s="48"/>
      <c r="AB740" s="48"/>
      <c r="AC740" s="48"/>
      <c r="AD740" s="48"/>
      <c r="AE740" s="48"/>
      <c r="AF740" s="60"/>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56"/>
      <c r="BJ740" s="56"/>
      <c r="BK740" s="56"/>
      <c r="BL740" s="56"/>
      <c r="BM740" s="56"/>
      <c r="BN740" s="56"/>
      <c r="BO740" s="56"/>
      <c r="BP740" s="56"/>
      <c r="BQ740" s="56"/>
      <c r="BR740" s="56"/>
      <c r="BS740" s="56"/>
      <c r="BT740" s="56"/>
      <c r="BU740" s="56"/>
      <c r="BV740" s="56"/>
      <c r="BW740" s="56"/>
      <c r="BX740" s="56"/>
    </row>
    <row r="741">
      <c r="A741" s="48"/>
      <c r="B741" s="48"/>
      <c r="C741" s="48"/>
      <c r="D741" s="48"/>
      <c r="E741" s="48"/>
      <c r="F741" s="48"/>
      <c r="G741" s="48"/>
      <c r="H741" s="48"/>
      <c r="I741" s="48"/>
      <c r="J741" s="48"/>
      <c r="K741" s="64"/>
      <c r="L741" s="64"/>
      <c r="M741" s="48"/>
      <c r="N741" s="48"/>
      <c r="O741" s="48"/>
      <c r="P741" s="48"/>
      <c r="Q741" s="48"/>
      <c r="R741" s="48"/>
      <c r="S741" s="60"/>
      <c r="T741" s="48"/>
      <c r="U741" s="48"/>
      <c r="V741" s="48"/>
      <c r="W741" s="48"/>
      <c r="X741" s="48"/>
      <c r="Y741" s="48"/>
      <c r="Z741" s="48"/>
      <c r="AA741" s="48"/>
      <c r="AB741" s="48"/>
      <c r="AC741" s="48"/>
      <c r="AD741" s="48"/>
      <c r="AE741" s="48"/>
      <c r="AF741" s="60"/>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56"/>
      <c r="BJ741" s="56"/>
      <c r="BK741" s="56"/>
      <c r="BL741" s="56"/>
      <c r="BM741" s="56"/>
      <c r="BN741" s="56"/>
      <c r="BO741" s="56"/>
      <c r="BP741" s="56"/>
      <c r="BQ741" s="56"/>
      <c r="BR741" s="56"/>
      <c r="BS741" s="56"/>
      <c r="BT741" s="56"/>
      <c r="BU741" s="56"/>
      <c r="BV741" s="56"/>
      <c r="BW741" s="56"/>
      <c r="BX741" s="56"/>
    </row>
    <row r="742">
      <c r="A742" s="48"/>
      <c r="B742" s="48"/>
      <c r="C742" s="48"/>
      <c r="D742" s="48"/>
      <c r="E742" s="48"/>
      <c r="F742" s="48"/>
      <c r="G742" s="48"/>
      <c r="H742" s="48"/>
      <c r="I742" s="48"/>
      <c r="J742" s="48"/>
      <c r="K742" s="64"/>
      <c r="L742" s="64"/>
      <c r="M742" s="48"/>
      <c r="N742" s="48"/>
      <c r="O742" s="48"/>
      <c r="P742" s="48"/>
      <c r="Q742" s="48"/>
      <c r="R742" s="48"/>
      <c r="S742" s="60"/>
      <c r="T742" s="48"/>
      <c r="U742" s="48"/>
      <c r="V742" s="48"/>
      <c r="W742" s="48"/>
      <c r="X742" s="48"/>
      <c r="Y742" s="48"/>
      <c r="Z742" s="48"/>
      <c r="AA742" s="48"/>
      <c r="AB742" s="48"/>
      <c r="AC742" s="48"/>
      <c r="AD742" s="48"/>
      <c r="AE742" s="48"/>
      <c r="AF742" s="60"/>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56"/>
      <c r="BJ742" s="56"/>
      <c r="BK742" s="56"/>
      <c r="BL742" s="56"/>
      <c r="BM742" s="56"/>
      <c r="BN742" s="56"/>
      <c r="BO742" s="56"/>
      <c r="BP742" s="56"/>
      <c r="BQ742" s="56"/>
      <c r="BR742" s="56"/>
      <c r="BS742" s="56"/>
      <c r="BT742" s="56"/>
      <c r="BU742" s="56"/>
      <c r="BV742" s="56"/>
      <c r="BW742" s="56"/>
      <c r="BX742" s="56"/>
    </row>
    <row r="743">
      <c r="A743" s="48"/>
      <c r="B743" s="48"/>
      <c r="C743" s="48"/>
      <c r="D743" s="48"/>
      <c r="E743" s="48"/>
      <c r="F743" s="48"/>
      <c r="G743" s="48"/>
      <c r="H743" s="48"/>
      <c r="I743" s="48"/>
      <c r="J743" s="48"/>
      <c r="K743" s="64"/>
      <c r="L743" s="64"/>
      <c r="M743" s="48"/>
      <c r="N743" s="48"/>
      <c r="O743" s="48"/>
      <c r="P743" s="48"/>
      <c r="Q743" s="48"/>
      <c r="R743" s="48"/>
      <c r="S743" s="60"/>
      <c r="T743" s="48"/>
      <c r="U743" s="48"/>
      <c r="V743" s="48"/>
      <c r="W743" s="48"/>
      <c r="X743" s="48"/>
      <c r="Y743" s="48"/>
      <c r="Z743" s="48"/>
      <c r="AA743" s="48"/>
      <c r="AB743" s="48"/>
      <c r="AC743" s="48"/>
      <c r="AD743" s="48"/>
      <c r="AE743" s="48"/>
      <c r="AF743" s="60"/>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56"/>
      <c r="BJ743" s="56"/>
      <c r="BK743" s="56"/>
      <c r="BL743" s="56"/>
      <c r="BM743" s="56"/>
      <c r="BN743" s="56"/>
      <c r="BO743" s="56"/>
      <c r="BP743" s="56"/>
      <c r="BQ743" s="56"/>
      <c r="BR743" s="56"/>
      <c r="BS743" s="56"/>
      <c r="BT743" s="56"/>
      <c r="BU743" s="56"/>
      <c r="BV743" s="56"/>
      <c r="BW743" s="56"/>
      <c r="BX743" s="56"/>
    </row>
    <row r="744">
      <c r="A744" s="48"/>
      <c r="B744" s="48"/>
      <c r="C744" s="48"/>
      <c r="D744" s="48"/>
      <c r="E744" s="48"/>
      <c r="F744" s="48"/>
      <c r="G744" s="48"/>
      <c r="H744" s="48"/>
      <c r="I744" s="48"/>
      <c r="J744" s="48"/>
      <c r="K744" s="64"/>
      <c r="L744" s="64"/>
      <c r="M744" s="48"/>
      <c r="N744" s="48"/>
      <c r="O744" s="48"/>
      <c r="P744" s="48"/>
      <c r="Q744" s="48"/>
      <c r="R744" s="48"/>
      <c r="S744" s="60"/>
      <c r="T744" s="48"/>
      <c r="U744" s="48"/>
      <c r="V744" s="48"/>
      <c r="W744" s="48"/>
      <c r="X744" s="48"/>
      <c r="Y744" s="48"/>
      <c r="Z744" s="48"/>
      <c r="AA744" s="48"/>
      <c r="AB744" s="48"/>
      <c r="AC744" s="48"/>
      <c r="AD744" s="48"/>
      <c r="AE744" s="48"/>
      <c r="AF744" s="60"/>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56"/>
      <c r="BJ744" s="56"/>
      <c r="BK744" s="56"/>
      <c r="BL744" s="56"/>
      <c r="BM744" s="56"/>
      <c r="BN744" s="56"/>
      <c r="BO744" s="56"/>
      <c r="BP744" s="56"/>
      <c r="BQ744" s="56"/>
      <c r="BR744" s="56"/>
      <c r="BS744" s="56"/>
      <c r="BT744" s="56"/>
      <c r="BU744" s="56"/>
      <c r="BV744" s="56"/>
      <c r="BW744" s="56"/>
      <c r="BX744" s="56"/>
    </row>
    <row r="745">
      <c r="A745" s="48"/>
      <c r="B745" s="48"/>
      <c r="C745" s="48"/>
      <c r="D745" s="48"/>
      <c r="E745" s="48"/>
      <c r="F745" s="48"/>
      <c r="G745" s="48"/>
      <c r="H745" s="48"/>
      <c r="I745" s="48"/>
      <c r="J745" s="48"/>
      <c r="K745" s="64"/>
      <c r="L745" s="64"/>
      <c r="M745" s="48"/>
      <c r="N745" s="48"/>
      <c r="O745" s="48"/>
      <c r="P745" s="48"/>
      <c r="Q745" s="48"/>
      <c r="R745" s="48"/>
      <c r="S745" s="60"/>
      <c r="T745" s="48"/>
      <c r="U745" s="48"/>
      <c r="V745" s="48"/>
      <c r="W745" s="48"/>
      <c r="X745" s="48"/>
      <c r="Y745" s="48"/>
      <c r="Z745" s="48"/>
      <c r="AA745" s="48"/>
      <c r="AB745" s="48"/>
      <c r="AC745" s="48"/>
      <c r="AD745" s="48"/>
      <c r="AE745" s="48"/>
      <c r="AF745" s="60"/>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56"/>
      <c r="BJ745" s="56"/>
      <c r="BK745" s="56"/>
      <c r="BL745" s="56"/>
      <c r="BM745" s="56"/>
      <c r="BN745" s="56"/>
      <c r="BO745" s="56"/>
      <c r="BP745" s="56"/>
      <c r="BQ745" s="56"/>
      <c r="BR745" s="56"/>
      <c r="BS745" s="56"/>
      <c r="BT745" s="56"/>
      <c r="BU745" s="56"/>
      <c r="BV745" s="56"/>
      <c r="BW745" s="56"/>
      <c r="BX745" s="56"/>
    </row>
    <row r="746">
      <c r="A746" s="48"/>
      <c r="B746" s="48"/>
      <c r="C746" s="48"/>
      <c r="D746" s="48"/>
      <c r="E746" s="48"/>
      <c r="F746" s="48"/>
      <c r="G746" s="48"/>
      <c r="H746" s="48"/>
      <c r="I746" s="48"/>
      <c r="J746" s="48"/>
      <c r="K746" s="64"/>
      <c r="L746" s="64"/>
      <c r="M746" s="48"/>
      <c r="N746" s="48"/>
      <c r="O746" s="48"/>
      <c r="P746" s="48"/>
      <c r="Q746" s="48"/>
      <c r="R746" s="48"/>
      <c r="S746" s="60"/>
      <c r="T746" s="48"/>
      <c r="U746" s="48"/>
      <c r="V746" s="48"/>
      <c r="W746" s="48"/>
      <c r="X746" s="48"/>
      <c r="Y746" s="48"/>
      <c r="Z746" s="48"/>
      <c r="AA746" s="48"/>
      <c r="AB746" s="48"/>
      <c r="AC746" s="48"/>
      <c r="AD746" s="48"/>
      <c r="AE746" s="48"/>
      <c r="AF746" s="60"/>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56"/>
      <c r="BJ746" s="56"/>
      <c r="BK746" s="56"/>
      <c r="BL746" s="56"/>
      <c r="BM746" s="56"/>
      <c r="BN746" s="56"/>
      <c r="BO746" s="56"/>
      <c r="BP746" s="56"/>
      <c r="BQ746" s="56"/>
      <c r="BR746" s="56"/>
      <c r="BS746" s="56"/>
      <c r="BT746" s="56"/>
      <c r="BU746" s="56"/>
      <c r="BV746" s="56"/>
      <c r="BW746" s="56"/>
      <c r="BX746" s="56"/>
    </row>
    <row r="747">
      <c r="A747" s="48"/>
      <c r="B747" s="48"/>
      <c r="C747" s="48"/>
      <c r="D747" s="48"/>
      <c r="E747" s="48"/>
      <c r="F747" s="48"/>
      <c r="G747" s="48"/>
      <c r="H747" s="48"/>
      <c r="I747" s="48"/>
      <c r="J747" s="48"/>
      <c r="K747" s="64"/>
      <c r="L747" s="64"/>
      <c r="M747" s="48"/>
      <c r="N747" s="48"/>
      <c r="O747" s="48"/>
      <c r="P747" s="48"/>
      <c r="Q747" s="48"/>
      <c r="R747" s="48"/>
      <c r="S747" s="60"/>
      <c r="T747" s="48"/>
      <c r="U747" s="48"/>
      <c r="V747" s="48"/>
      <c r="W747" s="48"/>
      <c r="X747" s="48"/>
      <c r="Y747" s="48"/>
      <c r="Z747" s="48"/>
      <c r="AA747" s="48"/>
      <c r="AB747" s="48"/>
      <c r="AC747" s="48"/>
      <c r="AD747" s="48"/>
      <c r="AE747" s="48"/>
      <c r="AF747" s="60"/>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56"/>
      <c r="BJ747" s="56"/>
      <c r="BK747" s="56"/>
      <c r="BL747" s="56"/>
      <c r="BM747" s="56"/>
      <c r="BN747" s="56"/>
      <c r="BO747" s="56"/>
      <c r="BP747" s="56"/>
      <c r="BQ747" s="56"/>
      <c r="BR747" s="56"/>
      <c r="BS747" s="56"/>
      <c r="BT747" s="56"/>
      <c r="BU747" s="56"/>
      <c r="BV747" s="56"/>
      <c r="BW747" s="56"/>
      <c r="BX747" s="56"/>
    </row>
    <row r="748">
      <c r="A748" s="48"/>
      <c r="B748" s="48"/>
      <c r="C748" s="48"/>
      <c r="D748" s="48"/>
      <c r="E748" s="48"/>
      <c r="F748" s="48"/>
      <c r="G748" s="48"/>
      <c r="H748" s="48"/>
      <c r="I748" s="48"/>
      <c r="J748" s="48"/>
      <c r="K748" s="64"/>
      <c r="L748" s="64"/>
      <c r="M748" s="48"/>
      <c r="N748" s="48"/>
      <c r="O748" s="48"/>
      <c r="P748" s="48"/>
      <c r="Q748" s="48"/>
      <c r="R748" s="48"/>
      <c r="S748" s="60"/>
      <c r="T748" s="48"/>
      <c r="U748" s="48"/>
      <c r="V748" s="48"/>
      <c r="W748" s="48"/>
      <c r="X748" s="48"/>
      <c r="Y748" s="48"/>
      <c r="Z748" s="48"/>
      <c r="AA748" s="48"/>
      <c r="AB748" s="48"/>
      <c r="AC748" s="48"/>
      <c r="AD748" s="48"/>
      <c r="AE748" s="48"/>
      <c r="AF748" s="60"/>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56"/>
      <c r="BJ748" s="56"/>
      <c r="BK748" s="56"/>
      <c r="BL748" s="56"/>
      <c r="BM748" s="56"/>
      <c r="BN748" s="56"/>
      <c r="BO748" s="56"/>
      <c r="BP748" s="56"/>
      <c r="BQ748" s="56"/>
      <c r="BR748" s="56"/>
      <c r="BS748" s="56"/>
      <c r="BT748" s="56"/>
      <c r="BU748" s="56"/>
      <c r="BV748" s="56"/>
      <c r="BW748" s="56"/>
      <c r="BX748" s="56"/>
    </row>
    <row r="749">
      <c r="A749" s="48"/>
      <c r="B749" s="48"/>
      <c r="C749" s="48"/>
      <c r="D749" s="48"/>
      <c r="E749" s="48"/>
      <c r="F749" s="48"/>
      <c r="G749" s="48"/>
      <c r="H749" s="48"/>
      <c r="I749" s="48"/>
      <c r="J749" s="48"/>
      <c r="K749" s="64"/>
      <c r="L749" s="64"/>
      <c r="M749" s="48"/>
      <c r="N749" s="48"/>
      <c r="O749" s="48"/>
      <c r="P749" s="48"/>
      <c r="Q749" s="48"/>
      <c r="R749" s="48"/>
      <c r="S749" s="60"/>
      <c r="T749" s="48"/>
      <c r="U749" s="48"/>
      <c r="V749" s="48"/>
      <c r="W749" s="48"/>
      <c r="X749" s="48"/>
      <c r="Y749" s="48"/>
      <c r="Z749" s="48"/>
      <c r="AA749" s="48"/>
      <c r="AB749" s="48"/>
      <c r="AC749" s="48"/>
      <c r="AD749" s="48"/>
      <c r="AE749" s="48"/>
      <c r="AF749" s="60"/>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56"/>
      <c r="BJ749" s="56"/>
      <c r="BK749" s="56"/>
      <c r="BL749" s="56"/>
      <c r="BM749" s="56"/>
      <c r="BN749" s="56"/>
      <c r="BO749" s="56"/>
      <c r="BP749" s="56"/>
      <c r="BQ749" s="56"/>
      <c r="BR749" s="56"/>
      <c r="BS749" s="56"/>
      <c r="BT749" s="56"/>
      <c r="BU749" s="56"/>
      <c r="BV749" s="56"/>
      <c r="BW749" s="56"/>
      <c r="BX749" s="56"/>
    </row>
    <row r="750">
      <c r="A750" s="48"/>
      <c r="B750" s="48"/>
      <c r="C750" s="48"/>
      <c r="D750" s="48"/>
      <c r="E750" s="48"/>
      <c r="F750" s="48"/>
      <c r="G750" s="48"/>
      <c r="H750" s="48"/>
      <c r="I750" s="48"/>
      <c r="J750" s="48"/>
      <c r="K750" s="64"/>
      <c r="L750" s="64"/>
      <c r="M750" s="48"/>
      <c r="N750" s="48"/>
      <c r="O750" s="48"/>
      <c r="P750" s="48"/>
      <c r="Q750" s="48"/>
      <c r="R750" s="48"/>
      <c r="S750" s="60"/>
      <c r="T750" s="48"/>
      <c r="U750" s="48"/>
      <c r="V750" s="48"/>
      <c r="W750" s="48"/>
      <c r="X750" s="48"/>
      <c r="Y750" s="48"/>
      <c r="Z750" s="48"/>
      <c r="AA750" s="48"/>
      <c r="AB750" s="48"/>
      <c r="AC750" s="48"/>
      <c r="AD750" s="48"/>
      <c r="AE750" s="48"/>
      <c r="AF750" s="60"/>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56"/>
      <c r="BJ750" s="56"/>
      <c r="BK750" s="56"/>
      <c r="BL750" s="56"/>
      <c r="BM750" s="56"/>
      <c r="BN750" s="56"/>
      <c r="BO750" s="56"/>
      <c r="BP750" s="56"/>
      <c r="BQ750" s="56"/>
      <c r="BR750" s="56"/>
      <c r="BS750" s="56"/>
      <c r="BT750" s="56"/>
      <c r="BU750" s="56"/>
      <c r="BV750" s="56"/>
      <c r="BW750" s="56"/>
      <c r="BX750" s="56"/>
    </row>
    <row r="751">
      <c r="A751" s="48"/>
      <c r="B751" s="48"/>
      <c r="C751" s="48"/>
      <c r="D751" s="48"/>
      <c r="E751" s="48"/>
      <c r="F751" s="48"/>
      <c r="G751" s="48"/>
      <c r="H751" s="48"/>
      <c r="I751" s="48"/>
      <c r="J751" s="48"/>
      <c r="K751" s="64"/>
      <c r="L751" s="64"/>
      <c r="M751" s="48"/>
      <c r="N751" s="48"/>
      <c r="O751" s="48"/>
      <c r="P751" s="48"/>
      <c r="Q751" s="48"/>
      <c r="R751" s="48"/>
      <c r="S751" s="60"/>
      <c r="T751" s="48"/>
      <c r="U751" s="48"/>
      <c r="V751" s="48"/>
      <c r="W751" s="48"/>
      <c r="X751" s="48"/>
      <c r="Y751" s="48"/>
      <c r="Z751" s="48"/>
      <c r="AA751" s="48"/>
      <c r="AB751" s="48"/>
      <c r="AC751" s="48"/>
      <c r="AD751" s="48"/>
      <c r="AE751" s="48"/>
      <c r="AF751" s="60"/>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56"/>
      <c r="BJ751" s="56"/>
      <c r="BK751" s="56"/>
      <c r="BL751" s="56"/>
      <c r="BM751" s="56"/>
      <c r="BN751" s="56"/>
      <c r="BO751" s="56"/>
      <c r="BP751" s="56"/>
      <c r="BQ751" s="56"/>
      <c r="BR751" s="56"/>
      <c r="BS751" s="56"/>
      <c r="BT751" s="56"/>
      <c r="BU751" s="56"/>
      <c r="BV751" s="56"/>
      <c r="BW751" s="56"/>
      <c r="BX751" s="56"/>
    </row>
    <row r="752">
      <c r="A752" s="48"/>
      <c r="B752" s="48"/>
      <c r="C752" s="48"/>
      <c r="D752" s="48"/>
      <c r="E752" s="48"/>
      <c r="F752" s="48"/>
      <c r="G752" s="48"/>
      <c r="H752" s="48"/>
      <c r="I752" s="48"/>
      <c r="J752" s="48"/>
      <c r="K752" s="64"/>
      <c r="L752" s="64"/>
      <c r="M752" s="48"/>
      <c r="N752" s="48"/>
      <c r="O752" s="48"/>
      <c r="P752" s="48"/>
      <c r="Q752" s="48"/>
      <c r="R752" s="48"/>
      <c r="S752" s="60"/>
      <c r="T752" s="48"/>
      <c r="U752" s="48"/>
      <c r="V752" s="48"/>
      <c r="W752" s="48"/>
      <c r="X752" s="48"/>
      <c r="Y752" s="48"/>
      <c r="Z752" s="48"/>
      <c r="AA752" s="48"/>
      <c r="AB752" s="48"/>
      <c r="AC752" s="48"/>
      <c r="AD752" s="48"/>
      <c r="AE752" s="48"/>
      <c r="AF752" s="60"/>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56"/>
      <c r="BJ752" s="56"/>
      <c r="BK752" s="56"/>
      <c r="BL752" s="56"/>
      <c r="BM752" s="56"/>
      <c r="BN752" s="56"/>
      <c r="BO752" s="56"/>
      <c r="BP752" s="56"/>
      <c r="BQ752" s="56"/>
      <c r="BR752" s="56"/>
      <c r="BS752" s="56"/>
      <c r="BT752" s="56"/>
      <c r="BU752" s="56"/>
      <c r="BV752" s="56"/>
      <c r="BW752" s="56"/>
      <c r="BX752" s="56"/>
    </row>
    <row r="753">
      <c r="A753" s="48"/>
      <c r="B753" s="48"/>
      <c r="C753" s="48"/>
      <c r="D753" s="48"/>
      <c r="E753" s="48"/>
      <c r="F753" s="48"/>
      <c r="G753" s="48"/>
      <c r="H753" s="48"/>
      <c r="I753" s="48"/>
      <c r="J753" s="48"/>
      <c r="K753" s="64"/>
      <c r="L753" s="64"/>
      <c r="M753" s="48"/>
      <c r="N753" s="48"/>
      <c r="O753" s="48"/>
      <c r="P753" s="48"/>
      <c r="Q753" s="48"/>
      <c r="R753" s="48"/>
      <c r="S753" s="60"/>
      <c r="T753" s="48"/>
      <c r="U753" s="48"/>
      <c r="V753" s="48"/>
      <c r="W753" s="48"/>
      <c r="X753" s="48"/>
      <c r="Y753" s="48"/>
      <c r="Z753" s="48"/>
      <c r="AA753" s="48"/>
      <c r="AB753" s="48"/>
      <c r="AC753" s="48"/>
      <c r="AD753" s="48"/>
      <c r="AE753" s="48"/>
      <c r="AF753" s="60"/>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56"/>
      <c r="BJ753" s="56"/>
      <c r="BK753" s="56"/>
      <c r="BL753" s="56"/>
      <c r="BM753" s="56"/>
      <c r="BN753" s="56"/>
      <c r="BO753" s="56"/>
      <c r="BP753" s="56"/>
      <c r="BQ753" s="56"/>
      <c r="BR753" s="56"/>
      <c r="BS753" s="56"/>
      <c r="BT753" s="56"/>
      <c r="BU753" s="56"/>
      <c r="BV753" s="56"/>
      <c r="BW753" s="56"/>
      <c r="BX753" s="56"/>
    </row>
    <row r="754">
      <c r="A754" s="48"/>
      <c r="B754" s="48"/>
      <c r="C754" s="48"/>
      <c r="D754" s="48"/>
      <c r="E754" s="48"/>
      <c r="F754" s="48"/>
      <c r="G754" s="48"/>
      <c r="H754" s="48"/>
      <c r="I754" s="48"/>
      <c r="J754" s="48"/>
      <c r="K754" s="64"/>
      <c r="L754" s="64"/>
      <c r="M754" s="48"/>
      <c r="N754" s="48"/>
      <c r="O754" s="48"/>
      <c r="P754" s="48"/>
      <c r="Q754" s="48"/>
      <c r="R754" s="48"/>
      <c r="S754" s="60"/>
      <c r="T754" s="48"/>
      <c r="U754" s="48"/>
      <c r="V754" s="48"/>
      <c r="W754" s="48"/>
      <c r="X754" s="48"/>
      <c r="Y754" s="48"/>
      <c r="Z754" s="48"/>
      <c r="AA754" s="48"/>
      <c r="AB754" s="48"/>
      <c r="AC754" s="48"/>
      <c r="AD754" s="48"/>
      <c r="AE754" s="48"/>
      <c r="AF754" s="60"/>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56"/>
      <c r="BJ754" s="56"/>
      <c r="BK754" s="56"/>
      <c r="BL754" s="56"/>
      <c r="BM754" s="56"/>
      <c r="BN754" s="56"/>
      <c r="BO754" s="56"/>
      <c r="BP754" s="56"/>
      <c r="BQ754" s="56"/>
      <c r="BR754" s="56"/>
      <c r="BS754" s="56"/>
      <c r="BT754" s="56"/>
      <c r="BU754" s="56"/>
      <c r="BV754" s="56"/>
      <c r="BW754" s="56"/>
      <c r="BX754" s="56"/>
    </row>
    <row r="755">
      <c r="A755" s="48"/>
      <c r="B755" s="48"/>
      <c r="C755" s="48"/>
      <c r="D755" s="48"/>
      <c r="E755" s="48"/>
      <c r="F755" s="48"/>
      <c r="G755" s="48"/>
      <c r="H755" s="48"/>
      <c r="I755" s="48"/>
      <c r="J755" s="48"/>
      <c r="K755" s="64"/>
      <c r="L755" s="64"/>
      <c r="M755" s="48"/>
      <c r="N755" s="48"/>
      <c r="O755" s="48"/>
      <c r="P755" s="48"/>
      <c r="Q755" s="48"/>
      <c r="R755" s="48"/>
      <c r="S755" s="60"/>
      <c r="T755" s="48"/>
      <c r="U755" s="48"/>
      <c r="V755" s="48"/>
      <c r="W755" s="48"/>
      <c r="X755" s="48"/>
      <c r="Y755" s="48"/>
      <c r="Z755" s="48"/>
      <c r="AA755" s="48"/>
      <c r="AB755" s="48"/>
      <c r="AC755" s="48"/>
      <c r="AD755" s="48"/>
      <c r="AE755" s="48"/>
      <c r="AF755" s="60"/>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56"/>
      <c r="BJ755" s="56"/>
      <c r="BK755" s="56"/>
      <c r="BL755" s="56"/>
      <c r="BM755" s="56"/>
      <c r="BN755" s="56"/>
      <c r="BO755" s="56"/>
      <c r="BP755" s="56"/>
      <c r="BQ755" s="56"/>
      <c r="BR755" s="56"/>
      <c r="BS755" s="56"/>
      <c r="BT755" s="56"/>
      <c r="BU755" s="56"/>
      <c r="BV755" s="56"/>
      <c r="BW755" s="56"/>
      <c r="BX755" s="56"/>
    </row>
    <row r="756">
      <c r="A756" s="48"/>
      <c r="B756" s="48"/>
      <c r="C756" s="48"/>
      <c r="D756" s="48"/>
      <c r="E756" s="48"/>
      <c r="F756" s="48"/>
      <c r="G756" s="48"/>
      <c r="H756" s="48"/>
      <c r="I756" s="48"/>
      <c r="J756" s="48"/>
      <c r="K756" s="64"/>
      <c r="L756" s="64"/>
      <c r="M756" s="48"/>
      <c r="N756" s="48"/>
      <c r="O756" s="48"/>
      <c r="P756" s="48"/>
      <c r="Q756" s="48"/>
      <c r="R756" s="48"/>
      <c r="S756" s="60"/>
      <c r="T756" s="48"/>
      <c r="U756" s="48"/>
      <c r="V756" s="48"/>
      <c r="W756" s="48"/>
      <c r="X756" s="48"/>
      <c r="Y756" s="48"/>
      <c r="Z756" s="48"/>
      <c r="AA756" s="48"/>
      <c r="AB756" s="48"/>
      <c r="AC756" s="48"/>
      <c r="AD756" s="48"/>
      <c r="AE756" s="48"/>
      <c r="AF756" s="60"/>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56"/>
      <c r="BJ756" s="56"/>
      <c r="BK756" s="56"/>
      <c r="BL756" s="56"/>
      <c r="BM756" s="56"/>
      <c r="BN756" s="56"/>
      <c r="BO756" s="56"/>
      <c r="BP756" s="56"/>
      <c r="BQ756" s="56"/>
      <c r="BR756" s="56"/>
      <c r="BS756" s="56"/>
      <c r="BT756" s="56"/>
      <c r="BU756" s="56"/>
      <c r="BV756" s="56"/>
      <c r="BW756" s="56"/>
      <c r="BX756" s="56"/>
    </row>
    <row r="757">
      <c r="A757" s="48"/>
      <c r="B757" s="48"/>
      <c r="C757" s="48"/>
      <c r="D757" s="48"/>
      <c r="E757" s="48"/>
      <c r="F757" s="48"/>
      <c r="G757" s="48"/>
      <c r="H757" s="48"/>
      <c r="I757" s="48"/>
      <c r="J757" s="48"/>
      <c r="K757" s="64"/>
      <c r="L757" s="64"/>
      <c r="M757" s="48"/>
      <c r="N757" s="48"/>
      <c r="O757" s="48"/>
      <c r="P757" s="48"/>
      <c r="Q757" s="48"/>
      <c r="R757" s="48"/>
      <c r="S757" s="60"/>
      <c r="T757" s="48"/>
      <c r="U757" s="48"/>
      <c r="V757" s="48"/>
      <c r="W757" s="48"/>
      <c r="X757" s="48"/>
      <c r="Y757" s="48"/>
      <c r="Z757" s="48"/>
      <c r="AA757" s="48"/>
      <c r="AB757" s="48"/>
      <c r="AC757" s="48"/>
      <c r="AD757" s="48"/>
      <c r="AE757" s="48"/>
      <c r="AF757" s="60"/>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56"/>
      <c r="BJ757" s="56"/>
      <c r="BK757" s="56"/>
      <c r="BL757" s="56"/>
      <c r="BM757" s="56"/>
      <c r="BN757" s="56"/>
      <c r="BO757" s="56"/>
      <c r="BP757" s="56"/>
      <c r="BQ757" s="56"/>
      <c r="BR757" s="56"/>
      <c r="BS757" s="56"/>
      <c r="BT757" s="56"/>
      <c r="BU757" s="56"/>
      <c r="BV757" s="56"/>
      <c r="BW757" s="56"/>
      <c r="BX757" s="56"/>
    </row>
    <row r="758">
      <c r="A758" s="48"/>
      <c r="B758" s="48"/>
      <c r="C758" s="48"/>
      <c r="D758" s="48"/>
      <c r="E758" s="48"/>
      <c r="F758" s="48"/>
      <c r="G758" s="48"/>
      <c r="H758" s="48"/>
      <c r="I758" s="48"/>
      <c r="J758" s="48"/>
      <c r="K758" s="64"/>
      <c r="L758" s="64"/>
      <c r="M758" s="48"/>
      <c r="N758" s="48"/>
      <c r="O758" s="48"/>
      <c r="P758" s="48"/>
      <c r="Q758" s="48"/>
      <c r="R758" s="48"/>
      <c r="S758" s="60"/>
      <c r="T758" s="48"/>
      <c r="U758" s="48"/>
      <c r="V758" s="48"/>
      <c r="W758" s="48"/>
      <c r="X758" s="48"/>
      <c r="Y758" s="48"/>
      <c r="Z758" s="48"/>
      <c r="AA758" s="48"/>
      <c r="AB758" s="48"/>
      <c r="AC758" s="48"/>
      <c r="AD758" s="48"/>
      <c r="AE758" s="48"/>
      <c r="AF758" s="60"/>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56"/>
      <c r="BJ758" s="56"/>
      <c r="BK758" s="56"/>
      <c r="BL758" s="56"/>
      <c r="BM758" s="56"/>
      <c r="BN758" s="56"/>
      <c r="BO758" s="56"/>
      <c r="BP758" s="56"/>
      <c r="BQ758" s="56"/>
      <c r="BR758" s="56"/>
      <c r="BS758" s="56"/>
      <c r="BT758" s="56"/>
      <c r="BU758" s="56"/>
      <c r="BV758" s="56"/>
      <c r="BW758" s="56"/>
      <c r="BX758" s="56"/>
    </row>
    <row r="759">
      <c r="A759" s="48"/>
      <c r="B759" s="48"/>
      <c r="C759" s="48"/>
      <c r="D759" s="48"/>
      <c r="E759" s="48"/>
      <c r="F759" s="48"/>
      <c r="G759" s="48"/>
      <c r="H759" s="48"/>
      <c r="I759" s="48"/>
      <c r="J759" s="48"/>
      <c r="K759" s="64"/>
      <c r="L759" s="64"/>
      <c r="M759" s="48"/>
      <c r="N759" s="48"/>
      <c r="O759" s="48"/>
      <c r="P759" s="48"/>
      <c r="Q759" s="48"/>
      <c r="R759" s="48"/>
      <c r="S759" s="60"/>
      <c r="T759" s="48"/>
      <c r="U759" s="48"/>
      <c r="V759" s="48"/>
      <c r="W759" s="48"/>
      <c r="X759" s="48"/>
      <c r="Y759" s="48"/>
      <c r="Z759" s="48"/>
      <c r="AA759" s="48"/>
      <c r="AB759" s="48"/>
      <c r="AC759" s="48"/>
      <c r="AD759" s="48"/>
      <c r="AE759" s="48"/>
      <c r="AF759" s="60"/>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56"/>
      <c r="BJ759" s="56"/>
      <c r="BK759" s="56"/>
      <c r="BL759" s="56"/>
      <c r="BM759" s="56"/>
      <c r="BN759" s="56"/>
      <c r="BO759" s="56"/>
      <c r="BP759" s="56"/>
      <c r="BQ759" s="56"/>
      <c r="BR759" s="56"/>
      <c r="BS759" s="56"/>
      <c r="BT759" s="56"/>
      <c r="BU759" s="56"/>
      <c r="BV759" s="56"/>
      <c r="BW759" s="56"/>
      <c r="BX759" s="56"/>
    </row>
    <row r="760">
      <c r="A760" s="48"/>
      <c r="B760" s="48"/>
      <c r="C760" s="48"/>
      <c r="D760" s="48"/>
      <c r="E760" s="48"/>
      <c r="F760" s="48"/>
      <c r="G760" s="48"/>
      <c r="H760" s="48"/>
      <c r="I760" s="48"/>
      <c r="J760" s="48"/>
      <c r="K760" s="64"/>
      <c r="L760" s="64"/>
      <c r="M760" s="48"/>
      <c r="N760" s="48"/>
      <c r="O760" s="48"/>
      <c r="P760" s="48"/>
      <c r="Q760" s="48"/>
      <c r="R760" s="48"/>
      <c r="S760" s="60"/>
      <c r="T760" s="48"/>
      <c r="U760" s="48"/>
      <c r="V760" s="48"/>
      <c r="W760" s="48"/>
      <c r="X760" s="48"/>
      <c r="Y760" s="48"/>
      <c r="Z760" s="48"/>
      <c r="AA760" s="48"/>
      <c r="AB760" s="48"/>
      <c r="AC760" s="48"/>
      <c r="AD760" s="48"/>
      <c r="AE760" s="48"/>
      <c r="AF760" s="60"/>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56"/>
      <c r="BJ760" s="56"/>
      <c r="BK760" s="56"/>
      <c r="BL760" s="56"/>
      <c r="BM760" s="56"/>
      <c r="BN760" s="56"/>
      <c r="BO760" s="56"/>
      <c r="BP760" s="56"/>
      <c r="BQ760" s="56"/>
      <c r="BR760" s="56"/>
      <c r="BS760" s="56"/>
      <c r="BT760" s="56"/>
      <c r="BU760" s="56"/>
      <c r="BV760" s="56"/>
      <c r="BW760" s="56"/>
      <c r="BX760" s="56"/>
    </row>
    <row r="761">
      <c r="A761" s="48"/>
      <c r="B761" s="48"/>
      <c r="C761" s="48"/>
      <c r="D761" s="48"/>
      <c r="E761" s="48"/>
      <c r="F761" s="48"/>
      <c r="G761" s="48"/>
      <c r="H761" s="48"/>
      <c r="I761" s="48"/>
      <c r="J761" s="48"/>
      <c r="K761" s="64"/>
      <c r="L761" s="64"/>
      <c r="M761" s="48"/>
      <c r="N761" s="48"/>
      <c r="O761" s="48"/>
      <c r="P761" s="48"/>
      <c r="Q761" s="48"/>
      <c r="R761" s="48"/>
      <c r="S761" s="60"/>
      <c r="T761" s="48"/>
      <c r="U761" s="48"/>
      <c r="V761" s="48"/>
      <c r="W761" s="48"/>
      <c r="X761" s="48"/>
      <c r="Y761" s="48"/>
      <c r="Z761" s="48"/>
      <c r="AA761" s="48"/>
      <c r="AB761" s="48"/>
      <c r="AC761" s="48"/>
      <c r="AD761" s="48"/>
      <c r="AE761" s="48"/>
      <c r="AF761" s="60"/>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56"/>
      <c r="BJ761" s="56"/>
      <c r="BK761" s="56"/>
      <c r="BL761" s="56"/>
      <c r="BM761" s="56"/>
      <c r="BN761" s="56"/>
      <c r="BO761" s="56"/>
      <c r="BP761" s="56"/>
      <c r="BQ761" s="56"/>
      <c r="BR761" s="56"/>
      <c r="BS761" s="56"/>
      <c r="BT761" s="56"/>
      <c r="BU761" s="56"/>
      <c r="BV761" s="56"/>
      <c r="BW761" s="56"/>
      <c r="BX761" s="56"/>
    </row>
    <row r="762">
      <c r="A762" s="48"/>
      <c r="B762" s="48"/>
      <c r="C762" s="48"/>
      <c r="D762" s="48"/>
      <c r="E762" s="48"/>
      <c r="F762" s="48"/>
      <c r="G762" s="48"/>
      <c r="H762" s="48"/>
      <c r="I762" s="48"/>
      <c r="J762" s="48"/>
      <c r="K762" s="64"/>
      <c r="L762" s="64"/>
      <c r="M762" s="48"/>
      <c r="N762" s="48"/>
      <c r="O762" s="48"/>
      <c r="P762" s="48"/>
      <c r="Q762" s="48"/>
      <c r="R762" s="48"/>
      <c r="S762" s="60"/>
      <c r="T762" s="48"/>
      <c r="U762" s="48"/>
      <c r="V762" s="48"/>
      <c r="W762" s="48"/>
      <c r="X762" s="48"/>
      <c r="Y762" s="48"/>
      <c r="Z762" s="48"/>
      <c r="AA762" s="48"/>
      <c r="AB762" s="48"/>
      <c r="AC762" s="48"/>
      <c r="AD762" s="48"/>
      <c r="AE762" s="48"/>
      <c r="AF762" s="60"/>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56"/>
      <c r="BJ762" s="56"/>
      <c r="BK762" s="56"/>
      <c r="BL762" s="56"/>
      <c r="BM762" s="56"/>
      <c r="BN762" s="56"/>
      <c r="BO762" s="56"/>
      <c r="BP762" s="56"/>
      <c r="BQ762" s="56"/>
      <c r="BR762" s="56"/>
      <c r="BS762" s="56"/>
      <c r="BT762" s="56"/>
      <c r="BU762" s="56"/>
      <c r="BV762" s="56"/>
      <c r="BW762" s="56"/>
      <c r="BX762" s="56"/>
    </row>
    <row r="763">
      <c r="A763" s="48"/>
      <c r="B763" s="48"/>
      <c r="C763" s="48"/>
      <c r="D763" s="48"/>
      <c r="E763" s="48"/>
      <c r="F763" s="48"/>
      <c r="G763" s="48"/>
      <c r="H763" s="48"/>
      <c r="I763" s="48"/>
      <c r="J763" s="48"/>
      <c r="K763" s="64"/>
      <c r="L763" s="64"/>
      <c r="M763" s="48"/>
      <c r="N763" s="48"/>
      <c r="O763" s="48"/>
      <c r="P763" s="48"/>
      <c r="Q763" s="48"/>
      <c r="R763" s="48"/>
      <c r="S763" s="60"/>
      <c r="T763" s="48"/>
      <c r="U763" s="48"/>
      <c r="V763" s="48"/>
      <c r="W763" s="48"/>
      <c r="X763" s="48"/>
      <c r="Y763" s="48"/>
      <c r="Z763" s="48"/>
      <c r="AA763" s="48"/>
      <c r="AB763" s="48"/>
      <c r="AC763" s="48"/>
      <c r="AD763" s="48"/>
      <c r="AE763" s="48"/>
      <c r="AF763" s="60"/>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56"/>
      <c r="BJ763" s="56"/>
      <c r="BK763" s="56"/>
      <c r="BL763" s="56"/>
      <c r="BM763" s="56"/>
      <c r="BN763" s="56"/>
      <c r="BO763" s="56"/>
      <c r="BP763" s="56"/>
      <c r="BQ763" s="56"/>
      <c r="BR763" s="56"/>
      <c r="BS763" s="56"/>
      <c r="BT763" s="56"/>
      <c r="BU763" s="56"/>
      <c r="BV763" s="56"/>
      <c r="BW763" s="56"/>
      <c r="BX763" s="56"/>
    </row>
    <row r="764">
      <c r="A764" s="48"/>
      <c r="B764" s="48"/>
      <c r="C764" s="48"/>
      <c r="D764" s="48"/>
      <c r="E764" s="48"/>
      <c r="F764" s="48"/>
      <c r="G764" s="48"/>
      <c r="H764" s="48"/>
      <c r="I764" s="48"/>
      <c r="J764" s="48"/>
      <c r="K764" s="64"/>
      <c r="L764" s="64"/>
      <c r="M764" s="48"/>
      <c r="N764" s="48"/>
      <c r="O764" s="48"/>
      <c r="P764" s="48"/>
      <c r="Q764" s="48"/>
      <c r="R764" s="48"/>
      <c r="S764" s="60"/>
      <c r="T764" s="48"/>
      <c r="U764" s="48"/>
      <c r="V764" s="48"/>
      <c r="W764" s="48"/>
      <c r="X764" s="48"/>
      <c r="Y764" s="48"/>
      <c r="Z764" s="48"/>
      <c r="AA764" s="48"/>
      <c r="AB764" s="48"/>
      <c r="AC764" s="48"/>
      <c r="AD764" s="48"/>
      <c r="AE764" s="48"/>
      <c r="AF764" s="60"/>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56"/>
      <c r="BJ764" s="56"/>
      <c r="BK764" s="56"/>
      <c r="BL764" s="56"/>
      <c r="BM764" s="56"/>
      <c r="BN764" s="56"/>
      <c r="BO764" s="56"/>
      <c r="BP764" s="56"/>
      <c r="BQ764" s="56"/>
      <c r="BR764" s="56"/>
      <c r="BS764" s="56"/>
      <c r="BT764" s="56"/>
      <c r="BU764" s="56"/>
      <c r="BV764" s="56"/>
      <c r="BW764" s="56"/>
      <c r="BX764" s="56"/>
    </row>
    <row r="765">
      <c r="A765" s="48"/>
      <c r="B765" s="48"/>
      <c r="C765" s="48"/>
      <c r="D765" s="48"/>
      <c r="E765" s="48"/>
      <c r="F765" s="48"/>
      <c r="G765" s="48"/>
      <c r="H765" s="48"/>
      <c r="I765" s="48"/>
      <c r="J765" s="48"/>
      <c r="K765" s="64"/>
      <c r="L765" s="64"/>
      <c r="M765" s="48"/>
      <c r="N765" s="48"/>
      <c r="O765" s="48"/>
      <c r="P765" s="48"/>
      <c r="Q765" s="48"/>
      <c r="R765" s="48"/>
      <c r="S765" s="60"/>
      <c r="T765" s="48"/>
      <c r="U765" s="48"/>
      <c r="V765" s="48"/>
      <c r="W765" s="48"/>
      <c r="X765" s="48"/>
      <c r="Y765" s="48"/>
      <c r="Z765" s="48"/>
      <c r="AA765" s="48"/>
      <c r="AB765" s="48"/>
      <c r="AC765" s="48"/>
      <c r="AD765" s="48"/>
      <c r="AE765" s="48"/>
      <c r="AF765" s="60"/>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56"/>
      <c r="BJ765" s="56"/>
      <c r="BK765" s="56"/>
      <c r="BL765" s="56"/>
      <c r="BM765" s="56"/>
      <c r="BN765" s="56"/>
      <c r="BO765" s="56"/>
      <c r="BP765" s="56"/>
      <c r="BQ765" s="56"/>
      <c r="BR765" s="56"/>
      <c r="BS765" s="56"/>
      <c r="BT765" s="56"/>
      <c r="BU765" s="56"/>
      <c r="BV765" s="56"/>
      <c r="BW765" s="56"/>
      <c r="BX765" s="56"/>
    </row>
    <row r="766">
      <c r="A766" s="48"/>
      <c r="B766" s="48"/>
      <c r="C766" s="48"/>
      <c r="D766" s="48"/>
      <c r="E766" s="48"/>
      <c r="F766" s="48"/>
      <c r="G766" s="48"/>
      <c r="H766" s="48"/>
      <c r="I766" s="48"/>
      <c r="J766" s="48"/>
      <c r="K766" s="64"/>
      <c r="L766" s="64"/>
      <c r="M766" s="48"/>
      <c r="N766" s="48"/>
      <c r="O766" s="48"/>
      <c r="P766" s="48"/>
      <c r="Q766" s="48"/>
      <c r="R766" s="48"/>
      <c r="S766" s="60"/>
      <c r="T766" s="48"/>
      <c r="U766" s="48"/>
      <c r="V766" s="48"/>
      <c r="W766" s="48"/>
      <c r="X766" s="48"/>
      <c r="Y766" s="48"/>
      <c r="Z766" s="48"/>
      <c r="AA766" s="48"/>
      <c r="AB766" s="48"/>
      <c r="AC766" s="48"/>
      <c r="AD766" s="48"/>
      <c r="AE766" s="48"/>
      <c r="AF766" s="60"/>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56"/>
      <c r="BJ766" s="56"/>
      <c r="BK766" s="56"/>
      <c r="BL766" s="56"/>
      <c r="BM766" s="56"/>
      <c r="BN766" s="56"/>
      <c r="BO766" s="56"/>
      <c r="BP766" s="56"/>
      <c r="BQ766" s="56"/>
      <c r="BR766" s="56"/>
      <c r="BS766" s="56"/>
      <c r="BT766" s="56"/>
      <c r="BU766" s="56"/>
      <c r="BV766" s="56"/>
      <c r="BW766" s="56"/>
      <c r="BX766" s="56"/>
    </row>
    <row r="767">
      <c r="A767" s="48"/>
      <c r="B767" s="48"/>
      <c r="C767" s="48"/>
      <c r="D767" s="48"/>
      <c r="E767" s="48"/>
      <c r="F767" s="48"/>
      <c r="G767" s="48"/>
      <c r="H767" s="48"/>
      <c r="I767" s="48"/>
      <c r="J767" s="48"/>
      <c r="K767" s="64"/>
      <c r="L767" s="64"/>
      <c r="M767" s="48"/>
      <c r="N767" s="48"/>
      <c r="O767" s="48"/>
      <c r="P767" s="48"/>
      <c r="Q767" s="48"/>
      <c r="R767" s="48"/>
      <c r="S767" s="60"/>
      <c r="T767" s="48"/>
      <c r="U767" s="48"/>
      <c r="V767" s="48"/>
      <c r="W767" s="48"/>
      <c r="X767" s="48"/>
      <c r="Y767" s="48"/>
      <c r="Z767" s="48"/>
      <c r="AA767" s="48"/>
      <c r="AB767" s="48"/>
      <c r="AC767" s="48"/>
      <c r="AD767" s="48"/>
      <c r="AE767" s="48"/>
      <c r="AF767" s="60"/>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56"/>
      <c r="BJ767" s="56"/>
      <c r="BK767" s="56"/>
      <c r="BL767" s="56"/>
      <c r="BM767" s="56"/>
      <c r="BN767" s="56"/>
      <c r="BO767" s="56"/>
      <c r="BP767" s="56"/>
      <c r="BQ767" s="56"/>
      <c r="BR767" s="56"/>
      <c r="BS767" s="56"/>
      <c r="BT767" s="56"/>
      <c r="BU767" s="56"/>
      <c r="BV767" s="56"/>
      <c r="BW767" s="56"/>
      <c r="BX767" s="56"/>
    </row>
    <row r="768">
      <c r="A768" s="48"/>
      <c r="B768" s="48"/>
      <c r="C768" s="48"/>
      <c r="D768" s="48"/>
      <c r="E768" s="48"/>
      <c r="F768" s="48"/>
      <c r="G768" s="48"/>
      <c r="H768" s="48"/>
      <c r="I768" s="48"/>
      <c r="J768" s="48"/>
      <c r="K768" s="64"/>
      <c r="L768" s="64"/>
      <c r="M768" s="48"/>
      <c r="N768" s="48"/>
      <c r="O768" s="48"/>
      <c r="P768" s="48"/>
      <c r="Q768" s="48"/>
      <c r="R768" s="48"/>
      <c r="S768" s="60"/>
      <c r="T768" s="48"/>
      <c r="U768" s="48"/>
      <c r="V768" s="48"/>
      <c r="W768" s="48"/>
      <c r="X768" s="48"/>
      <c r="Y768" s="48"/>
      <c r="Z768" s="48"/>
      <c r="AA768" s="48"/>
      <c r="AB768" s="48"/>
      <c r="AC768" s="48"/>
      <c r="AD768" s="48"/>
      <c r="AE768" s="48"/>
      <c r="AF768" s="60"/>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56"/>
      <c r="BJ768" s="56"/>
      <c r="BK768" s="56"/>
      <c r="BL768" s="56"/>
      <c r="BM768" s="56"/>
      <c r="BN768" s="56"/>
      <c r="BO768" s="56"/>
      <c r="BP768" s="56"/>
      <c r="BQ768" s="56"/>
      <c r="BR768" s="56"/>
      <c r="BS768" s="56"/>
      <c r="BT768" s="56"/>
      <c r="BU768" s="56"/>
      <c r="BV768" s="56"/>
      <c r="BW768" s="56"/>
      <c r="BX768" s="56"/>
    </row>
    <row r="769">
      <c r="A769" s="48"/>
      <c r="B769" s="48"/>
      <c r="C769" s="48"/>
      <c r="D769" s="48"/>
      <c r="E769" s="48"/>
      <c r="F769" s="48"/>
      <c r="G769" s="48"/>
      <c r="H769" s="48"/>
      <c r="I769" s="48"/>
      <c r="J769" s="48"/>
      <c r="K769" s="64"/>
      <c r="L769" s="64"/>
      <c r="M769" s="48"/>
      <c r="N769" s="48"/>
      <c r="O769" s="48"/>
      <c r="P769" s="48"/>
      <c r="Q769" s="48"/>
      <c r="R769" s="48"/>
      <c r="S769" s="60"/>
      <c r="T769" s="48"/>
      <c r="U769" s="48"/>
      <c r="V769" s="48"/>
      <c r="W769" s="48"/>
      <c r="X769" s="48"/>
      <c r="Y769" s="48"/>
      <c r="Z769" s="48"/>
      <c r="AA769" s="48"/>
      <c r="AB769" s="48"/>
      <c r="AC769" s="48"/>
      <c r="AD769" s="48"/>
      <c r="AE769" s="48"/>
      <c r="AF769" s="60"/>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56"/>
      <c r="BJ769" s="56"/>
      <c r="BK769" s="56"/>
      <c r="BL769" s="56"/>
      <c r="BM769" s="56"/>
      <c r="BN769" s="56"/>
      <c r="BO769" s="56"/>
      <c r="BP769" s="56"/>
      <c r="BQ769" s="56"/>
      <c r="BR769" s="56"/>
      <c r="BS769" s="56"/>
      <c r="BT769" s="56"/>
      <c r="BU769" s="56"/>
      <c r="BV769" s="56"/>
      <c r="BW769" s="56"/>
      <c r="BX769" s="56"/>
    </row>
    <row r="770">
      <c r="A770" s="48"/>
      <c r="B770" s="48"/>
      <c r="C770" s="48"/>
      <c r="D770" s="48"/>
      <c r="E770" s="48"/>
      <c r="F770" s="48"/>
      <c r="G770" s="48"/>
      <c r="H770" s="48"/>
      <c r="I770" s="48"/>
      <c r="J770" s="48"/>
      <c r="K770" s="64"/>
      <c r="L770" s="64"/>
      <c r="M770" s="48"/>
      <c r="N770" s="48"/>
      <c r="O770" s="48"/>
      <c r="P770" s="48"/>
      <c r="Q770" s="48"/>
      <c r="R770" s="48"/>
      <c r="S770" s="60"/>
      <c r="T770" s="48"/>
      <c r="U770" s="48"/>
      <c r="V770" s="48"/>
      <c r="W770" s="48"/>
      <c r="X770" s="48"/>
      <c r="Y770" s="48"/>
      <c r="Z770" s="48"/>
      <c r="AA770" s="48"/>
      <c r="AB770" s="48"/>
      <c r="AC770" s="48"/>
      <c r="AD770" s="48"/>
      <c r="AE770" s="48"/>
      <c r="AF770" s="60"/>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56"/>
      <c r="BJ770" s="56"/>
      <c r="BK770" s="56"/>
      <c r="BL770" s="56"/>
      <c r="BM770" s="56"/>
      <c r="BN770" s="56"/>
      <c r="BO770" s="56"/>
      <c r="BP770" s="56"/>
      <c r="BQ770" s="56"/>
      <c r="BR770" s="56"/>
      <c r="BS770" s="56"/>
      <c r="BT770" s="56"/>
      <c r="BU770" s="56"/>
      <c r="BV770" s="56"/>
      <c r="BW770" s="56"/>
      <c r="BX770" s="56"/>
    </row>
    <row r="771">
      <c r="A771" s="48"/>
      <c r="B771" s="48"/>
      <c r="C771" s="48"/>
      <c r="D771" s="48"/>
      <c r="E771" s="48"/>
      <c r="F771" s="48"/>
      <c r="G771" s="48"/>
      <c r="H771" s="48"/>
      <c r="I771" s="48"/>
      <c r="J771" s="48"/>
      <c r="K771" s="64"/>
      <c r="L771" s="64"/>
      <c r="M771" s="48"/>
      <c r="N771" s="48"/>
      <c r="O771" s="48"/>
      <c r="P771" s="48"/>
      <c r="Q771" s="48"/>
      <c r="R771" s="48"/>
      <c r="S771" s="60"/>
      <c r="T771" s="48"/>
      <c r="U771" s="48"/>
      <c r="V771" s="48"/>
      <c r="W771" s="48"/>
      <c r="X771" s="48"/>
      <c r="Y771" s="48"/>
      <c r="Z771" s="48"/>
      <c r="AA771" s="48"/>
      <c r="AB771" s="48"/>
      <c r="AC771" s="48"/>
      <c r="AD771" s="48"/>
      <c r="AE771" s="48"/>
      <c r="AF771" s="60"/>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56"/>
      <c r="BJ771" s="56"/>
      <c r="BK771" s="56"/>
      <c r="BL771" s="56"/>
      <c r="BM771" s="56"/>
      <c r="BN771" s="56"/>
      <c r="BO771" s="56"/>
      <c r="BP771" s="56"/>
      <c r="BQ771" s="56"/>
      <c r="BR771" s="56"/>
      <c r="BS771" s="56"/>
      <c r="BT771" s="56"/>
      <c r="BU771" s="56"/>
      <c r="BV771" s="56"/>
      <c r="BW771" s="56"/>
      <c r="BX771" s="56"/>
    </row>
    <row r="772">
      <c r="A772" s="48"/>
      <c r="B772" s="48"/>
      <c r="C772" s="48"/>
      <c r="D772" s="48"/>
      <c r="E772" s="48"/>
      <c r="F772" s="48"/>
      <c r="G772" s="48"/>
      <c r="H772" s="48"/>
      <c r="I772" s="48"/>
      <c r="J772" s="48"/>
      <c r="K772" s="64"/>
      <c r="L772" s="64"/>
      <c r="M772" s="48"/>
      <c r="N772" s="48"/>
      <c r="O772" s="48"/>
      <c r="P772" s="48"/>
      <c r="Q772" s="48"/>
      <c r="R772" s="48"/>
      <c r="S772" s="60"/>
      <c r="T772" s="48"/>
      <c r="U772" s="48"/>
      <c r="V772" s="48"/>
      <c r="W772" s="48"/>
      <c r="X772" s="48"/>
      <c r="Y772" s="48"/>
      <c r="Z772" s="48"/>
      <c r="AA772" s="48"/>
      <c r="AB772" s="48"/>
      <c r="AC772" s="48"/>
      <c r="AD772" s="48"/>
      <c r="AE772" s="48"/>
      <c r="AF772" s="60"/>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56"/>
      <c r="BJ772" s="56"/>
      <c r="BK772" s="56"/>
      <c r="BL772" s="56"/>
      <c r="BM772" s="56"/>
      <c r="BN772" s="56"/>
      <c r="BO772" s="56"/>
      <c r="BP772" s="56"/>
      <c r="BQ772" s="56"/>
      <c r="BR772" s="56"/>
      <c r="BS772" s="56"/>
      <c r="BT772" s="56"/>
      <c r="BU772" s="56"/>
      <c r="BV772" s="56"/>
      <c r="BW772" s="56"/>
      <c r="BX772" s="56"/>
    </row>
    <row r="773">
      <c r="A773" s="48"/>
      <c r="B773" s="48"/>
      <c r="C773" s="48"/>
      <c r="D773" s="48"/>
      <c r="E773" s="48"/>
      <c r="F773" s="48"/>
      <c r="G773" s="48"/>
      <c r="H773" s="48"/>
      <c r="I773" s="48"/>
      <c r="J773" s="48"/>
      <c r="K773" s="64"/>
      <c r="L773" s="64"/>
      <c r="M773" s="48"/>
      <c r="N773" s="48"/>
      <c r="O773" s="48"/>
      <c r="P773" s="48"/>
      <c r="Q773" s="48"/>
      <c r="R773" s="48"/>
      <c r="S773" s="60"/>
      <c r="T773" s="48"/>
      <c r="U773" s="48"/>
      <c r="V773" s="48"/>
      <c r="W773" s="48"/>
      <c r="X773" s="48"/>
      <c r="Y773" s="48"/>
      <c r="Z773" s="48"/>
      <c r="AA773" s="48"/>
      <c r="AB773" s="48"/>
      <c r="AC773" s="48"/>
      <c r="AD773" s="48"/>
      <c r="AE773" s="48"/>
      <c r="AF773" s="60"/>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56"/>
      <c r="BJ773" s="56"/>
      <c r="BK773" s="56"/>
      <c r="BL773" s="56"/>
      <c r="BM773" s="56"/>
      <c r="BN773" s="56"/>
      <c r="BO773" s="56"/>
      <c r="BP773" s="56"/>
      <c r="BQ773" s="56"/>
      <c r="BR773" s="56"/>
      <c r="BS773" s="56"/>
      <c r="BT773" s="56"/>
      <c r="BU773" s="56"/>
      <c r="BV773" s="56"/>
      <c r="BW773" s="56"/>
      <c r="BX773" s="56"/>
    </row>
    <row r="774">
      <c r="A774" s="48"/>
      <c r="B774" s="48"/>
      <c r="C774" s="48"/>
      <c r="D774" s="48"/>
      <c r="E774" s="48"/>
      <c r="F774" s="48"/>
      <c r="G774" s="48"/>
      <c r="H774" s="48"/>
      <c r="I774" s="48"/>
      <c r="J774" s="48"/>
      <c r="K774" s="64"/>
      <c r="L774" s="64"/>
      <c r="M774" s="48"/>
      <c r="N774" s="48"/>
      <c r="O774" s="48"/>
      <c r="P774" s="48"/>
      <c r="Q774" s="48"/>
      <c r="R774" s="48"/>
      <c r="S774" s="60"/>
      <c r="T774" s="48"/>
      <c r="U774" s="48"/>
      <c r="V774" s="48"/>
      <c r="W774" s="48"/>
      <c r="X774" s="48"/>
      <c r="Y774" s="48"/>
      <c r="Z774" s="48"/>
      <c r="AA774" s="48"/>
      <c r="AB774" s="48"/>
      <c r="AC774" s="48"/>
      <c r="AD774" s="48"/>
      <c r="AE774" s="48"/>
      <c r="AF774" s="60"/>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56"/>
      <c r="BJ774" s="56"/>
      <c r="BK774" s="56"/>
      <c r="BL774" s="56"/>
      <c r="BM774" s="56"/>
      <c r="BN774" s="56"/>
      <c r="BO774" s="56"/>
      <c r="BP774" s="56"/>
      <c r="BQ774" s="56"/>
      <c r="BR774" s="56"/>
      <c r="BS774" s="56"/>
      <c r="BT774" s="56"/>
      <c r="BU774" s="56"/>
      <c r="BV774" s="56"/>
      <c r="BW774" s="56"/>
      <c r="BX774" s="56"/>
    </row>
    <row r="775">
      <c r="A775" s="48"/>
      <c r="B775" s="48"/>
      <c r="C775" s="48"/>
      <c r="D775" s="48"/>
      <c r="E775" s="48"/>
      <c r="F775" s="48"/>
      <c r="G775" s="48"/>
      <c r="H775" s="48"/>
      <c r="I775" s="48"/>
      <c r="J775" s="48"/>
      <c r="K775" s="64"/>
      <c r="L775" s="64"/>
      <c r="M775" s="48"/>
      <c r="N775" s="48"/>
      <c r="O775" s="48"/>
      <c r="P775" s="48"/>
      <c r="Q775" s="48"/>
      <c r="R775" s="48"/>
      <c r="S775" s="60"/>
      <c r="T775" s="48"/>
      <c r="U775" s="48"/>
      <c r="V775" s="48"/>
      <c r="W775" s="48"/>
      <c r="X775" s="48"/>
      <c r="Y775" s="48"/>
      <c r="Z775" s="48"/>
      <c r="AA775" s="48"/>
      <c r="AB775" s="48"/>
      <c r="AC775" s="48"/>
      <c r="AD775" s="48"/>
      <c r="AE775" s="48"/>
      <c r="AF775" s="60"/>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56"/>
      <c r="BJ775" s="56"/>
      <c r="BK775" s="56"/>
      <c r="BL775" s="56"/>
      <c r="BM775" s="56"/>
      <c r="BN775" s="56"/>
      <c r="BO775" s="56"/>
      <c r="BP775" s="56"/>
      <c r="BQ775" s="56"/>
      <c r="BR775" s="56"/>
      <c r="BS775" s="56"/>
      <c r="BT775" s="56"/>
      <c r="BU775" s="56"/>
      <c r="BV775" s="56"/>
      <c r="BW775" s="56"/>
      <c r="BX775" s="56"/>
    </row>
    <row r="776">
      <c r="A776" s="48"/>
      <c r="B776" s="48"/>
      <c r="C776" s="48"/>
      <c r="D776" s="48"/>
      <c r="E776" s="48"/>
      <c r="F776" s="48"/>
      <c r="G776" s="48"/>
      <c r="H776" s="48"/>
      <c r="I776" s="48"/>
      <c r="J776" s="48"/>
      <c r="K776" s="64"/>
      <c r="L776" s="64"/>
      <c r="M776" s="48"/>
      <c r="N776" s="48"/>
      <c r="O776" s="48"/>
      <c r="P776" s="48"/>
      <c r="Q776" s="48"/>
      <c r="R776" s="48"/>
      <c r="S776" s="60"/>
      <c r="T776" s="48"/>
      <c r="U776" s="48"/>
      <c r="V776" s="48"/>
      <c r="W776" s="48"/>
      <c r="X776" s="48"/>
      <c r="Y776" s="48"/>
      <c r="Z776" s="48"/>
      <c r="AA776" s="48"/>
      <c r="AB776" s="48"/>
      <c r="AC776" s="48"/>
      <c r="AD776" s="48"/>
      <c r="AE776" s="48"/>
      <c r="AF776" s="60"/>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56"/>
      <c r="BJ776" s="56"/>
      <c r="BK776" s="56"/>
      <c r="BL776" s="56"/>
      <c r="BM776" s="56"/>
      <c r="BN776" s="56"/>
      <c r="BO776" s="56"/>
      <c r="BP776" s="56"/>
      <c r="BQ776" s="56"/>
      <c r="BR776" s="56"/>
      <c r="BS776" s="56"/>
      <c r="BT776" s="56"/>
      <c r="BU776" s="56"/>
      <c r="BV776" s="56"/>
      <c r="BW776" s="56"/>
      <c r="BX776" s="56"/>
    </row>
    <row r="777">
      <c r="A777" s="48"/>
      <c r="B777" s="48"/>
      <c r="C777" s="48"/>
      <c r="D777" s="48"/>
      <c r="E777" s="48"/>
      <c r="F777" s="48"/>
      <c r="G777" s="48"/>
      <c r="H777" s="48"/>
      <c r="I777" s="48"/>
      <c r="J777" s="48"/>
      <c r="K777" s="64"/>
      <c r="L777" s="64"/>
      <c r="M777" s="48"/>
      <c r="N777" s="48"/>
      <c r="O777" s="48"/>
      <c r="P777" s="48"/>
      <c r="Q777" s="48"/>
      <c r="R777" s="48"/>
      <c r="S777" s="60"/>
      <c r="T777" s="48"/>
      <c r="U777" s="48"/>
      <c r="V777" s="48"/>
      <c r="W777" s="48"/>
      <c r="X777" s="48"/>
      <c r="Y777" s="48"/>
      <c r="Z777" s="48"/>
      <c r="AA777" s="48"/>
      <c r="AB777" s="48"/>
      <c r="AC777" s="48"/>
      <c r="AD777" s="48"/>
      <c r="AE777" s="48"/>
      <c r="AF777" s="60"/>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56"/>
      <c r="BJ777" s="56"/>
      <c r="BK777" s="56"/>
      <c r="BL777" s="56"/>
      <c r="BM777" s="56"/>
      <c r="BN777" s="56"/>
      <c r="BO777" s="56"/>
      <c r="BP777" s="56"/>
      <c r="BQ777" s="56"/>
      <c r="BR777" s="56"/>
      <c r="BS777" s="56"/>
      <c r="BT777" s="56"/>
      <c r="BU777" s="56"/>
      <c r="BV777" s="56"/>
      <c r="BW777" s="56"/>
      <c r="BX777" s="56"/>
    </row>
    <row r="778">
      <c r="A778" s="48"/>
      <c r="B778" s="48"/>
      <c r="C778" s="48"/>
      <c r="D778" s="48"/>
      <c r="E778" s="48"/>
      <c r="F778" s="48"/>
      <c r="G778" s="48"/>
      <c r="H778" s="48"/>
      <c r="I778" s="48"/>
      <c r="J778" s="48"/>
      <c r="K778" s="64"/>
      <c r="L778" s="64"/>
      <c r="M778" s="48"/>
      <c r="N778" s="48"/>
      <c r="O778" s="48"/>
      <c r="P778" s="48"/>
      <c r="Q778" s="48"/>
      <c r="R778" s="48"/>
      <c r="S778" s="60"/>
      <c r="T778" s="48"/>
      <c r="U778" s="48"/>
      <c r="V778" s="48"/>
      <c r="W778" s="48"/>
      <c r="X778" s="48"/>
      <c r="Y778" s="48"/>
      <c r="Z778" s="48"/>
      <c r="AA778" s="48"/>
      <c r="AB778" s="48"/>
      <c r="AC778" s="48"/>
      <c r="AD778" s="48"/>
      <c r="AE778" s="48"/>
      <c r="AF778" s="60"/>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56"/>
      <c r="BJ778" s="56"/>
      <c r="BK778" s="56"/>
      <c r="BL778" s="56"/>
      <c r="BM778" s="56"/>
      <c r="BN778" s="56"/>
      <c r="BO778" s="56"/>
      <c r="BP778" s="56"/>
      <c r="BQ778" s="56"/>
      <c r="BR778" s="56"/>
      <c r="BS778" s="56"/>
      <c r="BT778" s="56"/>
      <c r="BU778" s="56"/>
      <c r="BV778" s="56"/>
      <c r="BW778" s="56"/>
      <c r="BX778" s="56"/>
    </row>
    <row r="779">
      <c r="A779" s="48"/>
      <c r="B779" s="48"/>
      <c r="C779" s="48"/>
      <c r="D779" s="48"/>
      <c r="E779" s="48"/>
      <c r="F779" s="48"/>
      <c r="G779" s="48"/>
      <c r="H779" s="48"/>
      <c r="I779" s="48"/>
      <c r="J779" s="48"/>
      <c r="K779" s="64"/>
      <c r="L779" s="64"/>
      <c r="M779" s="48"/>
      <c r="N779" s="48"/>
      <c r="O779" s="48"/>
      <c r="P779" s="48"/>
      <c r="Q779" s="48"/>
      <c r="R779" s="48"/>
      <c r="S779" s="60"/>
      <c r="T779" s="48"/>
      <c r="U779" s="48"/>
      <c r="V779" s="48"/>
      <c r="W779" s="48"/>
      <c r="X779" s="48"/>
      <c r="Y779" s="48"/>
      <c r="Z779" s="48"/>
      <c r="AA779" s="48"/>
      <c r="AB779" s="48"/>
      <c r="AC779" s="48"/>
      <c r="AD779" s="48"/>
      <c r="AE779" s="48"/>
      <c r="AF779" s="60"/>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56"/>
      <c r="BJ779" s="56"/>
      <c r="BK779" s="56"/>
      <c r="BL779" s="56"/>
      <c r="BM779" s="56"/>
      <c r="BN779" s="56"/>
      <c r="BO779" s="56"/>
      <c r="BP779" s="56"/>
      <c r="BQ779" s="56"/>
      <c r="BR779" s="56"/>
      <c r="BS779" s="56"/>
      <c r="BT779" s="56"/>
      <c r="BU779" s="56"/>
      <c r="BV779" s="56"/>
      <c r="BW779" s="56"/>
      <c r="BX779" s="56"/>
    </row>
    <row r="780">
      <c r="A780" s="48"/>
      <c r="B780" s="48"/>
      <c r="C780" s="48"/>
      <c r="D780" s="48"/>
      <c r="E780" s="48"/>
      <c r="F780" s="48"/>
      <c r="G780" s="48"/>
      <c r="H780" s="48"/>
      <c r="I780" s="48"/>
      <c r="J780" s="48"/>
      <c r="K780" s="64"/>
      <c r="L780" s="64"/>
      <c r="M780" s="48"/>
      <c r="N780" s="48"/>
      <c r="O780" s="48"/>
      <c r="P780" s="48"/>
      <c r="Q780" s="48"/>
      <c r="R780" s="48"/>
      <c r="S780" s="60"/>
      <c r="T780" s="48"/>
      <c r="U780" s="48"/>
      <c r="V780" s="48"/>
      <c r="W780" s="48"/>
      <c r="X780" s="48"/>
      <c r="Y780" s="48"/>
      <c r="Z780" s="48"/>
      <c r="AA780" s="48"/>
      <c r="AB780" s="48"/>
      <c r="AC780" s="48"/>
      <c r="AD780" s="48"/>
      <c r="AE780" s="48"/>
      <c r="AF780" s="60"/>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56"/>
      <c r="BJ780" s="56"/>
      <c r="BK780" s="56"/>
      <c r="BL780" s="56"/>
      <c r="BM780" s="56"/>
      <c r="BN780" s="56"/>
      <c r="BO780" s="56"/>
      <c r="BP780" s="56"/>
      <c r="BQ780" s="56"/>
      <c r="BR780" s="56"/>
      <c r="BS780" s="56"/>
      <c r="BT780" s="56"/>
      <c r="BU780" s="56"/>
      <c r="BV780" s="56"/>
      <c r="BW780" s="56"/>
      <c r="BX780" s="56"/>
    </row>
    <row r="781">
      <c r="A781" s="48"/>
      <c r="B781" s="48"/>
      <c r="C781" s="48"/>
      <c r="D781" s="48"/>
      <c r="E781" s="48"/>
      <c r="F781" s="48"/>
      <c r="G781" s="48"/>
      <c r="H781" s="48"/>
      <c r="I781" s="48"/>
      <c r="J781" s="48"/>
      <c r="K781" s="64"/>
      <c r="L781" s="64"/>
      <c r="M781" s="48"/>
      <c r="N781" s="48"/>
      <c r="O781" s="48"/>
      <c r="P781" s="48"/>
      <c r="Q781" s="48"/>
      <c r="R781" s="48"/>
      <c r="S781" s="60"/>
      <c r="T781" s="48"/>
      <c r="U781" s="48"/>
      <c r="V781" s="48"/>
      <c r="W781" s="48"/>
      <c r="X781" s="48"/>
      <c r="Y781" s="48"/>
      <c r="Z781" s="48"/>
      <c r="AA781" s="48"/>
      <c r="AB781" s="48"/>
      <c r="AC781" s="48"/>
      <c r="AD781" s="48"/>
      <c r="AE781" s="48"/>
      <c r="AF781" s="60"/>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56"/>
      <c r="BJ781" s="56"/>
      <c r="BK781" s="56"/>
      <c r="BL781" s="56"/>
      <c r="BM781" s="56"/>
      <c r="BN781" s="56"/>
      <c r="BO781" s="56"/>
      <c r="BP781" s="56"/>
      <c r="BQ781" s="56"/>
      <c r="BR781" s="56"/>
      <c r="BS781" s="56"/>
      <c r="BT781" s="56"/>
      <c r="BU781" s="56"/>
      <c r="BV781" s="56"/>
      <c r="BW781" s="56"/>
      <c r="BX781" s="56"/>
    </row>
    <row r="782">
      <c r="A782" s="48"/>
      <c r="B782" s="48"/>
      <c r="C782" s="48"/>
      <c r="D782" s="48"/>
      <c r="E782" s="48"/>
      <c r="F782" s="48"/>
      <c r="G782" s="48"/>
      <c r="H782" s="48"/>
      <c r="I782" s="48"/>
      <c r="J782" s="48"/>
      <c r="K782" s="64"/>
      <c r="L782" s="64"/>
      <c r="M782" s="48"/>
      <c r="N782" s="48"/>
      <c r="O782" s="48"/>
      <c r="P782" s="48"/>
      <c r="Q782" s="48"/>
      <c r="R782" s="48"/>
      <c r="S782" s="60"/>
      <c r="T782" s="48"/>
      <c r="U782" s="48"/>
      <c r="V782" s="48"/>
      <c r="W782" s="48"/>
      <c r="X782" s="48"/>
      <c r="Y782" s="48"/>
      <c r="Z782" s="48"/>
      <c r="AA782" s="48"/>
      <c r="AB782" s="48"/>
      <c r="AC782" s="48"/>
      <c r="AD782" s="48"/>
      <c r="AE782" s="48"/>
      <c r="AF782" s="60"/>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56"/>
      <c r="BJ782" s="56"/>
      <c r="BK782" s="56"/>
      <c r="BL782" s="56"/>
      <c r="BM782" s="56"/>
      <c r="BN782" s="56"/>
      <c r="BO782" s="56"/>
      <c r="BP782" s="56"/>
      <c r="BQ782" s="56"/>
      <c r="BR782" s="56"/>
      <c r="BS782" s="56"/>
      <c r="BT782" s="56"/>
      <c r="BU782" s="56"/>
      <c r="BV782" s="56"/>
      <c r="BW782" s="56"/>
      <c r="BX782" s="56"/>
    </row>
    <row r="783">
      <c r="A783" s="48"/>
      <c r="B783" s="48"/>
      <c r="C783" s="48"/>
      <c r="D783" s="48"/>
      <c r="E783" s="48"/>
      <c r="F783" s="48"/>
      <c r="G783" s="48"/>
      <c r="H783" s="48"/>
      <c r="I783" s="48"/>
      <c r="J783" s="48"/>
      <c r="K783" s="64"/>
      <c r="L783" s="64"/>
      <c r="M783" s="48"/>
      <c r="N783" s="48"/>
      <c r="O783" s="48"/>
      <c r="P783" s="48"/>
      <c r="Q783" s="48"/>
      <c r="R783" s="48"/>
      <c r="S783" s="60"/>
      <c r="T783" s="48"/>
      <c r="U783" s="48"/>
      <c r="V783" s="48"/>
      <c r="W783" s="48"/>
      <c r="X783" s="48"/>
      <c r="Y783" s="48"/>
      <c r="Z783" s="48"/>
      <c r="AA783" s="48"/>
      <c r="AB783" s="48"/>
      <c r="AC783" s="48"/>
      <c r="AD783" s="48"/>
      <c r="AE783" s="48"/>
      <c r="AF783" s="60"/>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56"/>
      <c r="BJ783" s="56"/>
      <c r="BK783" s="56"/>
      <c r="BL783" s="56"/>
      <c r="BM783" s="56"/>
      <c r="BN783" s="56"/>
      <c r="BO783" s="56"/>
      <c r="BP783" s="56"/>
      <c r="BQ783" s="56"/>
      <c r="BR783" s="56"/>
      <c r="BS783" s="56"/>
      <c r="BT783" s="56"/>
      <c r="BU783" s="56"/>
      <c r="BV783" s="56"/>
      <c r="BW783" s="56"/>
      <c r="BX783" s="56"/>
    </row>
    <row r="784">
      <c r="A784" s="48"/>
      <c r="B784" s="48"/>
      <c r="C784" s="48"/>
      <c r="D784" s="48"/>
      <c r="E784" s="48"/>
      <c r="F784" s="48"/>
      <c r="G784" s="48"/>
      <c r="H784" s="48"/>
      <c r="I784" s="48"/>
      <c r="J784" s="48"/>
      <c r="K784" s="64"/>
      <c r="L784" s="64"/>
      <c r="M784" s="48"/>
      <c r="N784" s="48"/>
      <c r="O784" s="48"/>
      <c r="P784" s="48"/>
      <c r="Q784" s="48"/>
      <c r="R784" s="48"/>
      <c r="S784" s="60"/>
      <c r="T784" s="48"/>
      <c r="U784" s="48"/>
      <c r="V784" s="48"/>
      <c r="W784" s="48"/>
      <c r="X784" s="48"/>
      <c r="Y784" s="48"/>
      <c r="Z784" s="48"/>
      <c r="AA784" s="48"/>
      <c r="AB784" s="48"/>
      <c r="AC784" s="48"/>
      <c r="AD784" s="48"/>
      <c r="AE784" s="48"/>
      <c r="AF784" s="60"/>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56"/>
      <c r="BJ784" s="56"/>
      <c r="BK784" s="56"/>
      <c r="BL784" s="56"/>
      <c r="BM784" s="56"/>
      <c r="BN784" s="56"/>
      <c r="BO784" s="56"/>
      <c r="BP784" s="56"/>
      <c r="BQ784" s="56"/>
      <c r="BR784" s="56"/>
      <c r="BS784" s="56"/>
      <c r="BT784" s="56"/>
      <c r="BU784" s="56"/>
      <c r="BV784" s="56"/>
      <c r="BW784" s="56"/>
      <c r="BX784" s="56"/>
    </row>
    <row r="785">
      <c r="A785" s="48"/>
      <c r="B785" s="48"/>
      <c r="C785" s="48"/>
      <c r="D785" s="48"/>
      <c r="E785" s="48"/>
      <c r="F785" s="48"/>
      <c r="G785" s="48"/>
      <c r="H785" s="48"/>
      <c r="I785" s="48"/>
      <c r="J785" s="48"/>
      <c r="K785" s="64"/>
      <c r="L785" s="64"/>
      <c r="M785" s="48"/>
      <c r="N785" s="48"/>
      <c r="O785" s="48"/>
      <c r="P785" s="48"/>
      <c r="Q785" s="48"/>
      <c r="R785" s="48"/>
      <c r="S785" s="60"/>
      <c r="T785" s="48"/>
      <c r="U785" s="48"/>
      <c r="V785" s="48"/>
      <c r="W785" s="48"/>
      <c r="X785" s="48"/>
      <c r="Y785" s="48"/>
      <c r="Z785" s="48"/>
      <c r="AA785" s="48"/>
      <c r="AB785" s="48"/>
      <c r="AC785" s="48"/>
      <c r="AD785" s="48"/>
      <c r="AE785" s="48"/>
      <c r="AF785" s="60"/>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56"/>
      <c r="BJ785" s="56"/>
      <c r="BK785" s="56"/>
      <c r="BL785" s="56"/>
      <c r="BM785" s="56"/>
      <c r="BN785" s="56"/>
      <c r="BO785" s="56"/>
      <c r="BP785" s="56"/>
      <c r="BQ785" s="56"/>
      <c r="BR785" s="56"/>
      <c r="BS785" s="56"/>
      <c r="BT785" s="56"/>
      <c r="BU785" s="56"/>
      <c r="BV785" s="56"/>
      <c r="BW785" s="56"/>
      <c r="BX785" s="56"/>
    </row>
    <row r="786">
      <c r="A786" s="48"/>
      <c r="B786" s="48"/>
      <c r="C786" s="48"/>
      <c r="D786" s="48"/>
      <c r="E786" s="48"/>
      <c r="F786" s="48"/>
      <c r="G786" s="48"/>
      <c r="H786" s="48"/>
      <c r="I786" s="48"/>
      <c r="J786" s="48"/>
      <c r="K786" s="64"/>
      <c r="L786" s="64"/>
      <c r="M786" s="48"/>
      <c r="N786" s="48"/>
      <c r="O786" s="48"/>
      <c r="P786" s="48"/>
      <c r="Q786" s="48"/>
      <c r="R786" s="48"/>
      <c r="S786" s="60"/>
      <c r="T786" s="48"/>
      <c r="U786" s="48"/>
      <c r="V786" s="48"/>
      <c r="W786" s="48"/>
      <c r="X786" s="48"/>
      <c r="Y786" s="48"/>
      <c r="Z786" s="48"/>
      <c r="AA786" s="48"/>
      <c r="AB786" s="48"/>
      <c r="AC786" s="48"/>
      <c r="AD786" s="48"/>
      <c r="AE786" s="48"/>
      <c r="AF786" s="60"/>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56"/>
      <c r="BJ786" s="56"/>
      <c r="BK786" s="56"/>
      <c r="BL786" s="56"/>
      <c r="BM786" s="56"/>
      <c r="BN786" s="56"/>
      <c r="BO786" s="56"/>
      <c r="BP786" s="56"/>
      <c r="BQ786" s="56"/>
      <c r="BR786" s="56"/>
      <c r="BS786" s="56"/>
      <c r="BT786" s="56"/>
      <c r="BU786" s="56"/>
      <c r="BV786" s="56"/>
      <c r="BW786" s="56"/>
      <c r="BX786" s="56"/>
    </row>
    <row r="787">
      <c r="A787" s="48"/>
      <c r="B787" s="48"/>
      <c r="C787" s="48"/>
      <c r="D787" s="48"/>
      <c r="E787" s="48"/>
      <c r="F787" s="48"/>
      <c r="G787" s="48"/>
      <c r="H787" s="48"/>
      <c r="I787" s="48"/>
      <c r="J787" s="48"/>
      <c r="K787" s="64"/>
      <c r="L787" s="64"/>
      <c r="M787" s="48"/>
      <c r="N787" s="48"/>
      <c r="O787" s="48"/>
      <c r="P787" s="48"/>
      <c r="Q787" s="48"/>
      <c r="R787" s="48"/>
      <c r="S787" s="60"/>
      <c r="T787" s="48"/>
      <c r="U787" s="48"/>
      <c r="V787" s="48"/>
      <c r="W787" s="48"/>
      <c r="X787" s="48"/>
      <c r="Y787" s="48"/>
      <c r="Z787" s="48"/>
      <c r="AA787" s="48"/>
      <c r="AB787" s="48"/>
      <c r="AC787" s="48"/>
      <c r="AD787" s="48"/>
      <c r="AE787" s="48"/>
      <c r="AF787" s="60"/>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56"/>
      <c r="BJ787" s="56"/>
      <c r="BK787" s="56"/>
      <c r="BL787" s="56"/>
      <c r="BM787" s="56"/>
      <c r="BN787" s="56"/>
      <c r="BO787" s="56"/>
      <c r="BP787" s="56"/>
      <c r="BQ787" s="56"/>
      <c r="BR787" s="56"/>
      <c r="BS787" s="56"/>
      <c r="BT787" s="56"/>
      <c r="BU787" s="56"/>
      <c r="BV787" s="56"/>
      <c r="BW787" s="56"/>
      <c r="BX787" s="56"/>
    </row>
    <row r="788">
      <c r="A788" s="48"/>
      <c r="B788" s="48"/>
      <c r="C788" s="48"/>
      <c r="D788" s="48"/>
      <c r="E788" s="48"/>
      <c r="F788" s="48"/>
      <c r="G788" s="48"/>
      <c r="H788" s="48"/>
      <c r="I788" s="48"/>
      <c r="J788" s="48"/>
      <c r="K788" s="64"/>
      <c r="L788" s="64"/>
      <c r="M788" s="48"/>
      <c r="N788" s="48"/>
      <c r="O788" s="48"/>
      <c r="P788" s="48"/>
      <c r="Q788" s="48"/>
      <c r="R788" s="48"/>
      <c r="S788" s="60"/>
      <c r="T788" s="48"/>
      <c r="U788" s="48"/>
      <c r="V788" s="48"/>
      <c r="W788" s="48"/>
      <c r="X788" s="48"/>
      <c r="Y788" s="48"/>
      <c r="Z788" s="48"/>
      <c r="AA788" s="48"/>
      <c r="AB788" s="48"/>
      <c r="AC788" s="48"/>
      <c r="AD788" s="48"/>
      <c r="AE788" s="48"/>
      <c r="AF788" s="60"/>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56"/>
      <c r="BJ788" s="56"/>
      <c r="BK788" s="56"/>
      <c r="BL788" s="56"/>
      <c r="BM788" s="56"/>
      <c r="BN788" s="56"/>
      <c r="BO788" s="56"/>
      <c r="BP788" s="56"/>
      <c r="BQ788" s="56"/>
      <c r="BR788" s="56"/>
      <c r="BS788" s="56"/>
      <c r="BT788" s="56"/>
      <c r="BU788" s="56"/>
      <c r="BV788" s="56"/>
      <c r="BW788" s="56"/>
      <c r="BX788" s="56"/>
    </row>
    <row r="789">
      <c r="A789" s="48"/>
      <c r="B789" s="48"/>
      <c r="C789" s="48"/>
      <c r="D789" s="48"/>
      <c r="E789" s="48"/>
      <c r="F789" s="48"/>
      <c r="G789" s="48"/>
      <c r="H789" s="48"/>
      <c r="I789" s="48"/>
      <c r="J789" s="48"/>
      <c r="K789" s="64"/>
      <c r="L789" s="64"/>
      <c r="M789" s="48"/>
      <c r="N789" s="48"/>
      <c r="O789" s="48"/>
      <c r="P789" s="48"/>
      <c r="Q789" s="48"/>
      <c r="R789" s="48"/>
      <c r="S789" s="60"/>
      <c r="T789" s="48"/>
      <c r="U789" s="48"/>
      <c r="V789" s="48"/>
      <c r="W789" s="48"/>
      <c r="X789" s="48"/>
      <c r="Y789" s="48"/>
      <c r="Z789" s="48"/>
      <c r="AA789" s="48"/>
      <c r="AB789" s="48"/>
      <c r="AC789" s="48"/>
      <c r="AD789" s="48"/>
      <c r="AE789" s="48"/>
      <c r="AF789" s="60"/>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56"/>
      <c r="BJ789" s="56"/>
      <c r="BK789" s="56"/>
      <c r="BL789" s="56"/>
      <c r="BM789" s="56"/>
      <c r="BN789" s="56"/>
      <c r="BO789" s="56"/>
      <c r="BP789" s="56"/>
      <c r="BQ789" s="56"/>
      <c r="BR789" s="56"/>
      <c r="BS789" s="56"/>
      <c r="BT789" s="56"/>
      <c r="BU789" s="56"/>
      <c r="BV789" s="56"/>
      <c r="BW789" s="56"/>
      <c r="BX789" s="56"/>
    </row>
    <row r="790">
      <c r="A790" s="48"/>
      <c r="B790" s="48"/>
      <c r="C790" s="48"/>
      <c r="D790" s="48"/>
      <c r="E790" s="48"/>
      <c r="F790" s="48"/>
      <c r="G790" s="48"/>
      <c r="H790" s="48"/>
      <c r="I790" s="48"/>
      <c r="J790" s="48"/>
      <c r="K790" s="64"/>
      <c r="L790" s="64"/>
      <c r="M790" s="48"/>
      <c r="N790" s="48"/>
      <c r="O790" s="48"/>
      <c r="P790" s="48"/>
      <c r="Q790" s="48"/>
      <c r="R790" s="48"/>
      <c r="S790" s="60"/>
      <c r="T790" s="48"/>
      <c r="U790" s="48"/>
      <c r="V790" s="48"/>
      <c r="W790" s="48"/>
      <c r="X790" s="48"/>
      <c r="Y790" s="48"/>
      <c r="Z790" s="48"/>
      <c r="AA790" s="48"/>
      <c r="AB790" s="48"/>
      <c r="AC790" s="48"/>
      <c r="AD790" s="48"/>
      <c r="AE790" s="48"/>
      <c r="AF790" s="60"/>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56"/>
      <c r="BJ790" s="56"/>
      <c r="BK790" s="56"/>
      <c r="BL790" s="56"/>
      <c r="BM790" s="56"/>
      <c r="BN790" s="56"/>
      <c r="BO790" s="56"/>
      <c r="BP790" s="56"/>
      <c r="BQ790" s="56"/>
      <c r="BR790" s="56"/>
      <c r="BS790" s="56"/>
      <c r="BT790" s="56"/>
      <c r="BU790" s="56"/>
      <c r="BV790" s="56"/>
      <c r="BW790" s="56"/>
      <c r="BX790" s="56"/>
    </row>
    <row r="791">
      <c r="A791" s="48"/>
      <c r="B791" s="48"/>
      <c r="C791" s="48"/>
      <c r="D791" s="48"/>
      <c r="E791" s="48"/>
      <c r="F791" s="48"/>
      <c r="G791" s="48"/>
      <c r="H791" s="48"/>
      <c r="I791" s="48"/>
      <c r="J791" s="48"/>
      <c r="K791" s="64"/>
      <c r="L791" s="64"/>
      <c r="M791" s="48"/>
      <c r="N791" s="48"/>
      <c r="O791" s="48"/>
      <c r="P791" s="48"/>
      <c r="Q791" s="48"/>
      <c r="R791" s="48"/>
      <c r="S791" s="60"/>
      <c r="T791" s="48"/>
      <c r="U791" s="48"/>
      <c r="V791" s="48"/>
      <c r="W791" s="48"/>
      <c r="X791" s="48"/>
      <c r="Y791" s="48"/>
      <c r="Z791" s="48"/>
      <c r="AA791" s="48"/>
      <c r="AB791" s="48"/>
      <c r="AC791" s="48"/>
      <c r="AD791" s="48"/>
      <c r="AE791" s="48"/>
      <c r="AF791" s="60"/>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56"/>
      <c r="BJ791" s="56"/>
      <c r="BK791" s="56"/>
      <c r="BL791" s="56"/>
      <c r="BM791" s="56"/>
      <c r="BN791" s="56"/>
      <c r="BO791" s="56"/>
      <c r="BP791" s="56"/>
      <c r="BQ791" s="56"/>
      <c r="BR791" s="56"/>
      <c r="BS791" s="56"/>
      <c r="BT791" s="56"/>
      <c r="BU791" s="56"/>
      <c r="BV791" s="56"/>
      <c r="BW791" s="56"/>
      <c r="BX791" s="56"/>
    </row>
    <row r="792">
      <c r="A792" s="48"/>
      <c r="B792" s="48"/>
      <c r="C792" s="48"/>
      <c r="D792" s="48"/>
      <c r="E792" s="48"/>
      <c r="F792" s="48"/>
      <c r="G792" s="48"/>
      <c r="H792" s="48"/>
      <c r="I792" s="48"/>
      <c r="J792" s="48"/>
      <c r="K792" s="64"/>
      <c r="L792" s="64"/>
      <c r="M792" s="48"/>
      <c r="N792" s="48"/>
      <c r="O792" s="48"/>
      <c r="P792" s="48"/>
      <c r="Q792" s="48"/>
      <c r="R792" s="48"/>
      <c r="S792" s="60"/>
      <c r="T792" s="48"/>
      <c r="U792" s="48"/>
      <c r="V792" s="48"/>
      <c r="W792" s="48"/>
      <c r="X792" s="48"/>
      <c r="Y792" s="48"/>
      <c r="Z792" s="48"/>
      <c r="AA792" s="48"/>
      <c r="AB792" s="48"/>
      <c r="AC792" s="48"/>
      <c r="AD792" s="48"/>
      <c r="AE792" s="48"/>
      <c r="AF792" s="60"/>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56"/>
      <c r="BJ792" s="56"/>
      <c r="BK792" s="56"/>
      <c r="BL792" s="56"/>
      <c r="BM792" s="56"/>
      <c r="BN792" s="56"/>
      <c r="BO792" s="56"/>
      <c r="BP792" s="56"/>
      <c r="BQ792" s="56"/>
      <c r="BR792" s="56"/>
      <c r="BS792" s="56"/>
      <c r="BT792" s="56"/>
      <c r="BU792" s="56"/>
      <c r="BV792" s="56"/>
      <c r="BW792" s="56"/>
      <c r="BX792" s="56"/>
    </row>
    <row r="793">
      <c r="A793" s="48"/>
      <c r="B793" s="48"/>
      <c r="C793" s="48"/>
      <c r="D793" s="48"/>
      <c r="E793" s="48"/>
      <c r="F793" s="48"/>
      <c r="G793" s="48"/>
      <c r="H793" s="48"/>
      <c r="I793" s="48"/>
      <c r="J793" s="48"/>
      <c r="K793" s="64"/>
      <c r="L793" s="64"/>
      <c r="M793" s="48"/>
      <c r="N793" s="48"/>
      <c r="O793" s="48"/>
      <c r="P793" s="48"/>
      <c r="Q793" s="48"/>
      <c r="R793" s="48"/>
      <c r="S793" s="60"/>
      <c r="T793" s="48"/>
      <c r="U793" s="48"/>
      <c r="V793" s="48"/>
      <c r="W793" s="48"/>
      <c r="X793" s="48"/>
      <c r="Y793" s="48"/>
      <c r="Z793" s="48"/>
      <c r="AA793" s="48"/>
      <c r="AB793" s="48"/>
      <c r="AC793" s="48"/>
      <c r="AD793" s="48"/>
      <c r="AE793" s="48"/>
      <c r="AF793" s="60"/>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56"/>
      <c r="BJ793" s="56"/>
      <c r="BK793" s="56"/>
      <c r="BL793" s="56"/>
      <c r="BM793" s="56"/>
      <c r="BN793" s="56"/>
      <c r="BO793" s="56"/>
      <c r="BP793" s="56"/>
      <c r="BQ793" s="56"/>
      <c r="BR793" s="56"/>
      <c r="BS793" s="56"/>
      <c r="BT793" s="56"/>
      <c r="BU793" s="56"/>
      <c r="BV793" s="56"/>
      <c r="BW793" s="56"/>
      <c r="BX793" s="56"/>
    </row>
    <row r="794">
      <c r="A794" s="48"/>
      <c r="B794" s="48"/>
      <c r="C794" s="48"/>
      <c r="D794" s="48"/>
      <c r="E794" s="48"/>
      <c r="F794" s="48"/>
      <c r="G794" s="48"/>
      <c r="H794" s="48"/>
      <c r="I794" s="48"/>
      <c r="J794" s="48"/>
      <c r="K794" s="64"/>
      <c r="L794" s="64"/>
      <c r="M794" s="48"/>
      <c r="N794" s="48"/>
      <c r="O794" s="48"/>
      <c r="P794" s="48"/>
      <c r="Q794" s="48"/>
      <c r="R794" s="48"/>
      <c r="S794" s="60"/>
      <c r="T794" s="48"/>
      <c r="U794" s="48"/>
      <c r="V794" s="48"/>
      <c r="W794" s="48"/>
      <c r="X794" s="48"/>
      <c r="Y794" s="48"/>
      <c r="Z794" s="48"/>
      <c r="AA794" s="48"/>
      <c r="AB794" s="48"/>
      <c r="AC794" s="48"/>
      <c r="AD794" s="48"/>
      <c r="AE794" s="48"/>
      <c r="AF794" s="60"/>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56"/>
      <c r="BJ794" s="56"/>
      <c r="BK794" s="56"/>
      <c r="BL794" s="56"/>
      <c r="BM794" s="56"/>
      <c r="BN794" s="56"/>
      <c r="BO794" s="56"/>
      <c r="BP794" s="56"/>
      <c r="BQ794" s="56"/>
      <c r="BR794" s="56"/>
      <c r="BS794" s="56"/>
      <c r="BT794" s="56"/>
      <c r="BU794" s="56"/>
      <c r="BV794" s="56"/>
      <c r="BW794" s="56"/>
      <c r="BX794" s="56"/>
    </row>
    <row r="795">
      <c r="A795" s="48"/>
      <c r="B795" s="48"/>
      <c r="C795" s="48"/>
      <c r="D795" s="48"/>
      <c r="E795" s="48"/>
      <c r="F795" s="48"/>
      <c r="G795" s="48"/>
      <c r="H795" s="48"/>
      <c r="I795" s="48"/>
      <c r="J795" s="48"/>
      <c r="K795" s="64"/>
      <c r="L795" s="64"/>
      <c r="M795" s="48"/>
      <c r="N795" s="48"/>
      <c r="O795" s="48"/>
      <c r="P795" s="48"/>
      <c r="Q795" s="48"/>
      <c r="R795" s="48"/>
      <c r="S795" s="60"/>
      <c r="T795" s="48"/>
      <c r="U795" s="48"/>
      <c r="V795" s="48"/>
      <c r="W795" s="48"/>
      <c r="X795" s="48"/>
      <c r="Y795" s="48"/>
      <c r="Z795" s="48"/>
      <c r="AA795" s="48"/>
      <c r="AB795" s="48"/>
      <c r="AC795" s="48"/>
      <c r="AD795" s="48"/>
      <c r="AE795" s="48"/>
      <c r="AF795" s="60"/>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56"/>
      <c r="BJ795" s="56"/>
      <c r="BK795" s="56"/>
      <c r="BL795" s="56"/>
      <c r="BM795" s="56"/>
      <c r="BN795" s="56"/>
      <c r="BO795" s="56"/>
      <c r="BP795" s="56"/>
      <c r="BQ795" s="56"/>
      <c r="BR795" s="56"/>
      <c r="BS795" s="56"/>
      <c r="BT795" s="56"/>
      <c r="BU795" s="56"/>
      <c r="BV795" s="56"/>
      <c r="BW795" s="56"/>
      <c r="BX795" s="56"/>
    </row>
    <row r="796">
      <c r="A796" s="48"/>
      <c r="B796" s="48"/>
      <c r="C796" s="48"/>
      <c r="D796" s="48"/>
      <c r="E796" s="48"/>
      <c r="F796" s="48"/>
      <c r="G796" s="48"/>
      <c r="H796" s="48"/>
      <c r="I796" s="48"/>
      <c r="J796" s="48"/>
      <c r="K796" s="64"/>
      <c r="L796" s="64"/>
      <c r="M796" s="48"/>
      <c r="N796" s="48"/>
      <c r="O796" s="48"/>
      <c r="P796" s="48"/>
      <c r="Q796" s="48"/>
      <c r="R796" s="48"/>
      <c r="S796" s="60"/>
      <c r="T796" s="48"/>
      <c r="U796" s="48"/>
      <c r="V796" s="48"/>
      <c r="W796" s="48"/>
      <c r="X796" s="48"/>
      <c r="Y796" s="48"/>
      <c r="Z796" s="48"/>
      <c r="AA796" s="48"/>
      <c r="AB796" s="48"/>
      <c r="AC796" s="48"/>
      <c r="AD796" s="48"/>
      <c r="AE796" s="48"/>
      <c r="AF796" s="60"/>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56"/>
      <c r="BJ796" s="56"/>
      <c r="BK796" s="56"/>
      <c r="BL796" s="56"/>
      <c r="BM796" s="56"/>
      <c r="BN796" s="56"/>
      <c r="BO796" s="56"/>
      <c r="BP796" s="56"/>
      <c r="BQ796" s="56"/>
      <c r="BR796" s="56"/>
      <c r="BS796" s="56"/>
      <c r="BT796" s="56"/>
      <c r="BU796" s="56"/>
      <c r="BV796" s="56"/>
      <c r="BW796" s="56"/>
      <c r="BX796" s="56"/>
    </row>
    <row r="797">
      <c r="A797" s="48"/>
      <c r="B797" s="48"/>
      <c r="C797" s="48"/>
      <c r="D797" s="48"/>
      <c r="E797" s="48"/>
      <c r="F797" s="48"/>
      <c r="G797" s="48"/>
      <c r="H797" s="48"/>
      <c r="I797" s="48"/>
      <c r="J797" s="48"/>
      <c r="K797" s="64"/>
      <c r="L797" s="64"/>
      <c r="M797" s="48"/>
      <c r="N797" s="48"/>
      <c r="O797" s="48"/>
      <c r="P797" s="48"/>
      <c r="Q797" s="48"/>
      <c r="R797" s="48"/>
      <c r="S797" s="60"/>
      <c r="T797" s="48"/>
      <c r="U797" s="48"/>
      <c r="V797" s="48"/>
      <c r="W797" s="48"/>
      <c r="X797" s="48"/>
      <c r="Y797" s="48"/>
      <c r="Z797" s="48"/>
      <c r="AA797" s="48"/>
      <c r="AB797" s="48"/>
      <c r="AC797" s="48"/>
      <c r="AD797" s="48"/>
      <c r="AE797" s="48"/>
      <c r="AF797" s="60"/>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56"/>
      <c r="BJ797" s="56"/>
      <c r="BK797" s="56"/>
      <c r="BL797" s="56"/>
      <c r="BM797" s="56"/>
      <c r="BN797" s="56"/>
      <c r="BO797" s="56"/>
      <c r="BP797" s="56"/>
      <c r="BQ797" s="56"/>
      <c r="BR797" s="56"/>
      <c r="BS797" s="56"/>
      <c r="BT797" s="56"/>
      <c r="BU797" s="56"/>
      <c r="BV797" s="56"/>
      <c r="BW797" s="56"/>
      <c r="BX797" s="56"/>
    </row>
    <row r="798">
      <c r="A798" s="48"/>
      <c r="B798" s="48"/>
      <c r="C798" s="48"/>
      <c r="D798" s="48"/>
      <c r="E798" s="48"/>
      <c r="F798" s="48"/>
      <c r="G798" s="48"/>
      <c r="H798" s="48"/>
      <c r="I798" s="48"/>
      <c r="J798" s="48"/>
      <c r="K798" s="64"/>
      <c r="L798" s="64"/>
      <c r="M798" s="48"/>
      <c r="N798" s="48"/>
      <c r="O798" s="48"/>
      <c r="P798" s="48"/>
      <c r="Q798" s="48"/>
      <c r="R798" s="48"/>
      <c r="S798" s="60"/>
      <c r="T798" s="48"/>
      <c r="U798" s="48"/>
      <c r="V798" s="48"/>
      <c r="W798" s="48"/>
      <c r="X798" s="48"/>
      <c r="Y798" s="48"/>
      <c r="Z798" s="48"/>
      <c r="AA798" s="48"/>
      <c r="AB798" s="48"/>
      <c r="AC798" s="48"/>
      <c r="AD798" s="48"/>
      <c r="AE798" s="48"/>
      <c r="AF798" s="60"/>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56"/>
      <c r="BJ798" s="56"/>
      <c r="BK798" s="56"/>
      <c r="BL798" s="56"/>
      <c r="BM798" s="56"/>
      <c r="BN798" s="56"/>
      <c r="BO798" s="56"/>
      <c r="BP798" s="56"/>
      <c r="BQ798" s="56"/>
      <c r="BR798" s="56"/>
      <c r="BS798" s="56"/>
      <c r="BT798" s="56"/>
      <c r="BU798" s="56"/>
      <c r="BV798" s="56"/>
      <c r="BW798" s="56"/>
      <c r="BX798" s="56"/>
    </row>
    <row r="799">
      <c r="A799" s="48"/>
      <c r="B799" s="48"/>
      <c r="C799" s="48"/>
      <c r="D799" s="48"/>
      <c r="E799" s="48"/>
      <c r="F799" s="48"/>
      <c r="G799" s="48"/>
      <c r="H799" s="48"/>
      <c r="I799" s="48"/>
      <c r="J799" s="48"/>
      <c r="K799" s="64"/>
      <c r="L799" s="64"/>
      <c r="M799" s="48"/>
      <c r="N799" s="48"/>
      <c r="O799" s="48"/>
      <c r="P799" s="48"/>
      <c r="Q799" s="48"/>
      <c r="R799" s="48"/>
      <c r="S799" s="60"/>
      <c r="T799" s="48"/>
      <c r="U799" s="48"/>
      <c r="V799" s="48"/>
      <c r="W799" s="48"/>
      <c r="X799" s="48"/>
      <c r="Y799" s="48"/>
      <c r="Z799" s="48"/>
      <c r="AA799" s="48"/>
      <c r="AB799" s="48"/>
      <c r="AC799" s="48"/>
      <c r="AD799" s="48"/>
      <c r="AE799" s="48"/>
      <c r="AF799" s="60"/>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56"/>
      <c r="BJ799" s="56"/>
      <c r="BK799" s="56"/>
      <c r="BL799" s="56"/>
      <c r="BM799" s="56"/>
      <c r="BN799" s="56"/>
      <c r="BO799" s="56"/>
      <c r="BP799" s="56"/>
      <c r="BQ799" s="56"/>
      <c r="BR799" s="56"/>
      <c r="BS799" s="56"/>
      <c r="BT799" s="56"/>
      <c r="BU799" s="56"/>
      <c r="BV799" s="56"/>
      <c r="BW799" s="56"/>
      <c r="BX799" s="56"/>
    </row>
    <row r="800">
      <c r="A800" s="48"/>
      <c r="B800" s="48"/>
      <c r="C800" s="48"/>
      <c r="D800" s="48"/>
      <c r="E800" s="48"/>
      <c r="F800" s="48"/>
      <c r="G800" s="48"/>
      <c r="H800" s="48"/>
      <c r="I800" s="48"/>
      <c r="J800" s="48"/>
      <c r="K800" s="64"/>
      <c r="L800" s="64"/>
      <c r="M800" s="48"/>
      <c r="N800" s="48"/>
      <c r="O800" s="48"/>
      <c r="P800" s="48"/>
      <c r="Q800" s="48"/>
      <c r="R800" s="48"/>
      <c r="S800" s="60"/>
      <c r="T800" s="48"/>
      <c r="U800" s="48"/>
      <c r="V800" s="48"/>
      <c r="W800" s="48"/>
      <c r="X800" s="48"/>
      <c r="Y800" s="48"/>
      <c r="Z800" s="48"/>
      <c r="AA800" s="48"/>
      <c r="AB800" s="48"/>
      <c r="AC800" s="48"/>
      <c r="AD800" s="48"/>
      <c r="AE800" s="48"/>
      <c r="AF800" s="60"/>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56"/>
      <c r="BJ800" s="56"/>
      <c r="BK800" s="56"/>
      <c r="BL800" s="56"/>
      <c r="BM800" s="56"/>
      <c r="BN800" s="56"/>
      <c r="BO800" s="56"/>
      <c r="BP800" s="56"/>
      <c r="BQ800" s="56"/>
      <c r="BR800" s="56"/>
      <c r="BS800" s="56"/>
      <c r="BT800" s="56"/>
      <c r="BU800" s="56"/>
      <c r="BV800" s="56"/>
      <c r="BW800" s="56"/>
      <c r="BX800" s="56"/>
    </row>
    <row r="801">
      <c r="A801" s="48"/>
      <c r="B801" s="48"/>
      <c r="C801" s="48"/>
      <c r="D801" s="48"/>
      <c r="E801" s="48"/>
      <c r="F801" s="48"/>
      <c r="G801" s="48"/>
      <c r="H801" s="48"/>
      <c r="I801" s="48"/>
      <c r="J801" s="48"/>
      <c r="K801" s="64"/>
      <c r="L801" s="64"/>
      <c r="M801" s="48"/>
      <c r="N801" s="48"/>
      <c r="O801" s="48"/>
      <c r="P801" s="48"/>
      <c r="Q801" s="48"/>
      <c r="R801" s="48"/>
      <c r="S801" s="60"/>
      <c r="T801" s="48"/>
      <c r="U801" s="48"/>
      <c r="V801" s="48"/>
      <c r="W801" s="48"/>
      <c r="X801" s="48"/>
      <c r="Y801" s="48"/>
      <c r="Z801" s="48"/>
      <c r="AA801" s="48"/>
      <c r="AB801" s="48"/>
      <c r="AC801" s="48"/>
      <c r="AD801" s="48"/>
      <c r="AE801" s="48"/>
      <c r="AF801" s="60"/>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56"/>
      <c r="BJ801" s="56"/>
      <c r="BK801" s="56"/>
      <c r="BL801" s="56"/>
      <c r="BM801" s="56"/>
      <c r="BN801" s="56"/>
      <c r="BO801" s="56"/>
      <c r="BP801" s="56"/>
      <c r="BQ801" s="56"/>
      <c r="BR801" s="56"/>
      <c r="BS801" s="56"/>
      <c r="BT801" s="56"/>
      <c r="BU801" s="56"/>
      <c r="BV801" s="56"/>
      <c r="BW801" s="56"/>
      <c r="BX801" s="56"/>
    </row>
    <row r="802">
      <c r="A802" s="48"/>
      <c r="B802" s="48"/>
      <c r="C802" s="48"/>
      <c r="D802" s="48"/>
      <c r="E802" s="48"/>
      <c r="F802" s="48"/>
      <c r="G802" s="48"/>
      <c r="H802" s="48"/>
      <c r="I802" s="48"/>
      <c r="J802" s="48"/>
      <c r="K802" s="64"/>
      <c r="L802" s="64"/>
      <c r="M802" s="48"/>
      <c r="N802" s="48"/>
      <c r="O802" s="48"/>
      <c r="P802" s="48"/>
      <c r="Q802" s="48"/>
      <c r="R802" s="48"/>
      <c r="S802" s="60"/>
      <c r="T802" s="48"/>
      <c r="U802" s="48"/>
      <c r="V802" s="48"/>
      <c r="W802" s="48"/>
      <c r="X802" s="48"/>
      <c r="Y802" s="48"/>
      <c r="Z802" s="48"/>
      <c r="AA802" s="48"/>
      <c r="AB802" s="48"/>
      <c r="AC802" s="48"/>
      <c r="AD802" s="48"/>
      <c r="AE802" s="48"/>
      <c r="AF802" s="60"/>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56"/>
      <c r="BJ802" s="56"/>
      <c r="BK802" s="56"/>
      <c r="BL802" s="56"/>
      <c r="BM802" s="56"/>
      <c r="BN802" s="56"/>
      <c r="BO802" s="56"/>
      <c r="BP802" s="56"/>
      <c r="BQ802" s="56"/>
      <c r="BR802" s="56"/>
      <c r="BS802" s="56"/>
      <c r="BT802" s="56"/>
      <c r="BU802" s="56"/>
      <c r="BV802" s="56"/>
      <c r="BW802" s="56"/>
      <c r="BX802" s="56"/>
    </row>
    <row r="803">
      <c r="A803" s="48"/>
      <c r="B803" s="48"/>
      <c r="C803" s="48"/>
      <c r="D803" s="48"/>
      <c r="E803" s="48"/>
      <c r="F803" s="48"/>
      <c r="G803" s="48"/>
      <c r="H803" s="48"/>
      <c r="I803" s="48"/>
      <c r="J803" s="48"/>
      <c r="K803" s="64"/>
      <c r="L803" s="64"/>
      <c r="M803" s="48"/>
      <c r="N803" s="48"/>
      <c r="O803" s="48"/>
      <c r="P803" s="48"/>
      <c r="Q803" s="48"/>
      <c r="R803" s="48"/>
      <c r="S803" s="60"/>
      <c r="T803" s="48"/>
      <c r="U803" s="48"/>
      <c r="V803" s="48"/>
      <c r="W803" s="48"/>
      <c r="X803" s="48"/>
      <c r="Y803" s="48"/>
      <c r="Z803" s="48"/>
      <c r="AA803" s="48"/>
      <c r="AB803" s="48"/>
      <c r="AC803" s="48"/>
      <c r="AD803" s="48"/>
      <c r="AE803" s="48"/>
      <c r="AF803" s="60"/>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56"/>
      <c r="BJ803" s="56"/>
      <c r="BK803" s="56"/>
      <c r="BL803" s="56"/>
      <c r="BM803" s="56"/>
      <c r="BN803" s="56"/>
      <c r="BO803" s="56"/>
      <c r="BP803" s="56"/>
      <c r="BQ803" s="56"/>
      <c r="BR803" s="56"/>
      <c r="BS803" s="56"/>
      <c r="BT803" s="56"/>
      <c r="BU803" s="56"/>
      <c r="BV803" s="56"/>
      <c r="BW803" s="56"/>
      <c r="BX803" s="56"/>
    </row>
    <row r="804">
      <c r="A804" s="48"/>
      <c r="B804" s="48"/>
      <c r="C804" s="48"/>
      <c r="D804" s="48"/>
      <c r="E804" s="48"/>
      <c r="F804" s="48"/>
      <c r="G804" s="48"/>
      <c r="H804" s="48"/>
      <c r="I804" s="48"/>
      <c r="J804" s="48"/>
      <c r="K804" s="64"/>
      <c r="L804" s="64"/>
      <c r="M804" s="48"/>
      <c r="N804" s="48"/>
      <c r="O804" s="48"/>
      <c r="P804" s="48"/>
      <c r="Q804" s="48"/>
      <c r="R804" s="48"/>
      <c r="S804" s="60"/>
      <c r="T804" s="48"/>
      <c r="U804" s="48"/>
      <c r="V804" s="48"/>
      <c r="W804" s="48"/>
      <c r="X804" s="48"/>
      <c r="Y804" s="48"/>
      <c r="Z804" s="48"/>
      <c r="AA804" s="48"/>
      <c r="AB804" s="48"/>
      <c r="AC804" s="48"/>
      <c r="AD804" s="48"/>
      <c r="AE804" s="48"/>
      <c r="AF804" s="60"/>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56"/>
      <c r="BJ804" s="56"/>
      <c r="BK804" s="56"/>
      <c r="BL804" s="56"/>
      <c r="BM804" s="56"/>
      <c r="BN804" s="56"/>
      <c r="BO804" s="56"/>
      <c r="BP804" s="56"/>
      <c r="BQ804" s="56"/>
      <c r="BR804" s="56"/>
      <c r="BS804" s="56"/>
      <c r="BT804" s="56"/>
      <c r="BU804" s="56"/>
      <c r="BV804" s="56"/>
      <c r="BW804" s="56"/>
      <c r="BX804" s="56"/>
    </row>
    <row r="805">
      <c r="A805" s="48"/>
      <c r="B805" s="48"/>
      <c r="C805" s="48"/>
      <c r="D805" s="48"/>
      <c r="E805" s="48"/>
      <c r="F805" s="48"/>
      <c r="G805" s="48"/>
      <c r="H805" s="48"/>
      <c r="I805" s="48"/>
      <c r="J805" s="48"/>
      <c r="K805" s="64"/>
      <c r="L805" s="64"/>
      <c r="M805" s="48"/>
      <c r="N805" s="48"/>
      <c r="O805" s="48"/>
      <c r="P805" s="48"/>
      <c r="Q805" s="48"/>
      <c r="R805" s="48"/>
      <c r="S805" s="60"/>
      <c r="T805" s="48"/>
      <c r="U805" s="48"/>
      <c r="V805" s="48"/>
      <c r="W805" s="48"/>
      <c r="X805" s="48"/>
      <c r="Y805" s="48"/>
      <c r="Z805" s="48"/>
      <c r="AA805" s="48"/>
      <c r="AB805" s="48"/>
      <c r="AC805" s="48"/>
      <c r="AD805" s="48"/>
      <c r="AE805" s="48"/>
      <c r="AF805" s="60"/>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56"/>
      <c r="BJ805" s="56"/>
      <c r="BK805" s="56"/>
      <c r="BL805" s="56"/>
      <c r="BM805" s="56"/>
      <c r="BN805" s="56"/>
      <c r="BO805" s="56"/>
      <c r="BP805" s="56"/>
      <c r="BQ805" s="56"/>
      <c r="BR805" s="56"/>
      <c r="BS805" s="56"/>
      <c r="BT805" s="56"/>
      <c r="BU805" s="56"/>
      <c r="BV805" s="56"/>
      <c r="BW805" s="56"/>
      <c r="BX805" s="56"/>
    </row>
    <row r="806">
      <c r="A806" s="48"/>
      <c r="B806" s="48"/>
      <c r="C806" s="48"/>
      <c r="D806" s="48"/>
      <c r="E806" s="48"/>
      <c r="F806" s="48"/>
      <c r="G806" s="48"/>
      <c r="H806" s="48"/>
      <c r="I806" s="48"/>
      <c r="J806" s="48"/>
      <c r="K806" s="64"/>
      <c r="L806" s="64"/>
      <c r="M806" s="48"/>
      <c r="N806" s="48"/>
      <c r="O806" s="48"/>
      <c r="P806" s="48"/>
      <c r="Q806" s="48"/>
      <c r="R806" s="48"/>
      <c r="S806" s="60"/>
      <c r="T806" s="48"/>
      <c r="U806" s="48"/>
      <c r="V806" s="48"/>
      <c r="W806" s="48"/>
      <c r="X806" s="48"/>
      <c r="Y806" s="48"/>
      <c r="Z806" s="48"/>
      <c r="AA806" s="48"/>
      <c r="AB806" s="48"/>
      <c r="AC806" s="48"/>
      <c r="AD806" s="48"/>
      <c r="AE806" s="48"/>
      <c r="AF806" s="60"/>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56"/>
      <c r="BJ806" s="56"/>
      <c r="BK806" s="56"/>
      <c r="BL806" s="56"/>
      <c r="BM806" s="56"/>
      <c r="BN806" s="56"/>
      <c r="BO806" s="56"/>
      <c r="BP806" s="56"/>
      <c r="BQ806" s="56"/>
      <c r="BR806" s="56"/>
      <c r="BS806" s="56"/>
      <c r="BT806" s="56"/>
      <c r="BU806" s="56"/>
      <c r="BV806" s="56"/>
      <c r="BW806" s="56"/>
      <c r="BX806" s="56"/>
    </row>
    <row r="807">
      <c r="A807" s="48"/>
      <c r="B807" s="48"/>
      <c r="C807" s="48"/>
      <c r="D807" s="48"/>
      <c r="E807" s="48"/>
      <c r="F807" s="48"/>
      <c r="G807" s="48"/>
      <c r="H807" s="48"/>
      <c r="I807" s="48"/>
      <c r="J807" s="48"/>
      <c r="K807" s="64"/>
      <c r="L807" s="64"/>
      <c r="M807" s="48"/>
      <c r="N807" s="48"/>
      <c r="O807" s="48"/>
      <c r="P807" s="48"/>
      <c r="Q807" s="48"/>
      <c r="R807" s="48"/>
      <c r="S807" s="60"/>
      <c r="T807" s="48"/>
      <c r="U807" s="48"/>
      <c r="V807" s="48"/>
      <c r="W807" s="48"/>
      <c r="X807" s="48"/>
      <c r="Y807" s="48"/>
      <c r="Z807" s="48"/>
      <c r="AA807" s="48"/>
      <c r="AB807" s="48"/>
      <c r="AC807" s="48"/>
      <c r="AD807" s="48"/>
      <c r="AE807" s="48"/>
      <c r="AF807" s="60"/>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56"/>
      <c r="BJ807" s="56"/>
      <c r="BK807" s="56"/>
      <c r="BL807" s="56"/>
      <c r="BM807" s="56"/>
      <c r="BN807" s="56"/>
      <c r="BO807" s="56"/>
      <c r="BP807" s="56"/>
      <c r="BQ807" s="56"/>
      <c r="BR807" s="56"/>
      <c r="BS807" s="56"/>
      <c r="BT807" s="56"/>
      <c r="BU807" s="56"/>
      <c r="BV807" s="56"/>
      <c r="BW807" s="56"/>
      <c r="BX807" s="56"/>
    </row>
    <row r="808">
      <c r="A808" s="48"/>
      <c r="B808" s="48"/>
      <c r="C808" s="48"/>
      <c r="D808" s="48"/>
      <c r="E808" s="48"/>
      <c r="F808" s="48"/>
      <c r="G808" s="48"/>
      <c r="H808" s="48"/>
      <c r="I808" s="48"/>
      <c r="J808" s="48"/>
      <c r="K808" s="64"/>
      <c r="L808" s="64"/>
      <c r="M808" s="48"/>
      <c r="N808" s="48"/>
      <c r="O808" s="48"/>
      <c r="P808" s="48"/>
      <c r="Q808" s="48"/>
      <c r="R808" s="48"/>
      <c r="S808" s="60"/>
      <c r="T808" s="48"/>
      <c r="U808" s="48"/>
      <c r="V808" s="48"/>
      <c r="W808" s="48"/>
      <c r="X808" s="48"/>
      <c r="Y808" s="48"/>
      <c r="Z808" s="48"/>
      <c r="AA808" s="48"/>
      <c r="AB808" s="48"/>
      <c r="AC808" s="48"/>
      <c r="AD808" s="48"/>
      <c r="AE808" s="48"/>
      <c r="AF808" s="60"/>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56"/>
      <c r="BJ808" s="56"/>
      <c r="BK808" s="56"/>
      <c r="BL808" s="56"/>
      <c r="BM808" s="56"/>
      <c r="BN808" s="56"/>
      <c r="BO808" s="56"/>
      <c r="BP808" s="56"/>
      <c r="BQ808" s="56"/>
      <c r="BR808" s="56"/>
      <c r="BS808" s="56"/>
      <c r="BT808" s="56"/>
      <c r="BU808" s="56"/>
      <c r="BV808" s="56"/>
      <c r="BW808" s="56"/>
      <c r="BX808" s="56"/>
    </row>
    <row r="809">
      <c r="A809" s="48"/>
      <c r="B809" s="48"/>
      <c r="C809" s="48"/>
      <c r="D809" s="48"/>
      <c r="E809" s="48"/>
      <c r="F809" s="48"/>
      <c r="G809" s="48"/>
      <c r="H809" s="48"/>
      <c r="I809" s="48"/>
      <c r="J809" s="48"/>
      <c r="K809" s="64"/>
      <c r="L809" s="64"/>
      <c r="M809" s="48"/>
      <c r="N809" s="48"/>
      <c r="O809" s="48"/>
      <c r="P809" s="48"/>
      <c r="Q809" s="48"/>
      <c r="R809" s="48"/>
      <c r="S809" s="60"/>
      <c r="T809" s="48"/>
      <c r="U809" s="48"/>
      <c r="V809" s="48"/>
      <c r="W809" s="48"/>
      <c r="X809" s="48"/>
      <c r="Y809" s="48"/>
      <c r="Z809" s="48"/>
      <c r="AA809" s="48"/>
      <c r="AB809" s="48"/>
      <c r="AC809" s="48"/>
      <c r="AD809" s="48"/>
      <c r="AE809" s="48"/>
      <c r="AF809" s="60"/>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56"/>
      <c r="BJ809" s="56"/>
      <c r="BK809" s="56"/>
      <c r="BL809" s="56"/>
      <c r="BM809" s="56"/>
      <c r="BN809" s="56"/>
      <c r="BO809" s="56"/>
      <c r="BP809" s="56"/>
      <c r="BQ809" s="56"/>
      <c r="BR809" s="56"/>
      <c r="BS809" s="56"/>
      <c r="BT809" s="56"/>
      <c r="BU809" s="56"/>
      <c r="BV809" s="56"/>
      <c r="BW809" s="56"/>
      <c r="BX809" s="56"/>
    </row>
    <row r="810">
      <c r="A810" s="48"/>
      <c r="B810" s="48"/>
      <c r="C810" s="48"/>
      <c r="D810" s="48"/>
      <c r="E810" s="48"/>
      <c r="F810" s="48"/>
      <c r="G810" s="48"/>
      <c r="H810" s="48"/>
      <c r="I810" s="48"/>
      <c r="J810" s="48"/>
      <c r="K810" s="64"/>
      <c r="L810" s="64"/>
      <c r="M810" s="48"/>
      <c r="N810" s="48"/>
      <c r="O810" s="48"/>
      <c r="P810" s="48"/>
      <c r="Q810" s="48"/>
      <c r="R810" s="48"/>
      <c r="S810" s="60"/>
      <c r="T810" s="48"/>
      <c r="U810" s="48"/>
      <c r="V810" s="48"/>
      <c r="W810" s="48"/>
      <c r="X810" s="48"/>
      <c r="Y810" s="48"/>
      <c r="Z810" s="48"/>
      <c r="AA810" s="48"/>
      <c r="AB810" s="48"/>
      <c r="AC810" s="48"/>
      <c r="AD810" s="48"/>
      <c r="AE810" s="48"/>
      <c r="AF810" s="60"/>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56"/>
      <c r="BJ810" s="56"/>
      <c r="BK810" s="56"/>
      <c r="BL810" s="56"/>
      <c r="BM810" s="56"/>
      <c r="BN810" s="56"/>
      <c r="BO810" s="56"/>
      <c r="BP810" s="56"/>
      <c r="BQ810" s="56"/>
      <c r="BR810" s="56"/>
      <c r="BS810" s="56"/>
      <c r="BT810" s="56"/>
      <c r="BU810" s="56"/>
      <c r="BV810" s="56"/>
      <c r="BW810" s="56"/>
      <c r="BX810" s="56"/>
    </row>
    <row r="811">
      <c r="A811" s="48"/>
      <c r="B811" s="48"/>
      <c r="C811" s="48"/>
      <c r="D811" s="48"/>
      <c r="E811" s="48"/>
      <c r="F811" s="48"/>
      <c r="G811" s="48"/>
      <c r="H811" s="48"/>
      <c r="I811" s="48"/>
      <c r="J811" s="48"/>
      <c r="K811" s="64"/>
      <c r="L811" s="64"/>
      <c r="M811" s="48"/>
      <c r="N811" s="48"/>
      <c r="O811" s="48"/>
      <c r="P811" s="48"/>
      <c r="Q811" s="48"/>
      <c r="R811" s="48"/>
      <c r="S811" s="60"/>
      <c r="T811" s="48"/>
      <c r="U811" s="48"/>
      <c r="V811" s="48"/>
      <c r="W811" s="48"/>
      <c r="X811" s="48"/>
      <c r="Y811" s="48"/>
      <c r="Z811" s="48"/>
      <c r="AA811" s="48"/>
      <c r="AB811" s="48"/>
      <c r="AC811" s="48"/>
      <c r="AD811" s="48"/>
      <c r="AE811" s="48"/>
      <c r="AF811" s="60"/>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56"/>
      <c r="BJ811" s="56"/>
      <c r="BK811" s="56"/>
      <c r="BL811" s="56"/>
      <c r="BM811" s="56"/>
      <c r="BN811" s="56"/>
      <c r="BO811" s="56"/>
      <c r="BP811" s="56"/>
      <c r="BQ811" s="56"/>
      <c r="BR811" s="56"/>
      <c r="BS811" s="56"/>
      <c r="BT811" s="56"/>
      <c r="BU811" s="56"/>
      <c r="BV811" s="56"/>
      <c r="BW811" s="56"/>
      <c r="BX811" s="56"/>
    </row>
    <row r="812">
      <c r="A812" s="48"/>
      <c r="B812" s="48"/>
      <c r="C812" s="48"/>
      <c r="D812" s="48"/>
      <c r="E812" s="48"/>
      <c r="F812" s="48"/>
      <c r="G812" s="48"/>
      <c r="H812" s="48"/>
      <c r="I812" s="48"/>
      <c r="J812" s="48"/>
      <c r="K812" s="64"/>
      <c r="L812" s="64"/>
      <c r="M812" s="48"/>
      <c r="N812" s="48"/>
      <c r="O812" s="48"/>
      <c r="P812" s="48"/>
      <c r="Q812" s="48"/>
      <c r="R812" s="48"/>
      <c r="S812" s="60"/>
      <c r="T812" s="48"/>
      <c r="U812" s="48"/>
      <c r="V812" s="48"/>
      <c r="W812" s="48"/>
      <c r="X812" s="48"/>
      <c r="Y812" s="48"/>
      <c r="Z812" s="48"/>
      <c r="AA812" s="48"/>
      <c r="AB812" s="48"/>
      <c r="AC812" s="48"/>
      <c r="AD812" s="48"/>
      <c r="AE812" s="48"/>
      <c r="AF812" s="60"/>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56"/>
      <c r="BJ812" s="56"/>
      <c r="BK812" s="56"/>
      <c r="BL812" s="56"/>
      <c r="BM812" s="56"/>
      <c r="BN812" s="56"/>
      <c r="BO812" s="56"/>
      <c r="BP812" s="56"/>
      <c r="BQ812" s="56"/>
      <c r="BR812" s="56"/>
      <c r="BS812" s="56"/>
      <c r="BT812" s="56"/>
      <c r="BU812" s="56"/>
      <c r="BV812" s="56"/>
      <c r="BW812" s="56"/>
      <c r="BX812" s="56"/>
    </row>
    <row r="813">
      <c r="A813" s="48"/>
      <c r="B813" s="48"/>
      <c r="C813" s="48"/>
      <c r="D813" s="48"/>
      <c r="E813" s="48"/>
      <c r="F813" s="48"/>
      <c r="G813" s="48"/>
      <c r="H813" s="48"/>
      <c r="I813" s="48"/>
      <c r="J813" s="48"/>
      <c r="K813" s="64"/>
      <c r="L813" s="64"/>
      <c r="M813" s="48"/>
      <c r="N813" s="48"/>
      <c r="O813" s="48"/>
      <c r="P813" s="48"/>
      <c r="Q813" s="48"/>
      <c r="R813" s="48"/>
      <c r="S813" s="60"/>
      <c r="T813" s="48"/>
      <c r="U813" s="48"/>
      <c r="V813" s="48"/>
      <c r="W813" s="48"/>
      <c r="X813" s="48"/>
      <c r="Y813" s="48"/>
      <c r="Z813" s="48"/>
      <c r="AA813" s="48"/>
      <c r="AB813" s="48"/>
      <c r="AC813" s="48"/>
      <c r="AD813" s="48"/>
      <c r="AE813" s="48"/>
      <c r="AF813" s="60"/>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56"/>
      <c r="BJ813" s="56"/>
      <c r="BK813" s="56"/>
      <c r="BL813" s="56"/>
      <c r="BM813" s="56"/>
      <c r="BN813" s="56"/>
      <c r="BO813" s="56"/>
      <c r="BP813" s="56"/>
      <c r="BQ813" s="56"/>
      <c r="BR813" s="56"/>
      <c r="BS813" s="56"/>
      <c r="BT813" s="56"/>
      <c r="BU813" s="56"/>
      <c r="BV813" s="56"/>
      <c r="BW813" s="56"/>
      <c r="BX813" s="56"/>
    </row>
    <row r="814">
      <c r="A814" s="48"/>
      <c r="B814" s="48"/>
      <c r="C814" s="48"/>
      <c r="D814" s="48"/>
      <c r="E814" s="48"/>
      <c r="F814" s="48"/>
      <c r="G814" s="48"/>
      <c r="H814" s="48"/>
      <c r="I814" s="48"/>
      <c r="J814" s="48"/>
      <c r="K814" s="64"/>
      <c r="L814" s="64"/>
      <c r="M814" s="48"/>
      <c r="N814" s="48"/>
      <c r="O814" s="48"/>
      <c r="P814" s="48"/>
      <c r="Q814" s="48"/>
      <c r="R814" s="48"/>
      <c r="S814" s="60"/>
      <c r="T814" s="48"/>
      <c r="U814" s="48"/>
      <c r="V814" s="48"/>
      <c r="W814" s="48"/>
      <c r="X814" s="48"/>
      <c r="Y814" s="48"/>
      <c r="Z814" s="48"/>
      <c r="AA814" s="48"/>
      <c r="AB814" s="48"/>
      <c r="AC814" s="48"/>
      <c r="AD814" s="48"/>
      <c r="AE814" s="48"/>
      <c r="AF814" s="60"/>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56"/>
      <c r="BJ814" s="56"/>
      <c r="BK814" s="56"/>
      <c r="BL814" s="56"/>
      <c r="BM814" s="56"/>
      <c r="BN814" s="56"/>
      <c r="BO814" s="56"/>
      <c r="BP814" s="56"/>
      <c r="BQ814" s="56"/>
      <c r="BR814" s="56"/>
      <c r="BS814" s="56"/>
      <c r="BT814" s="56"/>
      <c r="BU814" s="56"/>
      <c r="BV814" s="56"/>
      <c r="BW814" s="56"/>
      <c r="BX814" s="56"/>
    </row>
    <row r="815">
      <c r="A815" s="48"/>
      <c r="B815" s="48"/>
      <c r="C815" s="48"/>
      <c r="D815" s="48"/>
      <c r="E815" s="48"/>
      <c r="F815" s="48"/>
      <c r="G815" s="48"/>
      <c r="H815" s="48"/>
      <c r="I815" s="48"/>
      <c r="J815" s="48"/>
      <c r="K815" s="64"/>
      <c r="L815" s="64"/>
      <c r="M815" s="48"/>
      <c r="N815" s="48"/>
      <c r="O815" s="48"/>
      <c r="P815" s="48"/>
      <c r="Q815" s="48"/>
      <c r="R815" s="48"/>
      <c r="S815" s="60"/>
      <c r="T815" s="48"/>
      <c r="U815" s="48"/>
      <c r="V815" s="48"/>
      <c r="W815" s="48"/>
      <c r="X815" s="48"/>
      <c r="Y815" s="48"/>
      <c r="Z815" s="48"/>
      <c r="AA815" s="48"/>
      <c r="AB815" s="48"/>
      <c r="AC815" s="48"/>
      <c r="AD815" s="48"/>
      <c r="AE815" s="48"/>
      <c r="AF815" s="60"/>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56"/>
      <c r="BJ815" s="56"/>
      <c r="BK815" s="56"/>
      <c r="BL815" s="56"/>
      <c r="BM815" s="56"/>
      <c r="BN815" s="56"/>
      <c r="BO815" s="56"/>
      <c r="BP815" s="56"/>
      <c r="BQ815" s="56"/>
      <c r="BR815" s="56"/>
      <c r="BS815" s="56"/>
      <c r="BT815" s="56"/>
      <c r="BU815" s="56"/>
      <c r="BV815" s="56"/>
      <c r="BW815" s="56"/>
      <c r="BX815" s="56"/>
    </row>
    <row r="816">
      <c r="A816" s="48"/>
      <c r="B816" s="48"/>
      <c r="C816" s="48"/>
      <c r="D816" s="48"/>
      <c r="E816" s="48"/>
      <c r="F816" s="48"/>
      <c r="G816" s="48"/>
      <c r="H816" s="48"/>
      <c r="I816" s="48"/>
      <c r="J816" s="48"/>
      <c r="K816" s="64"/>
      <c r="L816" s="64"/>
      <c r="M816" s="48"/>
      <c r="N816" s="48"/>
      <c r="O816" s="48"/>
      <c r="P816" s="48"/>
      <c r="Q816" s="48"/>
      <c r="R816" s="48"/>
      <c r="S816" s="60"/>
      <c r="T816" s="48"/>
      <c r="U816" s="48"/>
      <c r="V816" s="48"/>
      <c r="W816" s="48"/>
      <c r="X816" s="48"/>
      <c r="Y816" s="48"/>
      <c r="Z816" s="48"/>
      <c r="AA816" s="48"/>
      <c r="AB816" s="48"/>
      <c r="AC816" s="48"/>
      <c r="AD816" s="48"/>
      <c r="AE816" s="48"/>
      <c r="AF816" s="60"/>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56"/>
      <c r="BJ816" s="56"/>
      <c r="BK816" s="56"/>
      <c r="BL816" s="56"/>
      <c r="BM816" s="56"/>
      <c r="BN816" s="56"/>
      <c r="BO816" s="56"/>
      <c r="BP816" s="56"/>
      <c r="BQ816" s="56"/>
      <c r="BR816" s="56"/>
      <c r="BS816" s="56"/>
      <c r="BT816" s="56"/>
      <c r="BU816" s="56"/>
      <c r="BV816" s="56"/>
      <c r="BW816" s="56"/>
      <c r="BX816" s="56"/>
    </row>
    <row r="817">
      <c r="A817" s="48"/>
      <c r="B817" s="48"/>
      <c r="C817" s="48"/>
      <c r="D817" s="48"/>
      <c r="E817" s="48"/>
      <c r="F817" s="48"/>
      <c r="G817" s="48"/>
      <c r="H817" s="48"/>
      <c r="I817" s="48"/>
      <c r="J817" s="48"/>
      <c r="K817" s="64"/>
      <c r="L817" s="64"/>
      <c r="M817" s="48"/>
      <c r="N817" s="48"/>
      <c r="O817" s="48"/>
      <c r="P817" s="48"/>
      <c r="Q817" s="48"/>
      <c r="R817" s="48"/>
      <c r="S817" s="60"/>
      <c r="T817" s="48"/>
      <c r="U817" s="48"/>
      <c r="V817" s="48"/>
      <c r="W817" s="48"/>
      <c r="X817" s="48"/>
      <c r="Y817" s="48"/>
      <c r="Z817" s="48"/>
      <c r="AA817" s="48"/>
      <c r="AB817" s="48"/>
      <c r="AC817" s="48"/>
      <c r="AD817" s="48"/>
      <c r="AE817" s="48"/>
      <c r="AF817" s="60"/>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56"/>
      <c r="BJ817" s="56"/>
      <c r="BK817" s="56"/>
      <c r="BL817" s="56"/>
      <c r="BM817" s="56"/>
      <c r="BN817" s="56"/>
      <c r="BO817" s="56"/>
      <c r="BP817" s="56"/>
      <c r="BQ817" s="56"/>
      <c r="BR817" s="56"/>
      <c r="BS817" s="56"/>
      <c r="BT817" s="56"/>
      <c r="BU817" s="56"/>
      <c r="BV817" s="56"/>
      <c r="BW817" s="56"/>
      <c r="BX817" s="56"/>
    </row>
    <row r="818">
      <c r="A818" s="48"/>
      <c r="B818" s="48"/>
      <c r="C818" s="48"/>
      <c r="D818" s="48"/>
      <c r="E818" s="48"/>
      <c r="F818" s="48"/>
      <c r="G818" s="48"/>
      <c r="H818" s="48"/>
      <c r="I818" s="48"/>
      <c r="J818" s="48"/>
      <c r="K818" s="64"/>
      <c r="L818" s="64"/>
      <c r="M818" s="48"/>
      <c r="N818" s="48"/>
      <c r="O818" s="48"/>
      <c r="P818" s="48"/>
      <c r="Q818" s="48"/>
      <c r="R818" s="48"/>
      <c r="S818" s="60"/>
      <c r="T818" s="48"/>
      <c r="U818" s="48"/>
      <c r="V818" s="48"/>
      <c r="W818" s="48"/>
      <c r="X818" s="48"/>
      <c r="Y818" s="48"/>
      <c r="Z818" s="48"/>
      <c r="AA818" s="48"/>
      <c r="AB818" s="48"/>
      <c r="AC818" s="48"/>
      <c r="AD818" s="48"/>
      <c r="AE818" s="48"/>
      <c r="AF818" s="60"/>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56"/>
      <c r="BJ818" s="56"/>
      <c r="BK818" s="56"/>
      <c r="BL818" s="56"/>
      <c r="BM818" s="56"/>
      <c r="BN818" s="56"/>
      <c r="BO818" s="56"/>
      <c r="BP818" s="56"/>
      <c r="BQ818" s="56"/>
      <c r="BR818" s="56"/>
      <c r="BS818" s="56"/>
      <c r="BT818" s="56"/>
      <c r="BU818" s="56"/>
      <c r="BV818" s="56"/>
      <c r="BW818" s="56"/>
      <c r="BX818" s="56"/>
    </row>
    <row r="819">
      <c r="A819" s="48"/>
      <c r="B819" s="48"/>
      <c r="C819" s="48"/>
      <c r="D819" s="48"/>
      <c r="E819" s="48"/>
      <c r="F819" s="48"/>
      <c r="G819" s="48"/>
      <c r="H819" s="48"/>
      <c r="I819" s="48"/>
      <c r="J819" s="48"/>
      <c r="K819" s="64"/>
      <c r="L819" s="64"/>
      <c r="M819" s="48"/>
      <c r="N819" s="48"/>
      <c r="O819" s="48"/>
      <c r="P819" s="48"/>
      <c r="Q819" s="48"/>
      <c r="R819" s="48"/>
      <c r="S819" s="60"/>
      <c r="T819" s="48"/>
      <c r="U819" s="48"/>
      <c r="V819" s="48"/>
      <c r="W819" s="48"/>
      <c r="X819" s="48"/>
      <c r="Y819" s="48"/>
      <c r="Z819" s="48"/>
      <c r="AA819" s="48"/>
      <c r="AB819" s="48"/>
      <c r="AC819" s="48"/>
      <c r="AD819" s="48"/>
      <c r="AE819" s="48"/>
      <c r="AF819" s="60"/>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56"/>
      <c r="BJ819" s="56"/>
      <c r="BK819" s="56"/>
      <c r="BL819" s="56"/>
      <c r="BM819" s="56"/>
      <c r="BN819" s="56"/>
      <c r="BO819" s="56"/>
      <c r="BP819" s="56"/>
      <c r="BQ819" s="56"/>
      <c r="BR819" s="56"/>
      <c r="BS819" s="56"/>
      <c r="BT819" s="56"/>
      <c r="BU819" s="56"/>
      <c r="BV819" s="56"/>
      <c r="BW819" s="56"/>
      <c r="BX819" s="56"/>
    </row>
    <row r="820">
      <c r="A820" s="48"/>
      <c r="B820" s="48"/>
      <c r="C820" s="48"/>
      <c r="D820" s="48"/>
      <c r="E820" s="48"/>
      <c r="F820" s="48"/>
      <c r="G820" s="48"/>
      <c r="H820" s="48"/>
      <c r="I820" s="48"/>
      <c r="J820" s="48"/>
      <c r="K820" s="64"/>
      <c r="L820" s="64"/>
      <c r="M820" s="48"/>
      <c r="N820" s="48"/>
      <c r="O820" s="48"/>
      <c r="P820" s="48"/>
      <c r="Q820" s="48"/>
      <c r="R820" s="48"/>
      <c r="S820" s="60"/>
      <c r="T820" s="48"/>
      <c r="U820" s="48"/>
      <c r="V820" s="48"/>
      <c r="W820" s="48"/>
      <c r="X820" s="48"/>
      <c r="Y820" s="48"/>
      <c r="Z820" s="48"/>
      <c r="AA820" s="48"/>
      <c r="AB820" s="48"/>
      <c r="AC820" s="48"/>
      <c r="AD820" s="48"/>
      <c r="AE820" s="48"/>
      <c r="AF820" s="60"/>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56"/>
      <c r="BJ820" s="56"/>
      <c r="BK820" s="56"/>
      <c r="BL820" s="56"/>
      <c r="BM820" s="56"/>
      <c r="BN820" s="56"/>
      <c r="BO820" s="56"/>
      <c r="BP820" s="56"/>
      <c r="BQ820" s="56"/>
      <c r="BR820" s="56"/>
      <c r="BS820" s="56"/>
      <c r="BT820" s="56"/>
      <c r="BU820" s="56"/>
      <c r="BV820" s="56"/>
      <c r="BW820" s="56"/>
      <c r="BX820" s="56"/>
    </row>
    <row r="821">
      <c r="A821" s="48"/>
      <c r="B821" s="48"/>
      <c r="C821" s="48"/>
      <c r="D821" s="48"/>
      <c r="E821" s="48"/>
      <c r="F821" s="48"/>
      <c r="G821" s="48"/>
      <c r="H821" s="48"/>
      <c r="I821" s="48"/>
      <c r="J821" s="48"/>
      <c r="K821" s="64"/>
      <c r="L821" s="64"/>
      <c r="M821" s="48"/>
      <c r="N821" s="48"/>
      <c r="O821" s="48"/>
      <c r="P821" s="48"/>
      <c r="Q821" s="48"/>
      <c r="R821" s="48"/>
      <c r="S821" s="60"/>
      <c r="T821" s="48"/>
      <c r="U821" s="48"/>
      <c r="V821" s="48"/>
      <c r="W821" s="48"/>
      <c r="X821" s="48"/>
      <c r="Y821" s="48"/>
      <c r="Z821" s="48"/>
      <c r="AA821" s="48"/>
      <c r="AB821" s="48"/>
      <c r="AC821" s="48"/>
      <c r="AD821" s="48"/>
      <c r="AE821" s="48"/>
      <c r="AF821" s="60"/>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56"/>
      <c r="BJ821" s="56"/>
      <c r="BK821" s="56"/>
      <c r="BL821" s="56"/>
      <c r="BM821" s="56"/>
      <c r="BN821" s="56"/>
      <c r="BO821" s="56"/>
      <c r="BP821" s="56"/>
      <c r="BQ821" s="56"/>
      <c r="BR821" s="56"/>
      <c r="BS821" s="56"/>
      <c r="BT821" s="56"/>
      <c r="BU821" s="56"/>
      <c r="BV821" s="56"/>
      <c r="BW821" s="56"/>
      <c r="BX821" s="56"/>
    </row>
    <row r="822">
      <c r="A822" s="48"/>
      <c r="B822" s="48"/>
      <c r="C822" s="48"/>
      <c r="D822" s="48"/>
      <c r="E822" s="48"/>
      <c r="F822" s="48"/>
      <c r="G822" s="48"/>
      <c r="H822" s="48"/>
      <c r="I822" s="48"/>
      <c r="J822" s="48"/>
      <c r="K822" s="64"/>
      <c r="L822" s="64"/>
      <c r="M822" s="48"/>
      <c r="N822" s="48"/>
      <c r="O822" s="48"/>
      <c r="P822" s="48"/>
      <c r="Q822" s="48"/>
      <c r="R822" s="48"/>
      <c r="S822" s="60"/>
      <c r="T822" s="48"/>
      <c r="U822" s="48"/>
      <c r="V822" s="48"/>
      <c r="W822" s="48"/>
      <c r="X822" s="48"/>
      <c r="Y822" s="48"/>
      <c r="Z822" s="48"/>
      <c r="AA822" s="48"/>
      <c r="AB822" s="48"/>
      <c r="AC822" s="48"/>
      <c r="AD822" s="48"/>
      <c r="AE822" s="48"/>
      <c r="AF822" s="60"/>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56"/>
      <c r="BJ822" s="56"/>
      <c r="BK822" s="56"/>
      <c r="BL822" s="56"/>
      <c r="BM822" s="56"/>
      <c r="BN822" s="56"/>
      <c r="BO822" s="56"/>
      <c r="BP822" s="56"/>
      <c r="BQ822" s="56"/>
      <c r="BR822" s="56"/>
      <c r="BS822" s="56"/>
      <c r="BT822" s="56"/>
      <c r="BU822" s="56"/>
      <c r="BV822" s="56"/>
      <c r="BW822" s="56"/>
      <c r="BX822" s="56"/>
    </row>
    <row r="823">
      <c r="A823" s="48"/>
      <c r="B823" s="48"/>
      <c r="C823" s="48"/>
      <c r="D823" s="48"/>
      <c r="E823" s="48"/>
      <c r="F823" s="48"/>
      <c r="G823" s="48"/>
      <c r="H823" s="48"/>
      <c r="I823" s="48"/>
      <c r="J823" s="48"/>
      <c r="K823" s="64"/>
      <c r="L823" s="64"/>
      <c r="M823" s="48"/>
      <c r="N823" s="48"/>
      <c r="O823" s="48"/>
      <c r="P823" s="48"/>
      <c r="Q823" s="48"/>
      <c r="R823" s="48"/>
      <c r="S823" s="60"/>
      <c r="T823" s="48"/>
      <c r="U823" s="48"/>
      <c r="V823" s="48"/>
      <c r="W823" s="48"/>
      <c r="X823" s="48"/>
      <c r="Y823" s="48"/>
      <c r="Z823" s="48"/>
      <c r="AA823" s="48"/>
      <c r="AB823" s="48"/>
      <c r="AC823" s="48"/>
      <c r="AD823" s="48"/>
      <c r="AE823" s="48"/>
      <c r="AF823" s="60"/>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56"/>
      <c r="BJ823" s="56"/>
      <c r="BK823" s="56"/>
      <c r="BL823" s="56"/>
      <c r="BM823" s="56"/>
      <c r="BN823" s="56"/>
      <c r="BO823" s="56"/>
      <c r="BP823" s="56"/>
      <c r="BQ823" s="56"/>
      <c r="BR823" s="56"/>
      <c r="BS823" s="56"/>
      <c r="BT823" s="56"/>
      <c r="BU823" s="56"/>
      <c r="BV823" s="56"/>
      <c r="BW823" s="56"/>
      <c r="BX823" s="56"/>
    </row>
    <row r="824">
      <c r="A824" s="48"/>
      <c r="B824" s="48"/>
      <c r="C824" s="48"/>
      <c r="D824" s="48"/>
      <c r="E824" s="48"/>
      <c r="F824" s="48"/>
      <c r="G824" s="48"/>
      <c r="H824" s="48"/>
      <c r="I824" s="48"/>
      <c r="J824" s="48"/>
      <c r="K824" s="64"/>
      <c r="L824" s="64"/>
      <c r="M824" s="48"/>
      <c r="N824" s="48"/>
      <c r="O824" s="48"/>
      <c r="P824" s="48"/>
      <c r="Q824" s="48"/>
      <c r="R824" s="48"/>
      <c r="S824" s="60"/>
      <c r="T824" s="48"/>
      <c r="U824" s="48"/>
      <c r="V824" s="48"/>
      <c r="W824" s="48"/>
      <c r="X824" s="48"/>
      <c r="Y824" s="48"/>
      <c r="Z824" s="48"/>
      <c r="AA824" s="48"/>
      <c r="AB824" s="48"/>
      <c r="AC824" s="48"/>
      <c r="AD824" s="48"/>
      <c r="AE824" s="48"/>
      <c r="AF824" s="60"/>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56"/>
      <c r="BJ824" s="56"/>
      <c r="BK824" s="56"/>
      <c r="BL824" s="56"/>
      <c r="BM824" s="56"/>
      <c r="BN824" s="56"/>
      <c r="BO824" s="56"/>
      <c r="BP824" s="56"/>
      <c r="BQ824" s="56"/>
      <c r="BR824" s="56"/>
      <c r="BS824" s="56"/>
      <c r="BT824" s="56"/>
      <c r="BU824" s="56"/>
      <c r="BV824" s="56"/>
      <c r="BW824" s="56"/>
      <c r="BX824" s="56"/>
    </row>
    <row r="825">
      <c r="A825" s="48"/>
      <c r="B825" s="48"/>
      <c r="C825" s="48"/>
      <c r="D825" s="48"/>
      <c r="E825" s="48"/>
      <c r="F825" s="48"/>
      <c r="G825" s="48"/>
      <c r="H825" s="48"/>
      <c r="I825" s="48"/>
      <c r="J825" s="48"/>
      <c r="K825" s="64"/>
      <c r="L825" s="64"/>
      <c r="M825" s="48"/>
      <c r="N825" s="48"/>
      <c r="O825" s="48"/>
      <c r="P825" s="48"/>
      <c r="Q825" s="48"/>
      <c r="R825" s="48"/>
      <c r="S825" s="60"/>
      <c r="T825" s="48"/>
      <c r="U825" s="48"/>
      <c r="V825" s="48"/>
      <c r="W825" s="48"/>
      <c r="X825" s="48"/>
      <c r="Y825" s="48"/>
      <c r="Z825" s="48"/>
      <c r="AA825" s="48"/>
      <c r="AB825" s="48"/>
      <c r="AC825" s="48"/>
      <c r="AD825" s="48"/>
      <c r="AE825" s="48"/>
      <c r="AF825" s="60"/>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56"/>
      <c r="BJ825" s="56"/>
      <c r="BK825" s="56"/>
      <c r="BL825" s="56"/>
      <c r="BM825" s="56"/>
      <c r="BN825" s="56"/>
      <c r="BO825" s="56"/>
      <c r="BP825" s="56"/>
      <c r="BQ825" s="56"/>
      <c r="BR825" s="56"/>
      <c r="BS825" s="56"/>
      <c r="BT825" s="56"/>
      <c r="BU825" s="56"/>
      <c r="BV825" s="56"/>
      <c r="BW825" s="56"/>
      <c r="BX825" s="56"/>
    </row>
    <row r="826">
      <c r="A826" s="48"/>
      <c r="B826" s="48"/>
      <c r="C826" s="48"/>
      <c r="D826" s="48"/>
      <c r="E826" s="48"/>
      <c r="F826" s="48"/>
      <c r="G826" s="48"/>
      <c r="H826" s="48"/>
      <c r="I826" s="48"/>
      <c r="J826" s="48"/>
      <c r="K826" s="64"/>
      <c r="L826" s="64"/>
      <c r="M826" s="48"/>
      <c r="N826" s="48"/>
      <c r="O826" s="48"/>
      <c r="P826" s="48"/>
      <c r="Q826" s="48"/>
      <c r="R826" s="48"/>
      <c r="S826" s="60"/>
      <c r="T826" s="48"/>
      <c r="U826" s="48"/>
      <c r="V826" s="48"/>
      <c r="W826" s="48"/>
      <c r="X826" s="48"/>
      <c r="Y826" s="48"/>
      <c r="Z826" s="48"/>
      <c r="AA826" s="48"/>
      <c r="AB826" s="48"/>
      <c r="AC826" s="48"/>
      <c r="AD826" s="48"/>
      <c r="AE826" s="48"/>
      <c r="AF826" s="60"/>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56"/>
      <c r="BJ826" s="56"/>
      <c r="BK826" s="56"/>
      <c r="BL826" s="56"/>
      <c r="BM826" s="56"/>
      <c r="BN826" s="56"/>
      <c r="BO826" s="56"/>
      <c r="BP826" s="56"/>
      <c r="BQ826" s="56"/>
      <c r="BR826" s="56"/>
      <c r="BS826" s="56"/>
      <c r="BT826" s="56"/>
      <c r="BU826" s="56"/>
      <c r="BV826" s="56"/>
      <c r="BW826" s="56"/>
      <c r="BX826" s="56"/>
    </row>
    <row r="827">
      <c r="A827" s="48"/>
      <c r="B827" s="48"/>
      <c r="C827" s="48"/>
      <c r="D827" s="48"/>
      <c r="E827" s="48"/>
      <c r="F827" s="48"/>
      <c r="G827" s="48"/>
      <c r="H827" s="48"/>
      <c r="I827" s="48"/>
      <c r="J827" s="48"/>
      <c r="K827" s="64"/>
      <c r="L827" s="64"/>
      <c r="M827" s="48"/>
      <c r="N827" s="48"/>
      <c r="O827" s="48"/>
      <c r="P827" s="48"/>
      <c r="Q827" s="48"/>
      <c r="R827" s="48"/>
      <c r="S827" s="60"/>
      <c r="T827" s="48"/>
      <c r="U827" s="48"/>
      <c r="V827" s="48"/>
      <c r="W827" s="48"/>
      <c r="X827" s="48"/>
      <c r="Y827" s="48"/>
      <c r="Z827" s="48"/>
      <c r="AA827" s="48"/>
      <c r="AB827" s="48"/>
      <c r="AC827" s="48"/>
      <c r="AD827" s="48"/>
      <c r="AE827" s="48"/>
      <c r="AF827" s="60"/>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56"/>
      <c r="BJ827" s="56"/>
      <c r="BK827" s="56"/>
      <c r="BL827" s="56"/>
      <c r="BM827" s="56"/>
      <c r="BN827" s="56"/>
      <c r="BO827" s="56"/>
      <c r="BP827" s="56"/>
      <c r="BQ827" s="56"/>
      <c r="BR827" s="56"/>
      <c r="BS827" s="56"/>
      <c r="BT827" s="56"/>
      <c r="BU827" s="56"/>
      <c r="BV827" s="56"/>
      <c r="BW827" s="56"/>
      <c r="BX827" s="56"/>
    </row>
    <row r="828">
      <c r="A828" s="48"/>
      <c r="B828" s="48"/>
      <c r="C828" s="48"/>
      <c r="D828" s="48"/>
      <c r="E828" s="48"/>
      <c r="F828" s="48"/>
      <c r="G828" s="48"/>
      <c r="H828" s="48"/>
      <c r="I828" s="48"/>
      <c r="J828" s="48"/>
      <c r="K828" s="64"/>
      <c r="L828" s="64"/>
      <c r="M828" s="48"/>
      <c r="N828" s="48"/>
      <c r="O828" s="48"/>
      <c r="P828" s="48"/>
      <c r="Q828" s="48"/>
      <c r="R828" s="48"/>
      <c r="S828" s="60"/>
      <c r="T828" s="48"/>
      <c r="U828" s="48"/>
      <c r="V828" s="48"/>
      <c r="W828" s="48"/>
      <c r="X828" s="48"/>
      <c r="Y828" s="48"/>
      <c r="Z828" s="48"/>
      <c r="AA828" s="48"/>
      <c r="AB828" s="48"/>
      <c r="AC828" s="48"/>
      <c r="AD828" s="48"/>
      <c r="AE828" s="48"/>
      <c r="AF828" s="60"/>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56"/>
      <c r="BJ828" s="56"/>
      <c r="BK828" s="56"/>
      <c r="BL828" s="56"/>
      <c r="BM828" s="56"/>
      <c r="BN828" s="56"/>
      <c r="BO828" s="56"/>
      <c r="BP828" s="56"/>
      <c r="BQ828" s="56"/>
      <c r="BR828" s="56"/>
      <c r="BS828" s="56"/>
      <c r="BT828" s="56"/>
      <c r="BU828" s="56"/>
      <c r="BV828" s="56"/>
      <c r="BW828" s="56"/>
      <c r="BX828" s="56"/>
    </row>
    <row r="829">
      <c r="A829" s="48"/>
      <c r="B829" s="48"/>
      <c r="C829" s="48"/>
      <c r="D829" s="48"/>
      <c r="E829" s="48"/>
      <c r="F829" s="48"/>
      <c r="G829" s="48"/>
      <c r="H829" s="48"/>
      <c r="I829" s="48"/>
      <c r="J829" s="48"/>
      <c r="K829" s="64"/>
      <c r="L829" s="64"/>
      <c r="M829" s="48"/>
      <c r="N829" s="48"/>
      <c r="O829" s="48"/>
      <c r="P829" s="48"/>
      <c r="Q829" s="48"/>
      <c r="R829" s="48"/>
      <c r="S829" s="60"/>
      <c r="T829" s="48"/>
      <c r="U829" s="48"/>
      <c r="V829" s="48"/>
      <c r="W829" s="48"/>
      <c r="X829" s="48"/>
      <c r="Y829" s="48"/>
      <c r="Z829" s="48"/>
      <c r="AA829" s="48"/>
      <c r="AB829" s="48"/>
      <c r="AC829" s="48"/>
      <c r="AD829" s="48"/>
      <c r="AE829" s="48"/>
      <c r="AF829" s="60"/>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56"/>
      <c r="BJ829" s="56"/>
      <c r="BK829" s="56"/>
      <c r="BL829" s="56"/>
      <c r="BM829" s="56"/>
      <c r="BN829" s="56"/>
      <c r="BO829" s="56"/>
      <c r="BP829" s="56"/>
      <c r="BQ829" s="56"/>
      <c r="BR829" s="56"/>
      <c r="BS829" s="56"/>
      <c r="BT829" s="56"/>
      <c r="BU829" s="56"/>
      <c r="BV829" s="56"/>
      <c r="BW829" s="56"/>
      <c r="BX829" s="56"/>
    </row>
    <row r="830">
      <c r="A830" s="48"/>
      <c r="B830" s="48"/>
      <c r="C830" s="48"/>
      <c r="D830" s="48"/>
      <c r="E830" s="48"/>
      <c r="F830" s="48"/>
      <c r="G830" s="48"/>
      <c r="H830" s="48"/>
      <c r="I830" s="48"/>
      <c r="J830" s="48"/>
      <c r="K830" s="64"/>
      <c r="L830" s="64"/>
      <c r="M830" s="48"/>
      <c r="N830" s="48"/>
      <c r="O830" s="48"/>
      <c r="P830" s="48"/>
      <c r="Q830" s="48"/>
      <c r="R830" s="48"/>
      <c r="S830" s="60"/>
      <c r="T830" s="48"/>
      <c r="U830" s="48"/>
      <c r="V830" s="48"/>
      <c r="W830" s="48"/>
      <c r="X830" s="48"/>
      <c r="Y830" s="48"/>
      <c r="Z830" s="48"/>
      <c r="AA830" s="48"/>
      <c r="AB830" s="48"/>
      <c r="AC830" s="48"/>
      <c r="AD830" s="48"/>
      <c r="AE830" s="48"/>
      <c r="AF830" s="60"/>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56"/>
      <c r="BJ830" s="56"/>
      <c r="BK830" s="56"/>
      <c r="BL830" s="56"/>
      <c r="BM830" s="56"/>
      <c r="BN830" s="56"/>
      <c r="BO830" s="56"/>
      <c r="BP830" s="56"/>
      <c r="BQ830" s="56"/>
      <c r="BR830" s="56"/>
      <c r="BS830" s="56"/>
      <c r="BT830" s="56"/>
      <c r="BU830" s="56"/>
      <c r="BV830" s="56"/>
      <c r="BW830" s="56"/>
      <c r="BX830" s="56"/>
    </row>
    <row r="831">
      <c r="A831" s="48"/>
      <c r="B831" s="48"/>
      <c r="C831" s="48"/>
      <c r="D831" s="48"/>
      <c r="E831" s="48"/>
      <c r="F831" s="48"/>
      <c r="G831" s="48"/>
      <c r="H831" s="48"/>
      <c r="I831" s="48"/>
      <c r="J831" s="48"/>
      <c r="K831" s="64"/>
      <c r="L831" s="64"/>
      <c r="M831" s="48"/>
      <c r="N831" s="48"/>
      <c r="O831" s="48"/>
      <c r="P831" s="48"/>
      <c r="Q831" s="48"/>
      <c r="R831" s="48"/>
      <c r="S831" s="60"/>
      <c r="T831" s="48"/>
      <c r="U831" s="48"/>
      <c r="V831" s="48"/>
      <c r="W831" s="48"/>
      <c r="X831" s="48"/>
      <c r="Y831" s="48"/>
      <c r="Z831" s="48"/>
      <c r="AA831" s="48"/>
      <c r="AB831" s="48"/>
      <c r="AC831" s="48"/>
      <c r="AD831" s="48"/>
      <c r="AE831" s="48"/>
      <c r="AF831" s="60"/>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56"/>
      <c r="BJ831" s="56"/>
      <c r="BK831" s="56"/>
      <c r="BL831" s="56"/>
      <c r="BM831" s="56"/>
      <c r="BN831" s="56"/>
      <c r="BO831" s="56"/>
      <c r="BP831" s="56"/>
      <c r="BQ831" s="56"/>
      <c r="BR831" s="56"/>
      <c r="BS831" s="56"/>
      <c r="BT831" s="56"/>
      <c r="BU831" s="56"/>
      <c r="BV831" s="56"/>
      <c r="BW831" s="56"/>
      <c r="BX831" s="56"/>
    </row>
    <row r="832">
      <c r="A832" s="48"/>
      <c r="B832" s="48"/>
      <c r="C832" s="48"/>
      <c r="D832" s="48"/>
      <c r="E832" s="48"/>
      <c r="F832" s="48"/>
      <c r="G832" s="48"/>
      <c r="H832" s="48"/>
      <c r="I832" s="48"/>
      <c r="J832" s="48"/>
      <c r="K832" s="64"/>
      <c r="L832" s="64"/>
      <c r="M832" s="48"/>
      <c r="N832" s="48"/>
      <c r="O832" s="48"/>
      <c r="P832" s="48"/>
      <c r="Q832" s="48"/>
      <c r="R832" s="48"/>
      <c r="S832" s="60"/>
      <c r="T832" s="48"/>
      <c r="U832" s="48"/>
      <c r="V832" s="48"/>
      <c r="W832" s="48"/>
      <c r="X832" s="48"/>
      <c r="Y832" s="48"/>
      <c r="Z832" s="48"/>
      <c r="AA832" s="48"/>
      <c r="AB832" s="48"/>
      <c r="AC832" s="48"/>
      <c r="AD832" s="48"/>
      <c r="AE832" s="48"/>
      <c r="AF832" s="60"/>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56"/>
      <c r="BJ832" s="56"/>
      <c r="BK832" s="56"/>
      <c r="BL832" s="56"/>
      <c r="BM832" s="56"/>
      <c r="BN832" s="56"/>
      <c r="BO832" s="56"/>
      <c r="BP832" s="56"/>
      <c r="BQ832" s="56"/>
      <c r="BR832" s="56"/>
      <c r="BS832" s="56"/>
      <c r="BT832" s="56"/>
      <c r="BU832" s="56"/>
      <c r="BV832" s="56"/>
      <c r="BW832" s="56"/>
      <c r="BX832" s="56"/>
    </row>
    <row r="833">
      <c r="A833" s="48"/>
      <c r="B833" s="48"/>
      <c r="C833" s="48"/>
      <c r="D833" s="48"/>
      <c r="E833" s="48"/>
      <c r="F833" s="48"/>
      <c r="G833" s="48"/>
      <c r="H833" s="48"/>
      <c r="I833" s="48"/>
      <c r="J833" s="48"/>
      <c r="K833" s="64"/>
      <c r="L833" s="64"/>
      <c r="M833" s="48"/>
      <c r="N833" s="48"/>
      <c r="O833" s="48"/>
      <c r="P833" s="48"/>
      <c r="Q833" s="48"/>
      <c r="R833" s="48"/>
      <c r="S833" s="60"/>
      <c r="T833" s="48"/>
      <c r="U833" s="48"/>
      <c r="V833" s="48"/>
      <c r="W833" s="48"/>
      <c r="X833" s="48"/>
      <c r="Y833" s="48"/>
      <c r="Z833" s="48"/>
      <c r="AA833" s="48"/>
      <c r="AB833" s="48"/>
      <c r="AC833" s="48"/>
      <c r="AD833" s="48"/>
      <c r="AE833" s="48"/>
      <c r="AF833" s="60"/>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56"/>
      <c r="BJ833" s="56"/>
      <c r="BK833" s="56"/>
      <c r="BL833" s="56"/>
      <c r="BM833" s="56"/>
      <c r="BN833" s="56"/>
      <c r="BO833" s="56"/>
      <c r="BP833" s="56"/>
      <c r="BQ833" s="56"/>
      <c r="BR833" s="56"/>
      <c r="BS833" s="56"/>
      <c r="BT833" s="56"/>
      <c r="BU833" s="56"/>
      <c r="BV833" s="56"/>
      <c r="BW833" s="56"/>
      <c r="BX833" s="56"/>
    </row>
    <row r="834">
      <c r="A834" s="48"/>
      <c r="B834" s="48"/>
      <c r="C834" s="48"/>
      <c r="D834" s="48"/>
      <c r="E834" s="48"/>
      <c r="F834" s="48"/>
      <c r="G834" s="48"/>
      <c r="H834" s="48"/>
      <c r="I834" s="48"/>
      <c r="J834" s="48"/>
      <c r="K834" s="64"/>
      <c r="L834" s="64"/>
      <c r="M834" s="48"/>
      <c r="N834" s="48"/>
      <c r="O834" s="48"/>
      <c r="P834" s="48"/>
      <c r="Q834" s="48"/>
      <c r="R834" s="48"/>
      <c r="S834" s="60"/>
      <c r="T834" s="48"/>
      <c r="U834" s="48"/>
      <c r="V834" s="48"/>
      <c r="W834" s="48"/>
      <c r="X834" s="48"/>
      <c r="Y834" s="48"/>
      <c r="Z834" s="48"/>
      <c r="AA834" s="48"/>
      <c r="AB834" s="48"/>
      <c r="AC834" s="48"/>
      <c r="AD834" s="48"/>
      <c r="AE834" s="48"/>
      <c r="AF834" s="60"/>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56"/>
      <c r="BJ834" s="56"/>
      <c r="BK834" s="56"/>
      <c r="BL834" s="56"/>
      <c r="BM834" s="56"/>
      <c r="BN834" s="56"/>
      <c r="BO834" s="56"/>
      <c r="BP834" s="56"/>
      <c r="BQ834" s="56"/>
      <c r="BR834" s="56"/>
      <c r="BS834" s="56"/>
      <c r="BT834" s="56"/>
      <c r="BU834" s="56"/>
      <c r="BV834" s="56"/>
      <c r="BW834" s="56"/>
      <c r="BX834" s="56"/>
    </row>
    <row r="835">
      <c r="A835" s="48"/>
      <c r="B835" s="48"/>
      <c r="C835" s="48"/>
      <c r="D835" s="48"/>
      <c r="E835" s="48"/>
      <c r="F835" s="48"/>
      <c r="G835" s="48"/>
      <c r="H835" s="48"/>
      <c r="I835" s="48"/>
      <c r="J835" s="48"/>
      <c r="K835" s="64"/>
      <c r="L835" s="64"/>
      <c r="M835" s="48"/>
      <c r="N835" s="48"/>
      <c r="O835" s="48"/>
      <c r="P835" s="48"/>
      <c r="Q835" s="48"/>
      <c r="R835" s="48"/>
      <c r="S835" s="60"/>
      <c r="T835" s="48"/>
      <c r="U835" s="48"/>
      <c r="V835" s="48"/>
      <c r="W835" s="48"/>
      <c r="X835" s="48"/>
      <c r="Y835" s="48"/>
      <c r="Z835" s="48"/>
      <c r="AA835" s="48"/>
      <c r="AB835" s="48"/>
      <c r="AC835" s="48"/>
      <c r="AD835" s="48"/>
      <c r="AE835" s="48"/>
      <c r="AF835" s="60"/>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56"/>
      <c r="BJ835" s="56"/>
      <c r="BK835" s="56"/>
      <c r="BL835" s="56"/>
      <c r="BM835" s="56"/>
      <c r="BN835" s="56"/>
      <c r="BO835" s="56"/>
      <c r="BP835" s="56"/>
      <c r="BQ835" s="56"/>
      <c r="BR835" s="56"/>
      <c r="BS835" s="56"/>
      <c r="BT835" s="56"/>
      <c r="BU835" s="56"/>
      <c r="BV835" s="56"/>
      <c r="BW835" s="56"/>
      <c r="BX835" s="56"/>
    </row>
    <row r="836">
      <c r="A836" s="48"/>
      <c r="B836" s="48"/>
      <c r="C836" s="48"/>
      <c r="D836" s="48"/>
      <c r="E836" s="48"/>
      <c r="F836" s="48"/>
      <c r="G836" s="48"/>
      <c r="H836" s="48"/>
      <c r="I836" s="48"/>
      <c r="J836" s="48"/>
      <c r="K836" s="64"/>
      <c r="L836" s="64"/>
      <c r="M836" s="48"/>
      <c r="N836" s="48"/>
      <c r="O836" s="48"/>
      <c r="P836" s="48"/>
      <c r="Q836" s="48"/>
      <c r="R836" s="48"/>
      <c r="S836" s="60"/>
      <c r="T836" s="48"/>
      <c r="U836" s="48"/>
      <c r="V836" s="48"/>
      <c r="W836" s="48"/>
      <c r="X836" s="48"/>
      <c r="Y836" s="48"/>
      <c r="Z836" s="48"/>
      <c r="AA836" s="48"/>
      <c r="AB836" s="48"/>
      <c r="AC836" s="48"/>
      <c r="AD836" s="48"/>
      <c r="AE836" s="48"/>
      <c r="AF836" s="60"/>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56"/>
      <c r="BJ836" s="56"/>
      <c r="BK836" s="56"/>
      <c r="BL836" s="56"/>
      <c r="BM836" s="56"/>
      <c r="BN836" s="56"/>
      <c r="BO836" s="56"/>
      <c r="BP836" s="56"/>
      <c r="BQ836" s="56"/>
      <c r="BR836" s="56"/>
      <c r="BS836" s="56"/>
      <c r="BT836" s="56"/>
      <c r="BU836" s="56"/>
      <c r="BV836" s="56"/>
      <c r="BW836" s="56"/>
      <c r="BX836" s="56"/>
    </row>
    <row r="837">
      <c r="A837" s="48"/>
      <c r="B837" s="48"/>
      <c r="C837" s="48"/>
      <c r="D837" s="48"/>
      <c r="E837" s="48"/>
      <c r="F837" s="48"/>
      <c r="G837" s="48"/>
      <c r="H837" s="48"/>
      <c r="I837" s="48"/>
      <c r="J837" s="48"/>
      <c r="K837" s="64"/>
      <c r="L837" s="64"/>
      <c r="M837" s="48"/>
      <c r="N837" s="48"/>
      <c r="O837" s="48"/>
      <c r="P837" s="48"/>
      <c r="Q837" s="48"/>
      <c r="R837" s="48"/>
      <c r="S837" s="60"/>
      <c r="T837" s="48"/>
      <c r="U837" s="48"/>
      <c r="V837" s="48"/>
      <c r="W837" s="48"/>
      <c r="X837" s="48"/>
      <c r="Y837" s="48"/>
      <c r="Z837" s="48"/>
      <c r="AA837" s="48"/>
      <c r="AB837" s="48"/>
      <c r="AC837" s="48"/>
      <c r="AD837" s="48"/>
      <c r="AE837" s="48"/>
      <c r="AF837" s="60"/>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56"/>
      <c r="BJ837" s="56"/>
      <c r="BK837" s="56"/>
      <c r="BL837" s="56"/>
      <c r="BM837" s="56"/>
      <c r="BN837" s="56"/>
      <c r="BO837" s="56"/>
      <c r="BP837" s="56"/>
      <c r="BQ837" s="56"/>
      <c r="BR837" s="56"/>
      <c r="BS837" s="56"/>
      <c r="BT837" s="56"/>
      <c r="BU837" s="56"/>
      <c r="BV837" s="56"/>
      <c r="BW837" s="56"/>
      <c r="BX837" s="56"/>
    </row>
    <row r="838">
      <c r="A838" s="48"/>
      <c r="B838" s="48"/>
      <c r="C838" s="48"/>
      <c r="D838" s="48"/>
      <c r="E838" s="48"/>
      <c r="F838" s="48"/>
      <c r="G838" s="48"/>
      <c r="H838" s="48"/>
      <c r="I838" s="48"/>
      <c r="J838" s="48"/>
      <c r="K838" s="64"/>
      <c r="L838" s="64"/>
      <c r="M838" s="48"/>
      <c r="N838" s="48"/>
      <c r="O838" s="48"/>
      <c r="P838" s="48"/>
      <c r="Q838" s="48"/>
      <c r="R838" s="48"/>
      <c r="S838" s="60"/>
      <c r="T838" s="48"/>
      <c r="U838" s="48"/>
      <c r="V838" s="48"/>
      <c r="W838" s="48"/>
      <c r="X838" s="48"/>
      <c r="Y838" s="48"/>
      <c r="Z838" s="48"/>
      <c r="AA838" s="48"/>
      <c r="AB838" s="48"/>
      <c r="AC838" s="48"/>
      <c r="AD838" s="48"/>
      <c r="AE838" s="48"/>
      <c r="AF838" s="60"/>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56"/>
      <c r="BJ838" s="56"/>
      <c r="BK838" s="56"/>
      <c r="BL838" s="56"/>
      <c r="BM838" s="56"/>
      <c r="BN838" s="56"/>
      <c r="BO838" s="56"/>
      <c r="BP838" s="56"/>
      <c r="BQ838" s="56"/>
      <c r="BR838" s="56"/>
      <c r="BS838" s="56"/>
      <c r="BT838" s="56"/>
      <c r="BU838" s="56"/>
      <c r="BV838" s="56"/>
      <c r="BW838" s="56"/>
      <c r="BX838" s="56"/>
    </row>
    <row r="839">
      <c r="A839" s="48"/>
      <c r="B839" s="48"/>
      <c r="C839" s="48"/>
      <c r="D839" s="48"/>
      <c r="E839" s="48"/>
      <c r="F839" s="48"/>
      <c r="G839" s="48"/>
      <c r="H839" s="48"/>
      <c r="I839" s="48"/>
      <c r="J839" s="48"/>
      <c r="K839" s="64"/>
      <c r="L839" s="64"/>
      <c r="M839" s="48"/>
      <c r="N839" s="48"/>
      <c r="O839" s="48"/>
      <c r="P839" s="48"/>
      <c r="Q839" s="48"/>
      <c r="R839" s="48"/>
      <c r="S839" s="60"/>
      <c r="T839" s="48"/>
      <c r="U839" s="48"/>
      <c r="V839" s="48"/>
      <c r="W839" s="48"/>
      <c r="X839" s="48"/>
      <c r="Y839" s="48"/>
      <c r="Z839" s="48"/>
      <c r="AA839" s="48"/>
      <c r="AB839" s="48"/>
      <c r="AC839" s="48"/>
      <c r="AD839" s="48"/>
      <c r="AE839" s="48"/>
      <c r="AF839" s="60"/>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56"/>
      <c r="BJ839" s="56"/>
      <c r="BK839" s="56"/>
      <c r="BL839" s="56"/>
      <c r="BM839" s="56"/>
      <c r="BN839" s="56"/>
      <c r="BO839" s="56"/>
      <c r="BP839" s="56"/>
      <c r="BQ839" s="56"/>
      <c r="BR839" s="56"/>
      <c r="BS839" s="56"/>
      <c r="BT839" s="56"/>
      <c r="BU839" s="56"/>
      <c r="BV839" s="56"/>
      <c r="BW839" s="56"/>
      <c r="BX839" s="56"/>
    </row>
    <row r="840">
      <c r="A840" s="48"/>
      <c r="B840" s="48"/>
      <c r="C840" s="48"/>
      <c r="D840" s="48"/>
      <c r="E840" s="48"/>
      <c r="F840" s="48"/>
      <c r="G840" s="48"/>
      <c r="H840" s="48"/>
      <c r="I840" s="48"/>
      <c r="J840" s="48"/>
      <c r="K840" s="64"/>
      <c r="L840" s="64"/>
      <c r="M840" s="48"/>
      <c r="N840" s="48"/>
      <c r="O840" s="48"/>
      <c r="P840" s="48"/>
      <c r="Q840" s="48"/>
      <c r="R840" s="48"/>
      <c r="S840" s="60"/>
      <c r="T840" s="48"/>
      <c r="U840" s="48"/>
      <c r="V840" s="48"/>
      <c r="W840" s="48"/>
      <c r="X840" s="48"/>
      <c r="Y840" s="48"/>
      <c r="Z840" s="48"/>
      <c r="AA840" s="48"/>
      <c r="AB840" s="48"/>
      <c r="AC840" s="48"/>
      <c r="AD840" s="48"/>
      <c r="AE840" s="48"/>
      <c r="AF840" s="60"/>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56"/>
      <c r="BJ840" s="56"/>
      <c r="BK840" s="56"/>
      <c r="BL840" s="56"/>
      <c r="BM840" s="56"/>
      <c r="BN840" s="56"/>
      <c r="BO840" s="56"/>
      <c r="BP840" s="56"/>
      <c r="BQ840" s="56"/>
      <c r="BR840" s="56"/>
      <c r="BS840" s="56"/>
      <c r="BT840" s="56"/>
      <c r="BU840" s="56"/>
      <c r="BV840" s="56"/>
      <c r="BW840" s="56"/>
      <c r="BX840" s="56"/>
    </row>
    <row r="841">
      <c r="A841" s="48"/>
      <c r="B841" s="48"/>
      <c r="C841" s="48"/>
      <c r="D841" s="48"/>
      <c r="E841" s="48"/>
      <c r="F841" s="48"/>
      <c r="G841" s="48"/>
      <c r="H841" s="48"/>
      <c r="I841" s="48"/>
      <c r="J841" s="48"/>
      <c r="K841" s="64"/>
      <c r="L841" s="64"/>
      <c r="M841" s="48"/>
      <c r="N841" s="48"/>
      <c r="O841" s="48"/>
      <c r="P841" s="48"/>
      <c r="Q841" s="48"/>
      <c r="R841" s="48"/>
      <c r="S841" s="60"/>
      <c r="T841" s="48"/>
      <c r="U841" s="48"/>
      <c r="V841" s="48"/>
      <c r="W841" s="48"/>
      <c r="X841" s="48"/>
      <c r="Y841" s="48"/>
      <c r="Z841" s="48"/>
      <c r="AA841" s="48"/>
      <c r="AB841" s="48"/>
      <c r="AC841" s="48"/>
      <c r="AD841" s="48"/>
      <c r="AE841" s="48"/>
      <c r="AF841" s="60"/>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56"/>
      <c r="BJ841" s="56"/>
      <c r="BK841" s="56"/>
      <c r="BL841" s="56"/>
      <c r="BM841" s="56"/>
      <c r="BN841" s="56"/>
      <c r="BO841" s="56"/>
      <c r="BP841" s="56"/>
      <c r="BQ841" s="56"/>
      <c r="BR841" s="56"/>
      <c r="BS841" s="56"/>
      <c r="BT841" s="56"/>
      <c r="BU841" s="56"/>
      <c r="BV841" s="56"/>
      <c r="BW841" s="56"/>
      <c r="BX841" s="56"/>
    </row>
    <row r="842">
      <c r="A842" s="48"/>
      <c r="B842" s="48"/>
      <c r="C842" s="48"/>
      <c r="D842" s="48"/>
      <c r="E842" s="48"/>
      <c r="F842" s="48"/>
      <c r="G842" s="48"/>
      <c r="H842" s="48"/>
      <c r="I842" s="48"/>
      <c r="J842" s="48"/>
      <c r="K842" s="64"/>
      <c r="L842" s="64"/>
      <c r="M842" s="48"/>
      <c r="N842" s="48"/>
      <c r="O842" s="48"/>
      <c r="P842" s="48"/>
      <c r="Q842" s="48"/>
      <c r="R842" s="48"/>
      <c r="S842" s="60"/>
      <c r="T842" s="48"/>
      <c r="U842" s="48"/>
      <c r="V842" s="48"/>
      <c r="W842" s="48"/>
      <c r="X842" s="48"/>
      <c r="Y842" s="48"/>
      <c r="Z842" s="48"/>
      <c r="AA842" s="48"/>
      <c r="AB842" s="48"/>
      <c r="AC842" s="48"/>
      <c r="AD842" s="48"/>
      <c r="AE842" s="48"/>
      <c r="AF842" s="60"/>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56"/>
      <c r="BJ842" s="56"/>
      <c r="BK842" s="56"/>
      <c r="BL842" s="56"/>
      <c r="BM842" s="56"/>
      <c r="BN842" s="56"/>
      <c r="BO842" s="56"/>
      <c r="BP842" s="56"/>
      <c r="BQ842" s="56"/>
      <c r="BR842" s="56"/>
      <c r="BS842" s="56"/>
      <c r="BT842" s="56"/>
      <c r="BU842" s="56"/>
      <c r="BV842" s="56"/>
      <c r="BW842" s="56"/>
      <c r="BX842" s="56"/>
    </row>
    <row r="843">
      <c r="A843" s="48"/>
      <c r="B843" s="48"/>
      <c r="C843" s="48"/>
      <c r="D843" s="48"/>
      <c r="E843" s="48"/>
      <c r="F843" s="48"/>
      <c r="G843" s="48"/>
      <c r="H843" s="48"/>
      <c r="I843" s="48"/>
      <c r="J843" s="48"/>
      <c r="K843" s="64"/>
      <c r="L843" s="64"/>
      <c r="M843" s="48"/>
      <c r="N843" s="48"/>
      <c r="O843" s="48"/>
      <c r="P843" s="48"/>
      <c r="Q843" s="48"/>
      <c r="R843" s="48"/>
      <c r="S843" s="60"/>
      <c r="T843" s="48"/>
      <c r="U843" s="48"/>
      <c r="V843" s="48"/>
      <c r="W843" s="48"/>
      <c r="X843" s="48"/>
      <c r="Y843" s="48"/>
      <c r="Z843" s="48"/>
      <c r="AA843" s="48"/>
      <c r="AB843" s="48"/>
      <c r="AC843" s="48"/>
      <c r="AD843" s="48"/>
      <c r="AE843" s="48"/>
      <c r="AF843" s="60"/>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56"/>
      <c r="BJ843" s="56"/>
      <c r="BK843" s="56"/>
      <c r="BL843" s="56"/>
      <c r="BM843" s="56"/>
      <c r="BN843" s="56"/>
      <c r="BO843" s="56"/>
      <c r="BP843" s="56"/>
      <c r="BQ843" s="56"/>
      <c r="BR843" s="56"/>
      <c r="BS843" s="56"/>
      <c r="BT843" s="56"/>
      <c r="BU843" s="56"/>
      <c r="BV843" s="56"/>
      <c r="BW843" s="56"/>
      <c r="BX843" s="56"/>
    </row>
    <row r="844">
      <c r="A844" s="48"/>
      <c r="B844" s="48"/>
      <c r="C844" s="48"/>
      <c r="D844" s="48"/>
      <c r="E844" s="48"/>
      <c r="F844" s="48"/>
      <c r="G844" s="48"/>
      <c r="H844" s="48"/>
      <c r="I844" s="48"/>
      <c r="J844" s="48"/>
      <c r="K844" s="64"/>
      <c r="L844" s="64"/>
      <c r="M844" s="48"/>
      <c r="N844" s="48"/>
      <c r="O844" s="48"/>
      <c r="P844" s="48"/>
      <c r="Q844" s="48"/>
      <c r="R844" s="48"/>
      <c r="S844" s="60"/>
      <c r="T844" s="48"/>
      <c r="U844" s="48"/>
      <c r="V844" s="48"/>
      <c r="W844" s="48"/>
      <c r="X844" s="48"/>
      <c r="Y844" s="48"/>
      <c r="Z844" s="48"/>
      <c r="AA844" s="48"/>
      <c r="AB844" s="48"/>
      <c r="AC844" s="48"/>
      <c r="AD844" s="48"/>
      <c r="AE844" s="48"/>
      <c r="AF844" s="60"/>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56"/>
      <c r="BJ844" s="56"/>
      <c r="BK844" s="56"/>
      <c r="BL844" s="56"/>
      <c r="BM844" s="56"/>
      <c r="BN844" s="56"/>
      <c r="BO844" s="56"/>
      <c r="BP844" s="56"/>
      <c r="BQ844" s="56"/>
      <c r="BR844" s="56"/>
      <c r="BS844" s="56"/>
      <c r="BT844" s="56"/>
      <c r="BU844" s="56"/>
      <c r="BV844" s="56"/>
      <c r="BW844" s="56"/>
      <c r="BX844" s="56"/>
    </row>
    <row r="845">
      <c r="A845" s="48"/>
      <c r="B845" s="48"/>
      <c r="C845" s="48"/>
      <c r="D845" s="48"/>
      <c r="E845" s="48"/>
      <c r="F845" s="48"/>
      <c r="G845" s="48"/>
      <c r="H845" s="48"/>
      <c r="I845" s="48"/>
      <c r="J845" s="48"/>
      <c r="K845" s="64"/>
      <c r="L845" s="64"/>
      <c r="M845" s="48"/>
      <c r="N845" s="48"/>
      <c r="O845" s="48"/>
      <c r="P845" s="48"/>
      <c r="Q845" s="48"/>
      <c r="R845" s="48"/>
      <c r="S845" s="60"/>
      <c r="T845" s="48"/>
      <c r="U845" s="48"/>
      <c r="V845" s="48"/>
      <c r="W845" s="48"/>
      <c r="X845" s="48"/>
      <c r="Y845" s="48"/>
      <c r="Z845" s="48"/>
      <c r="AA845" s="48"/>
      <c r="AB845" s="48"/>
      <c r="AC845" s="48"/>
      <c r="AD845" s="48"/>
      <c r="AE845" s="48"/>
      <c r="AF845" s="60"/>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56"/>
      <c r="BJ845" s="56"/>
      <c r="BK845" s="56"/>
      <c r="BL845" s="56"/>
      <c r="BM845" s="56"/>
      <c r="BN845" s="56"/>
      <c r="BO845" s="56"/>
      <c r="BP845" s="56"/>
      <c r="BQ845" s="56"/>
      <c r="BR845" s="56"/>
      <c r="BS845" s="56"/>
      <c r="BT845" s="56"/>
      <c r="BU845" s="56"/>
      <c r="BV845" s="56"/>
      <c r="BW845" s="56"/>
      <c r="BX845" s="56"/>
    </row>
    <row r="846">
      <c r="A846" s="48"/>
      <c r="B846" s="48"/>
      <c r="C846" s="48"/>
      <c r="D846" s="48"/>
      <c r="E846" s="48"/>
      <c r="F846" s="48"/>
      <c r="G846" s="48"/>
      <c r="H846" s="48"/>
      <c r="I846" s="48"/>
      <c r="J846" s="48"/>
      <c r="K846" s="64"/>
      <c r="L846" s="64"/>
      <c r="M846" s="48"/>
      <c r="N846" s="48"/>
      <c r="O846" s="48"/>
      <c r="P846" s="48"/>
      <c r="Q846" s="48"/>
      <c r="R846" s="48"/>
      <c r="S846" s="60"/>
      <c r="T846" s="48"/>
      <c r="U846" s="48"/>
      <c r="V846" s="48"/>
      <c r="W846" s="48"/>
      <c r="X846" s="48"/>
      <c r="Y846" s="48"/>
      <c r="Z846" s="48"/>
      <c r="AA846" s="48"/>
      <c r="AB846" s="48"/>
      <c r="AC846" s="48"/>
      <c r="AD846" s="48"/>
      <c r="AE846" s="48"/>
      <c r="AF846" s="60"/>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56"/>
      <c r="BJ846" s="56"/>
      <c r="BK846" s="56"/>
      <c r="BL846" s="56"/>
      <c r="BM846" s="56"/>
      <c r="BN846" s="56"/>
      <c r="BO846" s="56"/>
      <c r="BP846" s="56"/>
      <c r="BQ846" s="56"/>
      <c r="BR846" s="56"/>
      <c r="BS846" s="56"/>
      <c r="BT846" s="56"/>
      <c r="BU846" s="56"/>
      <c r="BV846" s="56"/>
      <c r="BW846" s="56"/>
      <c r="BX846" s="56"/>
    </row>
    <row r="847">
      <c r="A847" s="48"/>
      <c r="B847" s="48"/>
      <c r="C847" s="48"/>
      <c r="D847" s="48"/>
      <c r="E847" s="48"/>
      <c r="F847" s="48"/>
      <c r="G847" s="48"/>
      <c r="H847" s="48"/>
      <c r="I847" s="48"/>
      <c r="J847" s="48"/>
      <c r="K847" s="64"/>
      <c r="L847" s="64"/>
      <c r="M847" s="48"/>
      <c r="N847" s="48"/>
      <c r="O847" s="48"/>
      <c r="P847" s="48"/>
      <c r="Q847" s="48"/>
      <c r="R847" s="48"/>
      <c r="S847" s="60"/>
      <c r="T847" s="48"/>
      <c r="U847" s="48"/>
      <c r="V847" s="48"/>
      <c r="W847" s="48"/>
      <c r="X847" s="48"/>
      <c r="Y847" s="48"/>
      <c r="Z847" s="48"/>
      <c r="AA847" s="48"/>
      <c r="AB847" s="48"/>
      <c r="AC847" s="48"/>
      <c r="AD847" s="48"/>
      <c r="AE847" s="48"/>
      <c r="AF847" s="60"/>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56"/>
      <c r="BJ847" s="56"/>
      <c r="BK847" s="56"/>
      <c r="BL847" s="56"/>
      <c r="BM847" s="56"/>
      <c r="BN847" s="56"/>
      <c r="BO847" s="56"/>
      <c r="BP847" s="56"/>
      <c r="BQ847" s="56"/>
      <c r="BR847" s="56"/>
      <c r="BS847" s="56"/>
      <c r="BT847" s="56"/>
      <c r="BU847" s="56"/>
      <c r="BV847" s="56"/>
      <c r="BW847" s="56"/>
      <c r="BX847" s="56"/>
    </row>
    <row r="848">
      <c r="A848" s="48"/>
      <c r="B848" s="48"/>
      <c r="C848" s="48"/>
      <c r="D848" s="48"/>
      <c r="E848" s="48"/>
      <c r="F848" s="48"/>
      <c r="G848" s="48"/>
      <c r="H848" s="48"/>
      <c r="I848" s="48"/>
      <c r="J848" s="48"/>
      <c r="K848" s="64"/>
      <c r="L848" s="64"/>
      <c r="M848" s="48"/>
      <c r="N848" s="48"/>
      <c r="O848" s="48"/>
      <c r="P848" s="48"/>
      <c r="Q848" s="48"/>
      <c r="R848" s="48"/>
      <c r="S848" s="60"/>
      <c r="T848" s="48"/>
      <c r="U848" s="48"/>
      <c r="V848" s="48"/>
      <c r="W848" s="48"/>
      <c r="X848" s="48"/>
      <c r="Y848" s="48"/>
      <c r="Z848" s="48"/>
      <c r="AA848" s="48"/>
      <c r="AB848" s="48"/>
      <c r="AC848" s="48"/>
      <c r="AD848" s="48"/>
      <c r="AE848" s="48"/>
      <c r="AF848" s="60"/>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56"/>
      <c r="BJ848" s="56"/>
      <c r="BK848" s="56"/>
      <c r="BL848" s="56"/>
      <c r="BM848" s="56"/>
      <c r="BN848" s="56"/>
      <c r="BO848" s="56"/>
      <c r="BP848" s="56"/>
      <c r="BQ848" s="56"/>
      <c r="BR848" s="56"/>
      <c r="BS848" s="56"/>
      <c r="BT848" s="56"/>
      <c r="BU848" s="56"/>
      <c r="BV848" s="56"/>
      <c r="BW848" s="56"/>
      <c r="BX848" s="56"/>
    </row>
    <row r="849">
      <c r="A849" s="48"/>
      <c r="B849" s="48"/>
      <c r="C849" s="48"/>
      <c r="D849" s="48"/>
      <c r="E849" s="48"/>
      <c r="F849" s="48"/>
      <c r="G849" s="48"/>
      <c r="H849" s="48"/>
      <c r="I849" s="48"/>
      <c r="J849" s="48"/>
      <c r="K849" s="64"/>
      <c r="L849" s="64"/>
      <c r="M849" s="48"/>
      <c r="N849" s="48"/>
      <c r="O849" s="48"/>
      <c r="P849" s="48"/>
      <c r="Q849" s="48"/>
      <c r="R849" s="48"/>
      <c r="S849" s="60"/>
      <c r="T849" s="48"/>
      <c r="U849" s="48"/>
      <c r="V849" s="48"/>
      <c r="W849" s="48"/>
      <c r="X849" s="48"/>
      <c r="Y849" s="48"/>
      <c r="Z849" s="48"/>
      <c r="AA849" s="48"/>
      <c r="AB849" s="48"/>
      <c r="AC849" s="48"/>
      <c r="AD849" s="48"/>
      <c r="AE849" s="48"/>
      <c r="AF849" s="60"/>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56"/>
      <c r="BJ849" s="56"/>
      <c r="BK849" s="56"/>
      <c r="BL849" s="56"/>
      <c r="BM849" s="56"/>
      <c r="BN849" s="56"/>
      <c r="BO849" s="56"/>
      <c r="BP849" s="56"/>
      <c r="BQ849" s="56"/>
      <c r="BR849" s="56"/>
      <c r="BS849" s="56"/>
      <c r="BT849" s="56"/>
      <c r="BU849" s="56"/>
      <c r="BV849" s="56"/>
      <c r="BW849" s="56"/>
      <c r="BX849" s="56"/>
    </row>
    <row r="850">
      <c r="A850" s="48"/>
      <c r="B850" s="48"/>
      <c r="C850" s="48"/>
      <c r="D850" s="48"/>
      <c r="E850" s="48"/>
      <c r="F850" s="48"/>
      <c r="G850" s="48"/>
      <c r="H850" s="48"/>
      <c r="I850" s="48"/>
      <c r="J850" s="48"/>
      <c r="K850" s="64"/>
      <c r="L850" s="64"/>
      <c r="M850" s="48"/>
      <c r="N850" s="48"/>
      <c r="O850" s="48"/>
      <c r="P850" s="48"/>
      <c r="Q850" s="48"/>
      <c r="R850" s="48"/>
      <c r="S850" s="60"/>
      <c r="T850" s="48"/>
      <c r="U850" s="48"/>
      <c r="V850" s="48"/>
      <c r="W850" s="48"/>
      <c r="X850" s="48"/>
      <c r="Y850" s="48"/>
      <c r="Z850" s="48"/>
      <c r="AA850" s="48"/>
      <c r="AB850" s="48"/>
      <c r="AC850" s="48"/>
      <c r="AD850" s="48"/>
      <c r="AE850" s="48"/>
      <c r="AF850" s="60"/>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56"/>
      <c r="BJ850" s="56"/>
      <c r="BK850" s="56"/>
      <c r="BL850" s="56"/>
      <c r="BM850" s="56"/>
      <c r="BN850" s="56"/>
      <c r="BO850" s="56"/>
      <c r="BP850" s="56"/>
      <c r="BQ850" s="56"/>
      <c r="BR850" s="56"/>
      <c r="BS850" s="56"/>
      <c r="BT850" s="56"/>
      <c r="BU850" s="56"/>
      <c r="BV850" s="56"/>
      <c r="BW850" s="56"/>
      <c r="BX850" s="56"/>
    </row>
    <row r="851">
      <c r="A851" s="48"/>
      <c r="B851" s="48"/>
      <c r="C851" s="48"/>
      <c r="D851" s="48"/>
      <c r="E851" s="48"/>
      <c r="F851" s="48"/>
      <c r="G851" s="48"/>
      <c r="H851" s="48"/>
      <c r="I851" s="48"/>
      <c r="J851" s="48"/>
      <c r="K851" s="64"/>
      <c r="L851" s="64"/>
      <c r="M851" s="48"/>
      <c r="N851" s="48"/>
      <c r="O851" s="48"/>
      <c r="P851" s="48"/>
      <c r="Q851" s="48"/>
      <c r="R851" s="48"/>
      <c r="S851" s="60"/>
      <c r="T851" s="48"/>
      <c r="U851" s="48"/>
      <c r="V851" s="48"/>
      <c r="W851" s="48"/>
      <c r="X851" s="48"/>
      <c r="Y851" s="48"/>
      <c r="Z851" s="48"/>
      <c r="AA851" s="48"/>
      <c r="AB851" s="48"/>
      <c r="AC851" s="48"/>
      <c r="AD851" s="48"/>
      <c r="AE851" s="48"/>
      <c r="AF851" s="60"/>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56"/>
      <c r="BJ851" s="56"/>
      <c r="BK851" s="56"/>
      <c r="BL851" s="56"/>
      <c r="BM851" s="56"/>
      <c r="BN851" s="56"/>
      <c r="BO851" s="56"/>
      <c r="BP851" s="56"/>
      <c r="BQ851" s="56"/>
      <c r="BR851" s="56"/>
      <c r="BS851" s="56"/>
      <c r="BT851" s="56"/>
      <c r="BU851" s="56"/>
      <c r="BV851" s="56"/>
      <c r="BW851" s="56"/>
      <c r="BX851" s="56"/>
    </row>
    <row r="852">
      <c r="A852" s="48"/>
      <c r="B852" s="48"/>
      <c r="C852" s="48"/>
      <c r="D852" s="48"/>
      <c r="E852" s="48"/>
      <c r="F852" s="48"/>
      <c r="G852" s="48"/>
      <c r="H852" s="48"/>
      <c r="I852" s="48"/>
      <c r="J852" s="48"/>
      <c r="K852" s="64"/>
      <c r="L852" s="64"/>
      <c r="M852" s="48"/>
      <c r="N852" s="48"/>
      <c r="O852" s="48"/>
      <c r="P852" s="48"/>
      <c r="Q852" s="48"/>
      <c r="R852" s="48"/>
      <c r="S852" s="60"/>
      <c r="T852" s="48"/>
      <c r="U852" s="48"/>
      <c r="V852" s="48"/>
      <c r="W852" s="48"/>
      <c r="X852" s="48"/>
      <c r="Y852" s="48"/>
      <c r="Z852" s="48"/>
      <c r="AA852" s="48"/>
      <c r="AB852" s="48"/>
      <c r="AC852" s="48"/>
      <c r="AD852" s="48"/>
      <c r="AE852" s="48"/>
      <c r="AF852" s="60"/>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56"/>
      <c r="BJ852" s="56"/>
      <c r="BK852" s="56"/>
      <c r="BL852" s="56"/>
      <c r="BM852" s="56"/>
      <c r="BN852" s="56"/>
      <c r="BO852" s="56"/>
      <c r="BP852" s="56"/>
      <c r="BQ852" s="56"/>
      <c r="BR852" s="56"/>
      <c r="BS852" s="56"/>
      <c r="BT852" s="56"/>
      <c r="BU852" s="56"/>
      <c r="BV852" s="56"/>
      <c r="BW852" s="56"/>
      <c r="BX852" s="56"/>
    </row>
    <row r="853">
      <c r="A853" s="48"/>
      <c r="B853" s="48"/>
      <c r="C853" s="48"/>
      <c r="D853" s="48"/>
      <c r="E853" s="48"/>
      <c r="F853" s="48"/>
      <c r="G853" s="48"/>
      <c r="H853" s="48"/>
      <c r="I853" s="48"/>
      <c r="J853" s="48"/>
      <c r="K853" s="64"/>
      <c r="L853" s="64"/>
      <c r="M853" s="48"/>
      <c r="N853" s="48"/>
      <c r="O853" s="48"/>
      <c r="P853" s="48"/>
      <c r="Q853" s="48"/>
      <c r="R853" s="48"/>
      <c r="S853" s="60"/>
      <c r="T853" s="48"/>
      <c r="U853" s="48"/>
      <c r="V853" s="48"/>
      <c r="W853" s="48"/>
      <c r="X853" s="48"/>
      <c r="Y853" s="48"/>
      <c r="Z853" s="48"/>
      <c r="AA853" s="48"/>
      <c r="AB853" s="48"/>
      <c r="AC853" s="48"/>
      <c r="AD853" s="48"/>
      <c r="AE853" s="48"/>
      <c r="AF853" s="60"/>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56"/>
      <c r="BJ853" s="56"/>
      <c r="BK853" s="56"/>
      <c r="BL853" s="56"/>
      <c r="BM853" s="56"/>
      <c r="BN853" s="56"/>
      <c r="BO853" s="56"/>
      <c r="BP853" s="56"/>
      <c r="BQ853" s="56"/>
      <c r="BR853" s="56"/>
      <c r="BS853" s="56"/>
      <c r="BT853" s="56"/>
      <c r="BU853" s="56"/>
      <c r="BV853" s="56"/>
      <c r="BW853" s="56"/>
      <c r="BX853" s="56"/>
    </row>
    <row r="854">
      <c r="A854" s="48"/>
      <c r="B854" s="48"/>
      <c r="C854" s="48"/>
      <c r="D854" s="48"/>
      <c r="E854" s="48"/>
      <c r="F854" s="48"/>
      <c r="G854" s="48"/>
      <c r="H854" s="48"/>
      <c r="I854" s="48"/>
      <c r="J854" s="48"/>
      <c r="K854" s="64"/>
      <c r="L854" s="64"/>
      <c r="M854" s="48"/>
      <c r="N854" s="48"/>
      <c r="O854" s="48"/>
      <c r="P854" s="48"/>
      <c r="Q854" s="48"/>
      <c r="R854" s="48"/>
      <c r="S854" s="60"/>
      <c r="T854" s="48"/>
      <c r="U854" s="48"/>
      <c r="V854" s="48"/>
      <c r="W854" s="48"/>
      <c r="X854" s="48"/>
      <c r="Y854" s="48"/>
      <c r="Z854" s="48"/>
      <c r="AA854" s="48"/>
      <c r="AB854" s="48"/>
      <c r="AC854" s="48"/>
      <c r="AD854" s="48"/>
      <c r="AE854" s="48"/>
      <c r="AF854" s="60"/>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56"/>
      <c r="BJ854" s="56"/>
      <c r="BK854" s="56"/>
      <c r="BL854" s="56"/>
      <c r="BM854" s="56"/>
      <c r="BN854" s="56"/>
      <c r="BO854" s="56"/>
      <c r="BP854" s="56"/>
      <c r="BQ854" s="56"/>
      <c r="BR854" s="56"/>
      <c r="BS854" s="56"/>
      <c r="BT854" s="56"/>
      <c r="BU854" s="56"/>
      <c r="BV854" s="56"/>
      <c r="BW854" s="56"/>
      <c r="BX854" s="56"/>
    </row>
    <row r="855">
      <c r="A855" s="48"/>
      <c r="B855" s="48"/>
      <c r="C855" s="48"/>
      <c r="D855" s="48"/>
      <c r="E855" s="48"/>
      <c r="F855" s="48"/>
      <c r="G855" s="48"/>
      <c r="H855" s="48"/>
      <c r="I855" s="48"/>
      <c r="J855" s="48"/>
      <c r="K855" s="64"/>
      <c r="L855" s="64"/>
      <c r="M855" s="48"/>
      <c r="N855" s="48"/>
      <c r="O855" s="48"/>
      <c r="P855" s="48"/>
      <c r="Q855" s="48"/>
      <c r="R855" s="48"/>
      <c r="S855" s="60"/>
      <c r="T855" s="48"/>
      <c r="U855" s="48"/>
      <c r="V855" s="48"/>
      <c r="W855" s="48"/>
      <c r="X855" s="48"/>
      <c r="Y855" s="48"/>
      <c r="Z855" s="48"/>
      <c r="AA855" s="48"/>
      <c r="AB855" s="48"/>
      <c r="AC855" s="48"/>
      <c r="AD855" s="48"/>
      <c r="AE855" s="48"/>
      <c r="AF855" s="60"/>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56"/>
      <c r="BJ855" s="56"/>
      <c r="BK855" s="56"/>
      <c r="BL855" s="56"/>
      <c r="BM855" s="56"/>
      <c r="BN855" s="56"/>
      <c r="BO855" s="56"/>
      <c r="BP855" s="56"/>
      <c r="BQ855" s="56"/>
      <c r="BR855" s="56"/>
      <c r="BS855" s="56"/>
      <c r="BT855" s="56"/>
      <c r="BU855" s="56"/>
      <c r="BV855" s="56"/>
      <c r="BW855" s="56"/>
      <c r="BX855" s="56"/>
    </row>
    <row r="856">
      <c r="A856" s="48"/>
      <c r="B856" s="48"/>
      <c r="C856" s="48"/>
      <c r="D856" s="48"/>
      <c r="E856" s="48"/>
      <c r="F856" s="48"/>
      <c r="G856" s="48"/>
      <c r="H856" s="48"/>
      <c r="I856" s="48"/>
      <c r="J856" s="48"/>
      <c r="K856" s="64"/>
      <c r="L856" s="64"/>
      <c r="M856" s="48"/>
      <c r="N856" s="48"/>
      <c r="O856" s="48"/>
      <c r="P856" s="48"/>
      <c r="Q856" s="48"/>
      <c r="R856" s="48"/>
      <c r="S856" s="60"/>
      <c r="T856" s="48"/>
      <c r="U856" s="48"/>
      <c r="V856" s="48"/>
      <c r="W856" s="48"/>
      <c r="X856" s="48"/>
      <c r="Y856" s="48"/>
      <c r="Z856" s="48"/>
      <c r="AA856" s="48"/>
      <c r="AB856" s="48"/>
      <c r="AC856" s="48"/>
      <c r="AD856" s="48"/>
      <c r="AE856" s="48"/>
      <c r="AF856" s="60"/>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56"/>
      <c r="BJ856" s="56"/>
      <c r="BK856" s="56"/>
      <c r="BL856" s="56"/>
      <c r="BM856" s="56"/>
      <c r="BN856" s="56"/>
      <c r="BO856" s="56"/>
      <c r="BP856" s="56"/>
      <c r="BQ856" s="56"/>
      <c r="BR856" s="56"/>
      <c r="BS856" s="56"/>
      <c r="BT856" s="56"/>
      <c r="BU856" s="56"/>
      <c r="BV856" s="56"/>
      <c r="BW856" s="56"/>
      <c r="BX856" s="56"/>
    </row>
    <row r="857">
      <c r="A857" s="48"/>
      <c r="B857" s="48"/>
      <c r="C857" s="48"/>
      <c r="D857" s="48"/>
      <c r="E857" s="48"/>
      <c r="F857" s="48"/>
      <c r="G857" s="48"/>
      <c r="H857" s="48"/>
      <c r="I857" s="48"/>
      <c r="J857" s="48"/>
      <c r="K857" s="64"/>
      <c r="L857" s="64"/>
      <c r="M857" s="48"/>
      <c r="N857" s="48"/>
      <c r="O857" s="48"/>
      <c r="P857" s="48"/>
      <c r="Q857" s="48"/>
      <c r="R857" s="48"/>
      <c r="S857" s="60"/>
      <c r="T857" s="48"/>
      <c r="U857" s="48"/>
      <c r="V857" s="48"/>
      <c r="W857" s="48"/>
      <c r="X857" s="48"/>
      <c r="Y857" s="48"/>
      <c r="Z857" s="48"/>
      <c r="AA857" s="48"/>
      <c r="AB857" s="48"/>
      <c r="AC857" s="48"/>
      <c r="AD857" s="48"/>
      <c r="AE857" s="48"/>
      <c r="AF857" s="60"/>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56"/>
      <c r="BJ857" s="56"/>
      <c r="BK857" s="56"/>
      <c r="BL857" s="56"/>
      <c r="BM857" s="56"/>
      <c r="BN857" s="56"/>
      <c r="BO857" s="56"/>
      <c r="BP857" s="56"/>
      <c r="BQ857" s="56"/>
      <c r="BR857" s="56"/>
      <c r="BS857" s="56"/>
      <c r="BT857" s="56"/>
      <c r="BU857" s="56"/>
      <c r="BV857" s="56"/>
      <c r="BW857" s="56"/>
      <c r="BX857" s="56"/>
    </row>
    <row r="858">
      <c r="A858" s="48"/>
      <c r="B858" s="48"/>
      <c r="C858" s="48"/>
      <c r="D858" s="48"/>
      <c r="E858" s="48"/>
      <c r="F858" s="48"/>
      <c r="G858" s="48"/>
      <c r="H858" s="48"/>
      <c r="I858" s="48"/>
      <c r="J858" s="48"/>
      <c r="K858" s="64"/>
      <c r="L858" s="64"/>
      <c r="M858" s="48"/>
      <c r="N858" s="48"/>
      <c r="O858" s="48"/>
      <c r="P858" s="48"/>
      <c r="Q858" s="48"/>
      <c r="R858" s="48"/>
      <c r="S858" s="60"/>
      <c r="T858" s="48"/>
      <c r="U858" s="48"/>
      <c r="V858" s="48"/>
      <c r="W858" s="48"/>
      <c r="X858" s="48"/>
      <c r="Y858" s="48"/>
      <c r="Z858" s="48"/>
      <c r="AA858" s="48"/>
      <c r="AB858" s="48"/>
      <c r="AC858" s="48"/>
      <c r="AD858" s="48"/>
      <c r="AE858" s="48"/>
      <c r="AF858" s="60"/>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56"/>
      <c r="BJ858" s="56"/>
      <c r="BK858" s="56"/>
      <c r="BL858" s="56"/>
      <c r="BM858" s="56"/>
      <c r="BN858" s="56"/>
      <c r="BO858" s="56"/>
      <c r="BP858" s="56"/>
      <c r="BQ858" s="56"/>
      <c r="BR858" s="56"/>
      <c r="BS858" s="56"/>
      <c r="BT858" s="56"/>
      <c r="BU858" s="56"/>
      <c r="BV858" s="56"/>
      <c r="BW858" s="56"/>
      <c r="BX858" s="56"/>
    </row>
    <row r="859">
      <c r="A859" s="48"/>
      <c r="B859" s="48"/>
      <c r="C859" s="48"/>
      <c r="D859" s="48"/>
      <c r="E859" s="48"/>
      <c r="F859" s="48"/>
      <c r="G859" s="48"/>
      <c r="H859" s="48"/>
      <c r="I859" s="48"/>
      <c r="J859" s="48"/>
      <c r="K859" s="64"/>
      <c r="L859" s="64"/>
      <c r="M859" s="48"/>
      <c r="N859" s="48"/>
      <c r="O859" s="48"/>
      <c r="P859" s="48"/>
      <c r="Q859" s="48"/>
      <c r="R859" s="48"/>
      <c r="S859" s="60"/>
      <c r="T859" s="48"/>
      <c r="U859" s="48"/>
      <c r="V859" s="48"/>
      <c r="W859" s="48"/>
      <c r="X859" s="48"/>
      <c r="Y859" s="48"/>
      <c r="Z859" s="48"/>
      <c r="AA859" s="48"/>
      <c r="AB859" s="48"/>
      <c r="AC859" s="48"/>
      <c r="AD859" s="48"/>
      <c r="AE859" s="48"/>
      <c r="AF859" s="60"/>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56"/>
      <c r="BJ859" s="56"/>
      <c r="BK859" s="56"/>
      <c r="BL859" s="56"/>
      <c r="BM859" s="56"/>
      <c r="BN859" s="56"/>
      <c r="BO859" s="56"/>
      <c r="BP859" s="56"/>
      <c r="BQ859" s="56"/>
      <c r="BR859" s="56"/>
      <c r="BS859" s="56"/>
      <c r="BT859" s="56"/>
      <c r="BU859" s="56"/>
      <c r="BV859" s="56"/>
      <c r="BW859" s="56"/>
      <c r="BX859" s="56"/>
    </row>
    <row r="860">
      <c r="A860" s="48"/>
      <c r="B860" s="48"/>
      <c r="C860" s="48"/>
      <c r="D860" s="48"/>
      <c r="E860" s="48"/>
      <c r="F860" s="48"/>
      <c r="G860" s="48"/>
      <c r="H860" s="48"/>
      <c r="I860" s="48"/>
      <c r="J860" s="48"/>
      <c r="K860" s="64"/>
      <c r="L860" s="64"/>
      <c r="M860" s="48"/>
      <c r="N860" s="48"/>
      <c r="O860" s="48"/>
      <c r="P860" s="48"/>
      <c r="Q860" s="48"/>
      <c r="R860" s="48"/>
      <c r="S860" s="60"/>
      <c r="T860" s="48"/>
      <c r="U860" s="48"/>
      <c r="V860" s="48"/>
      <c r="W860" s="48"/>
      <c r="X860" s="48"/>
      <c r="Y860" s="48"/>
      <c r="Z860" s="48"/>
      <c r="AA860" s="48"/>
      <c r="AB860" s="48"/>
      <c r="AC860" s="48"/>
      <c r="AD860" s="48"/>
      <c r="AE860" s="48"/>
      <c r="AF860" s="60"/>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56"/>
      <c r="BJ860" s="56"/>
      <c r="BK860" s="56"/>
      <c r="BL860" s="56"/>
      <c r="BM860" s="56"/>
      <c r="BN860" s="56"/>
      <c r="BO860" s="56"/>
      <c r="BP860" s="56"/>
      <c r="BQ860" s="56"/>
      <c r="BR860" s="56"/>
      <c r="BS860" s="56"/>
      <c r="BT860" s="56"/>
      <c r="BU860" s="56"/>
      <c r="BV860" s="56"/>
      <c r="BW860" s="56"/>
      <c r="BX860" s="56"/>
    </row>
    <row r="861">
      <c r="A861" s="48"/>
      <c r="B861" s="48"/>
      <c r="C861" s="48"/>
      <c r="D861" s="48"/>
      <c r="E861" s="48"/>
      <c r="F861" s="48"/>
      <c r="G861" s="48"/>
      <c r="H861" s="48"/>
      <c r="I861" s="48"/>
      <c r="J861" s="48"/>
      <c r="K861" s="64"/>
      <c r="L861" s="64"/>
      <c r="M861" s="48"/>
      <c r="N861" s="48"/>
      <c r="O861" s="48"/>
      <c r="P861" s="48"/>
      <c r="Q861" s="48"/>
      <c r="R861" s="48"/>
      <c r="S861" s="60"/>
      <c r="T861" s="48"/>
      <c r="U861" s="48"/>
      <c r="V861" s="48"/>
      <c r="W861" s="48"/>
      <c r="X861" s="48"/>
      <c r="Y861" s="48"/>
      <c r="Z861" s="48"/>
      <c r="AA861" s="48"/>
      <c r="AB861" s="48"/>
      <c r="AC861" s="48"/>
      <c r="AD861" s="48"/>
      <c r="AE861" s="48"/>
      <c r="AF861" s="60"/>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56"/>
      <c r="BJ861" s="56"/>
      <c r="BK861" s="56"/>
      <c r="BL861" s="56"/>
      <c r="BM861" s="56"/>
      <c r="BN861" s="56"/>
      <c r="BO861" s="56"/>
      <c r="BP861" s="56"/>
      <c r="BQ861" s="56"/>
      <c r="BR861" s="56"/>
      <c r="BS861" s="56"/>
      <c r="BT861" s="56"/>
      <c r="BU861" s="56"/>
      <c r="BV861" s="56"/>
      <c r="BW861" s="56"/>
      <c r="BX861" s="56"/>
    </row>
    <row r="862">
      <c r="A862" s="48"/>
      <c r="B862" s="48"/>
      <c r="C862" s="48"/>
      <c r="D862" s="48"/>
      <c r="E862" s="48"/>
      <c r="F862" s="48"/>
      <c r="G862" s="48"/>
      <c r="H862" s="48"/>
      <c r="I862" s="48"/>
      <c r="J862" s="48"/>
      <c r="K862" s="64"/>
      <c r="L862" s="64"/>
      <c r="M862" s="48"/>
      <c r="N862" s="48"/>
      <c r="O862" s="48"/>
      <c r="P862" s="48"/>
      <c r="Q862" s="48"/>
      <c r="R862" s="48"/>
      <c r="S862" s="60"/>
      <c r="T862" s="48"/>
      <c r="U862" s="48"/>
      <c r="V862" s="48"/>
      <c r="W862" s="48"/>
      <c r="X862" s="48"/>
      <c r="Y862" s="48"/>
      <c r="Z862" s="48"/>
      <c r="AA862" s="48"/>
      <c r="AB862" s="48"/>
      <c r="AC862" s="48"/>
      <c r="AD862" s="48"/>
      <c r="AE862" s="48"/>
      <c r="AF862" s="60"/>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56"/>
      <c r="BJ862" s="56"/>
      <c r="BK862" s="56"/>
      <c r="BL862" s="56"/>
      <c r="BM862" s="56"/>
      <c r="BN862" s="56"/>
      <c r="BO862" s="56"/>
      <c r="BP862" s="56"/>
      <c r="BQ862" s="56"/>
      <c r="BR862" s="56"/>
      <c r="BS862" s="56"/>
      <c r="BT862" s="56"/>
      <c r="BU862" s="56"/>
      <c r="BV862" s="56"/>
      <c r="BW862" s="56"/>
      <c r="BX862" s="56"/>
    </row>
    <row r="863">
      <c r="A863" s="48"/>
      <c r="B863" s="48"/>
      <c r="C863" s="48"/>
      <c r="D863" s="48"/>
      <c r="E863" s="48"/>
      <c r="F863" s="48"/>
      <c r="G863" s="48"/>
      <c r="H863" s="48"/>
      <c r="I863" s="48"/>
      <c r="J863" s="48"/>
      <c r="K863" s="64"/>
      <c r="L863" s="64"/>
      <c r="M863" s="48"/>
      <c r="N863" s="48"/>
      <c r="O863" s="48"/>
      <c r="P863" s="48"/>
      <c r="Q863" s="48"/>
      <c r="R863" s="48"/>
      <c r="S863" s="60"/>
      <c r="T863" s="48"/>
      <c r="U863" s="48"/>
      <c r="V863" s="48"/>
      <c r="W863" s="48"/>
      <c r="X863" s="48"/>
      <c r="Y863" s="48"/>
      <c r="Z863" s="48"/>
      <c r="AA863" s="48"/>
      <c r="AB863" s="48"/>
      <c r="AC863" s="48"/>
      <c r="AD863" s="48"/>
      <c r="AE863" s="48"/>
      <c r="AF863" s="60"/>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56"/>
      <c r="BJ863" s="56"/>
      <c r="BK863" s="56"/>
      <c r="BL863" s="56"/>
      <c r="BM863" s="56"/>
      <c r="BN863" s="56"/>
      <c r="BO863" s="56"/>
      <c r="BP863" s="56"/>
      <c r="BQ863" s="56"/>
      <c r="BR863" s="56"/>
      <c r="BS863" s="56"/>
      <c r="BT863" s="56"/>
      <c r="BU863" s="56"/>
      <c r="BV863" s="56"/>
      <c r="BW863" s="56"/>
      <c r="BX863" s="56"/>
    </row>
    <row r="864">
      <c r="A864" s="48"/>
      <c r="B864" s="48"/>
      <c r="C864" s="48"/>
      <c r="D864" s="48"/>
      <c r="E864" s="48"/>
      <c r="F864" s="48"/>
      <c r="G864" s="48"/>
      <c r="H864" s="48"/>
      <c r="I864" s="48"/>
      <c r="J864" s="48"/>
      <c r="K864" s="64"/>
      <c r="L864" s="64"/>
      <c r="M864" s="48"/>
      <c r="N864" s="48"/>
      <c r="O864" s="48"/>
      <c r="P864" s="48"/>
      <c r="Q864" s="48"/>
      <c r="R864" s="48"/>
      <c r="S864" s="60"/>
      <c r="T864" s="48"/>
      <c r="U864" s="48"/>
      <c r="V864" s="48"/>
      <c r="W864" s="48"/>
      <c r="X864" s="48"/>
      <c r="Y864" s="48"/>
      <c r="Z864" s="48"/>
      <c r="AA864" s="48"/>
      <c r="AB864" s="48"/>
      <c r="AC864" s="48"/>
      <c r="AD864" s="48"/>
      <c r="AE864" s="48"/>
      <c r="AF864" s="60"/>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56"/>
      <c r="BJ864" s="56"/>
      <c r="BK864" s="56"/>
      <c r="BL864" s="56"/>
      <c r="BM864" s="56"/>
      <c r="BN864" s="56"/>
      <c r="BO864" s="56"/>
      <c r="BP864" s="56"/>
      <c r="BQ864" s="56"/>
      <c r="BR864" s="56"/>
      <c r="BS864" s="56"/>
      <c r="BT864" s="56"/>
      <c r="BU864" s="56"/>
      <c r="BV864" s="56"/>
      <c r="BW864" s="56"/>
      <c r="BX864" s="56"/>
    </row>
    <row r="865">
      <c r="A865" s="48"/>
      <c r="B865" s="48"/>
      <c r="C865" s="48"/>
      <c r="D865" s="48"/>
      <c r="E865" s="48"/>
      <c r="F865" s="48"/>
      <c r="G865" s="48"/>
      <c r="H865" s="48"/>
      <c r="I865" s="48"/>
      <c r="J865" s="48"/>
      <c r="K865" s="64"/>
      <c r="L865" s="64"/>
      <c r="M865" s="48"/>
      <c r="N865" s="48"/>
      <c r="O865" s="48"/>
      <c r="P865" s="48"/>
      <c r="Q865" s="48"/>
      <c r="R865" s="48"/>
      <c r="S865" s="60"/>
      <c r="T865" s="48"/>
      <c r="U865" s="48"/>
      <c r="V865" s="48"/>
      <c r="W865" s="48"/>
      <c r="X865" s="48"/>
      <c r="Y865" s="48"/>
      <c r="Z865" s="48"/>
      <c r="AA865" s="48"/>
      <c r="AB865" s="48"/>
      <c r="AC865" s="48"/>
      <c r="AD865" s="48"/>
      <c r="AE865" s="48"/>
      <c r="AF865" s="60"/>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56"/>
      <c r="BJ865" s="56"/>
      <c r="BK865" s="56"/>
      <c r="BL865" s="56"/>
      <c r="BM865" s="56"/>
      <c r="BN865" s="56"/>
      <c r="BO865" s="56"/>
      <c r="BP865" s="56"/>
      <c r="BQ865" s="56"/>
      <c r="BR865" s="56"/>
      <c r="BS865" s="56"/>
      <c r="BT865" s="56"/>
      <c r="BU865" s="56"/>
      <c r="BV865" s="56"/>
      <c r="BW865" s="56"/>
      <c r="BX865" s="56"/>
    </row>
    <row r="866">
      <c r="A866" s="48"/>
      <c r="B866" s="48"/>
      <c r="C866" s="48"/>
      <c r="D866" s="48"/>
      <c r="E866" s="48"/>
      <c r="F866" s="48"/>
      <c r="G866" s="48"/>
      <c r="H866" s="48"/>
      <c r="I866" s="48"/>
      <c r="J866" s="48"/>
      <c r="K866" s="64"/>
      <c r="L866" s="64"/>
      <c r="M866" s="48"/>
      <c r="N866" s="48"/>
      <c r="O866" s="48"/>
      <c r="P866" s="48"/>
      <c r="Q866" s="48"/>
      <c r="R866" s="48"/>
      <c r="S866" s="60"/>
      <c r="T866" s="48"/>
      <c r="U866" s="48"/>
      <c r="V866" s="48"/>
      <c r="W866" s="48"/>
      <c r="X866" s="48"/>
      <c r="Y866" s="48"/>
      <c r="Z866" s="48"/>
      <c r="AA866" s="48"/>
      <c r="AB866" s="48"/>
      <c r="AC866" s="48"/>
      <c r="AD866" s="48"/>
      <c r="AE866" s="48"/>
      <c r="AF866" s="60"/>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56"/>
      <c r="BJ866" s="56"/>
      <c r="BK866" s="56"/>
      <c r="BL866" s="56"/>
      <c r="BM866" s="56"/>
      <c r="BN866" s="56"/>
      <c r="BO866" s="56"/>
      <c r="BP866" s="56"/>
      <c r="BQ866" s="56"/>
      <c r="BR866" s="56"/>
      <c r="BS866" s="56"/>
      <c r="BT866" s="56"/>
      <c r="BU866" s="56"/>
      <c r="BV866" s="56"/>
      <c r="BW866" s="56"/>
      <c r="BX866" s="56"/>
    </row>
    <row r="867">
      <c r="A867" s="48"/>
      <c r="B867" s="48"/>
      <c r="C867" s="48"/>
      <c r="D867" s="48"/>
      <c r="E867" s="48"/>
      <c r="F867" s="48"/>
      <c r="G867" s="48"/>
      <c r="H867" s="48"/>
      <c r="I867" s="48"/>
      <c r="J867" s="48"/>
      <c r="K867" s="64"/>
      <c r="L867" s="64"/>
      <c r="M867" s="48"/>
      <c r="N867" s="48"/>
      <c r="O867" s="48"/>
      <c r="P867" s="48"/>
      <c r="Q867" s="48"/>
      <c r="R867" s="48"/>
      <c r="S867" s="60"/>
      <c r="T867" s="48"/>
      <c r="U867" s="48"/>
      <c r="V867" s="48"/>
      <c r="W867" s="48"/>
      <c r="X867" s="48"/>
      <c r="Y867" s="48"/>
      <c r="Z867" s="48"/>
      <c r="AA867" s="48"/>
      <c r="AB867" s="48"/>
      <c r="AC867" s="48"/>
      <c r="AD867" s="48"/>
      <c r="AE867" s="48"/>
      <c r="AF867" s="60"/>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56"/>
      <c r="BJ867" s="56"/>
      <c r="BK867" s="56"/>
      <c r="BL867" s="56"/>
      <c r="BM867" s="56"/>
      <c r="BN867" s="56"/>
      <c r="BO867" s="56"/>
      <c r="BP867" s="56"/>
      <c r="BQ867" s="56"/>
      <c r="BR867" s="56"/>
      <c r="BS867" s="56"/>
      <c r="BT867" s="56"/>
      <c r="BU867" s="56"/>
      <c r="BV867" s="56"/>
      <c r="BW867" s="56"/>
      <c r="BX867" s="56"/>
    </row>
    <row r="868">
      <c r="A868" s="48"/>
      <c r="B868" s="48"/>
      <c r="C868" s="48"/>
      <c r="D868" s="48"/>
      <c r="E868" s="48"/>
      <c r="F868" s="48"/>
      <c r="G868" s="48"/>
      <c r="H868" s="48"/>
      <c r="I868" s="48"/>
      <c r="J868" s="48"/>
      <c r="K868" s="64"/>
      <c r="L868" s="64"/>
      <c r="M868" s="48"/>
      <c r="N868" s="48"/>
      <c r="O868" s="48"/>
      <c r="P868" s="48"/>
      <c r="Q868" s="48"/>
      <c r="R868" s="48"/>
      <c r="S868" s="60"/>
      <c r="T868" s="48"/>
      <c r="U868" s="48"/>
      <c r="V868" s="48"/>
      <c r="W868" s="48"/>
      <c r="X868" s="48"/>
      <c r="Y868" s="48"/>
      <c r="Z868" s="48"/>
      <c r="AA868" s="48"/>
      <c r="AB868" s="48"/>
      <c r="AC868" s="48"/>
      <c r="AD868" s="48"/>
      <c r="AE868" s="48"/>
      <c r="AF868" s="60"/>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56"/>
      <c r="BJ868" s="56"/>
      <c r="BK868" s="56"/>
      <c r="BL868" s="56"/>
      <c r="BM868" s="56"/>
      <c r="BN868" s="56"/>
      <c r="BO868" s="56"/>
      <c r="BP868" s="56"/>
      <c r="BQ868" s="56"/>
      <c r="BR868" s="56"/>
      <c r="BS868" s="56"/>
      <c r="BT868" s="56"/>
      <c r="BU868" s="56"/>
      <c r="BV868" s="56"/>
      <c r="BW868" s="56"/>
      <c r="BX868" s="56"/>
    </row>
    <row r="869">
      <c r="A869" s="48"/>
      <c r="B869" s="48"/>
      <c r="C869" s="48"/>
      <c r="D869" s="48"/>
      <c r="E869" s="48"/>
      <c r="F869" s="48"/>
      <c r="G869" s="48"/>
      <c r="H869" s="48"/>
      <c r="I869" s="48"/>
      <c r="J869" s="48"/>
      <c r="K869" s="64"/>
      <c r="L869" s="64"/>
      <c r="M869" s="48"/>
      <c r="N869" s="48"/>
      <c r="O869" s="48"/>
      <c r="P869" s="48"/>
      <c r="Q869" s="48"/>
      <c r="R869" s="48"/>
      <c r="S869" s="60"/>
      <c r="T869" s="48"/>
      <c r="U869" s="48"/>
      <c r="V869" s="48"/>
      <c r="W869" s="48"/>
      <c r="X869" s="48"/>
      <c r="Y869" s="48"/>
      <c r="Z869" s="48"/>
      <c r="AA869" s="48"/>
      <c r="AB869" s="48"/>
      <c r="AC869" s="48"/>
      <c r="AD869" s="48"/>
      <c r="AE869" s="48"/>
      <c r="AF869" s="60"/>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56"/>
      <c r="BJ869" s="56"/>
      <c r="BK869" s="56"/>
      <c r="BL869" s="56"/>
      <c r="BM869" s="56"/>
      <c r="BN869" s="56"/>
      <c r="BO869" s="56"/>
      <c r="BP869" s="56"/>
      <c r="BQ869" s="56"/>
      <c r="BR869" s="56"/>
      <c r="BS869" s="56"/>
      <c r="BT869" s="56"/>
      <c r="BU869" s="56"/>
      <c r="BV869" s="56"/>
      <c r="BW869" s="56"/>
      <c r="BX869" s="56"/>
    </row>
    <row r="870">
      <c r="A870" s="48"/>
      <c r="B870" s="48"/>
      <c r="C870" s="48"/>
      <c r="D870" s="48"/>
      <c r="E870" s="48"/>
      <c r="F870" s="48"/>
      <c r="G870" s="48"/>
      <c r="H870" s="48"/>
      <c r="I870" s="48"/>
      <c r="J870" s="48"/>
      <c r="K870" s="64"/>
      <c r="L870" s="64"/>
      <c r="M870" s="48"/>
      <c r="N870" s="48"/>
      <c r="O870" s="48"/>
      <c r="P870" s="48"/>
      <c r="Q870" s="48"/>
      <c r="R870" s="48"/>
      <c r="S870" s="60"/>
      <c r="T870" s="48"/>
      <c r="U870" s="48"/>
      <c r="V870" s="48"/>
      <c r="W870" s="48"/>
      <c r="X870" s="48"/>
      <c r="Y870" s="48"/>
      <c r="Z870" s="48"/>
      <c r="AA870" s="48"/>
      <c r="AB870" s="48"/>
      <c r="AC870" s="48"/>
      <c r="AD870" s="48"/>
      <c r="AE870" s="48"/>
      <c r="AF870" s="60"/>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56"/>
      <c r="BJ870" s="56"/>
      <c r="BK870" s="56"/>
      <c r="BL870" s="56"/>
      <c r="BM870" s="56"/>
      <c r="BN870" s="56"/>
      <c r="BO870" s="56"/>
      <c r="BP870" s="56"/>
      <c r="BQ870" s="56"/>
      <c r="BR870" s="56"/>
      <c r="BS870" s="56"/>
      <c r="BT870" s="56"/>
      <c r="BU870" s="56"/>
      <c r="BV870" s="56"/>
      <c r="BW870" s="56"/>
      <c r="BX870" s="56"/>
    </row>
    <row r="871">
      <c r="A871" s="48"/>
      <c r="B871" s="48"/>
      <c r="C871" s="48"/>
      <c r="D871" s="48"/>
      <c r="E871" s="48"/>
      <c r="F871" s="48"/>
      <c r="G871" s="48"/>
      <c r="H871" s="48"/>
      <c r="I871" s="48"/>
      <c r="J871" s="48"/>
      <c r="K871" s="64"/>
      <c r="L871" s="64"/>
      <c r="M871" s="48"/>
      <c r="N871" s="48"/>
      <c r="O871" s="48"/>
      <c r="P871" s="48"/>
      <c r="Q871" s="48"/>
      <c r="R871" s="48"/>
      <c r="S871" s="60"/>
      <c r="T871" s="48"/>
      <c r="U871" s="48"/>
      <c r="V871" s="48"/>
      <c r="W871" s="48"/>
      <c r="X871" s="48"/>
      <c r="Y871" s="48"/>
      <c r="Z871" s="48"/>
      <c r="AA871" s="48"/>
      <c r="AB871" s="48"/>
      <c r="AC871" s="48"/>
      <c r="AD871" s="48"/>
      <c r="AE871" s="48"/>
      <c r="AF871" s="60"/>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56"/>
      <c r="BJ871" s="56"/>
      <c r="BK871" s="56"/>
      <c r="BL871" s="56"/>
      <c r="BM871" s="56"/>
      <c r="BN871" s="56"/>
      <c r="BO871" s="56"/>
      <c r="BP871" s="56"/>
      <c r="BQ871" s="56"/>
      <c r="BR871" s="56"/>
      <c r="BS871" s="56"/>
      <c r="BT871" s="56"/>
      <c r="BU871" s="56"/>
      <c r="BV871" s="56"/>
      <c r="BW871" s="56"/>
      <c r="BX871" s="56"/>
    </row>
    <row r="872">
      <c r="A872" s="48"/>
      <c r="B872" s="48"/>
      <c r="C872" s="48"/>
      <c r="D872" s="48"/>
      <c r="E872" s="48"/>
      <c r="F872" s="48"/>
      <c r="G872" s="48"/>
      <c r="H872" s="48"/>
      <c r="I872" s="48"/>
      <c r="J872" s="48"/>
      <c r="K872" s="64"/>
      <c r="L872" s="64"/>
      <c r="M872" s="48"/>
      <c r="N872" s="48"/>
      <c r="O872" s="48"/>
      <c r="P872" s="48"/>
      <c r="Q872" s="48"/>
      <c r="R872" s="48"/>
      <c r="S872" s="60"/>
      <c r="T872" s="48"/>
      <c r="U872" s="48"/>
      <c r="V872" s="48"/>
      <c r="W872" s="48"/>
      <c r="X872" s="48"/>
      <c r="Y872" s="48"/>
      <c r="Z872" s="48"/>
      <c r="AA872" s="48"/>
      <c r="AB872" s="48"/>
      <c r="AC872" s="48"/>
      <c r="AD872" s="48"/>
      <c r="AE872" s="48"/>
      <c r="AF872" s="60"/>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56"/>
      <c r="BJ872" s="56"/>
      <c r="BK872" s="56"/>
      <c r="BL872" s="56"/>
      <c r="BM872" s="56"/>
      <c r="BN872" s="56"/>
      <c r="BO872" s="56"/>
      <c r="BP872" s="56"/>
      <c r="BQ872" s="56"/>
      <c r="BR872" s="56"/>
      <c r="BS872" s="56"/>
      <c r="BT872" s="56"/>
      <c r="BU872" s="56"/>
      <c r="BV872" s="56"/>
      <c r="BW872" s="56"/>
      <c r="BX872" s="56"/>
    </row>
    <row r="873">
      <c r="A873" s="48"/>
      <c r="B873" s="48"/>
      <c r="C873" s="48"/>
      <c r="D873" s="48"/>
      <c r="E873" s="48"/>
      <c r="F873" s="48"/>
      <c r="G873" s="48"/>
      <c r="H873" s="48"/>
      <c r="I873" s="48"/>
      <c r="J873" s="48"/>
      <c r="K873" s="64"/>
      <c r="L873" s="64"/>
      <c r="M873" s="48"/>
      <c r="N873" s="48"/>
      <c r="O873" s="48"/>
      <c r="P873" s="48"/>
      <c r="Q873" s="48"/>
      <c r="R873" s="48"/>
      <c r="S873" s="60"/>
      <c r="T873" s="48"/>
      <c r="U873" s="48"/>
      <c r="V873" s="48"/>
      <c r="W873" s="48"/>
      <c r="X873" s="48"/>
      <c r="Y873" s="48"/>
      <c r="Z873" s="48"/>
      <c r="AA873" s="48"/>
      <c r="AB873" s="48"/>
      <c r="AC873" s="48"/>
      <c r="AD873" s="48"/>
      <c r="AE873" s="48"/>
      <c r="AF873" s="60"/>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56"/>
      <c r="BJ873" s="56"/>
      <c r="BK873" s="56"/>
      <c r="BL873" s="56"/>
      <c r="BM873" s="56"/>
      <c r="BN873" s="56"/>
      <c r="BO873" s="56"/>
      <c r="BP873" s="56"/>
      <c r="BQ873" s="56"/>
      <c r="BR873" s="56"/>
      <c r="BS873" s="56"/>
      <c r="BT873" s="56"/>
      <c r="BU873" s="56"/>
      <c r="BV873" s="56"/>
      <c r="BW873" s="56"/>
      <c r="BX873" s="56"/>
    </row>
    <row r="874">
      <c r="A874" s="48"/>
      <c r="B874" s="48"/>
      <c r="C874" s="48"/>
      <c r="D874" s="48"/>
      <c r="E874" s="48"/>
      <c r="F874" s="48"/>
      <c r="G874" s="48"/>
      <c r="H874" s="48"/>
      <c r="I874" s="48"/>
      <c r="J874" s="48"/>
      <c r="K874" s="64"/>
      <c r="L874" s="64"/>
      <c r="M874" s="48"/>
      <c r="N874" s="48"/>
      <c r="O874" s="48"/>
      <c r="P874" s="48"/>
      <c r="Q874" s="48"/>
      <c r="R874" s="48"/>
      <c r="S874" s="60"/>
      <c r="T874" s="48"/>
      <c r="U874" s="48"/>
      <c r="V874" s="48"/>
      <c r="W874" s="48"/>
      <c r="X874" s="48"/>
      <c r="Y874" s="48"/>
      <c r="Z874" s="48"/>
      <c r="AA874" s="48"/>
      <c r="AB874" s="48"/>
      <c r="AC874" s="48"/>
      <c r="AD874" s="48"/>
      <c r="AE874" s="48"/>
      <c r="AF874" s="60"/>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56"/>
      <c r="BJ874" s="56"/>
      <c r="BK874" s="56"/>
      <c r="BL874" s="56"/>
      <c r="BM874" s="56"/>
      <c r="BN874" s="56"/>
      <c r="BO874" s="56"/>
      <c r="BP874" s="56"/>
      <c r="BQ874" s="56"/>
      <c r="BR874" s="56"/>
      <c r="BS874" s="56"/>
      <c r="BT874" s="56"/>
      <c r="BU874" s="56"/>
      <c r="BV874" s="56"/>
      <c r="BW874" s="56"/>
      <c r="BX874" s="56"/>
    </row>
    <row r="875">
      <c r="A875" s="48"/>
      <c r="B875" s="48"/>
      <c r="C875" s="48"/>
      <c r="D875" s="48"/>
      <c r="E875" s="48"/>
      <c r="F875" s="48"/>
      <c r="G875" s="48"/>
      <c r="H875" s="48"/>
      <c r="I875" s="48"/>
      <c r="J875" s="48"/>
      <c r="K875" s="64"/>
      <c r="L875" s="64"/>
      <c r="M875" s="48"/>
      <c r="N875" s="48"/>
      <c r="O875" s="48"/>
      <c r="P875" s="48"/>
      <c r="Q875" s="48"/>
      <c r="R875" s="48"/>
      <c r="S875" s="60"/>
      <c r="T875" s="48"/>
      <c r="U875" s="48"/>
      <c r="V875" s="48"/>
      <c r="W875" s="48"/>
      <c r="X875" s="48"/>
      <c r="Y875" s="48"/>
      <c r="Z875" s="48"/>
      <c r="AA875" s="48"/>
      <c r="AB875" s="48"/>
      <c r="AC875" s="48"/>
      <c r="AD875" s="48"/>
      <c r="AE875" s="48"/>
      <c r="AF875" s="60"/>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56"/>
      <c r="BJ875" s="56"/>
      <c r="BK875" s="56"/>
      <c r="BL875" s="56"/>
      <c r="BM875" s="56"/>
      <c r="BN875" s="56"/>
      <c r="BO875" s="56"/>
      <c r="BP875" s="56"/>
      <c r="BQ875" s="56"/>
      <c r="BR875" s="56"/>
      <c r="BS875" s="56"/>
      <c r="BT875" s="56"/>
      <c r="BU875" s="56"/>
      <c r="BV875" s="56"/>
      <c r="BW875" s="56"/>
      <c r="BX875" s="56"/>
    </row>
    <row r="876">
      <c r="A876" s="48"/>
      <c r="B876" s="48"/>
      <c r="C876" s="48"/>
      <c r="D876" s="48"/>
      <c r="E876" s="48"/>
      <c r="F876" s="48"/>
      <c r="G876" s="48"/>
      <c r="H876" s="48"/>
      <c r="I876" s="48"/>
      <c r="J876" s="48"/>
      <c r="K876" s="64"/>
      <c r="L876" s="64"/>
      <c r="M876" s="48"/>
      <c r="N876" s="48"/>
      <c r="O876" s="48"/>
      <c r="P876" s="48"/>
      <c r="Q876" s="48"/>
      <c r="R876" s="48"/>
      <c r="S876" s="60"/>
      <c r="T876" s="48"/>
      <c r="U876" s="48"/>
      <c r="V876" s="48"/>
      <c r="W876" s="48"/>
      <c r="X876" s="48"/>
      <c r="Y876" s="48"/>
      <c r="Z876" s="48"/>
      <c r="AA876" s="48"/>
      <c r="AB876" s="48"/>
      <c r="AC876" s="48"/>
      <c r="AD876" s="48"/>
      <c r="AE876" s="48"/>
      <c r="AF876" s="60"/>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56"/>
      <c r="BJ876" s="56"/>
      <c r="BK876" s="56"/>
      <c r="BL876" s="56"/>
      <c r="BM876" s="56"/>
      <c r="BN876" s="56"/>
      <c r="BO876" s="56"/>
      <c r="BP876" s="56"/>
      <c r="BQ876" s="56"/>
      <c r="BR876" s="56"/>
      <c r="BS876" s="56"/>
      <c r="BT876" s="56"/>
      <c r="BU876" s="56"/>
      <c r="BV876" s="56"/>
      <c r="BW876" s="56"/>
      <c r="BX876" s="56"/>
    </row>
    <row r="877">
      <c r="A877" s="48"/>
      <c r="B877" s="48"/>
      <c r="C877" s="48"/>
      <c r="D877" s="48"/>
      <c r="E877" s="48"/>
      <c r="F877" s="48"/>
      <c r="G877" s="48"/>
      <c r="H877" s="48"/>
      <c r="I877" s="48"/>
      <c r="J877" s="48"/>
      <c r="K877" s="64"/>
      <c r="L877" s="64"/>
      <c r="M877" s="48"/>
      <c r="N877" s="48"/>
      <c r="O877" s="48"/>
      <c r="P877" s="48"/>
      <c r="Q877" s="48"/>
      <c r="R877" s="48"/>
      <c r="S877" s="60"/>
      <c r="T877" s="48"/>
      <c r="U877" s="48"/>
      <c r="V877" s="48"/>
      <c r="W877" s="48"/>
      <c r="X877" s="48"/>
      <c r="Y877" s="48"/>
      <c r="Z877" s="48"/>
      <c r="AA877" s="48"/>
      <c r="AB877" s="48"/>
      <c r="AC877" s="48"/>
      <c r="AD877" s="48"/>
      <c r="AE877" s="48"/>
      <c r="AF877" s="60"/>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56"/>
      <c r="BJ877" s="56"/>
      <c r="BK877" s="56"/>
      <c r="BL877" s="56"/>
      <c r="BM877" s="56"/>
      <c r="BN877" s="56"/>
      <c r="BO877" s="56"/>
      <c r="BP877" s="56"/>
      <c r="BQ877" s="56"/>
      <c r="BR877" s="56"/>
      <c r="BS877" s="56"/>
      <c r="BT877" s="56"/>
      <c r="BU877" s="56"/>
      <c r="BV877" s="56"/>
      <c r="BW877" s="56"/>
      <c r="BX877" s="56"/>
    </row>
    <row r="878">
      <c r="A878" s="48"/>
      <c r="B878" s="48"/>
      <c r="C878" s="48"/>
      <c r="D878" s="48"/>
      <c r="E878" s="48"/>
      <c r="F878" s="48"/>
      <c r="G878" s="48"/>
      <c r="H878" s="48"/>
      <c r="I878" s="48"/>
      <c r="J878" s="48"/>
      <c r="K878" s="64"/>
      <c r="L878" s="64"/>
      <c r="M878" s="48"/>
      <c r="N878" s="48"/>
      <c r="O878" s="48"/>
      <c r="P878" s="48"/>
      <c r="Q878" s="48"/>
      <c r="R878" s="48"/>
      <c r="S878" s="60"/>
      <c r="T878" s="48"/>
      <c r="U878" s="48"/>
      <c r="V878" s="48"/>
      <c r="W878" s="48"/>
      <c r="X878" s="48"/>
      <c r="Y878" s="48"/>
      <c r="Z878" s="48"/>
      <c r="AA878" s="48"/>
      <c r="AB878" s="48"/>
      <c r="AC878" s="48"/>
      <c r="AD878" s="48"/>
      <c r="AE878" s="48"/>
      <c r="AF878" s="60"/>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56"/>
      <c r="BJ878" s="56"/>
      <c r="BK878" s="56"/>
      <c r="BL878" s="56"/>
      <c r="BM878" s="56"/>
      <c r="BN878" s="56"/>
      <c r="BO878" s="56"/>
      <c r="BP878" s="56"/>
      <c r="BQ878" s="56"/>
      <c r="BR878" s="56"/>
      <c r="BS878" s="56"/>
      <c r="BT878" s="56"/>
      <c r="BU878" s="56"/>
      <c r="BV878" s="56"/>
      <c r="BW878" s="56"/>
      <c r="BX878" s="56"/>
    </row>
    <row r="879">
      <c r="A879" s="48"/>
      <c r="B879" s="48"/>
      <c r="C879" s="48"/>
      <c r="D879" s="48"/>
      <c r="E879" s="48"/>
      <c r="F879" s="48"/>
      <c r="G879" s="48"/>
      <c r="H879" s="48"/>
      <c r="I879" s="48"/>
      <c r="J879" s="48"/>
      <c r="K879" s="64"/>
      <c r="L879" s="64"/>
      <c r="M879" s="48"/>
      <c r="N879" s="48"/>
      <c r="O879" s="48"/>
      <c r="P879" s="48"/>
      <c r="Q879" s="48"/>
      <c r="R879" s="48"/>
      <c r="S879" s="60"/>
      <c r="T879" s="48"/>
      <c r="U879" s="48"/>
      <c r="V879" s="48"/>
      <c r="W879" s="48"/>
      <c r="X879" s="48"/>
      <c r="Y879" s="48"/>
      <c r="Z879" s="48"/>
      <c r="AA879" s="48"/>
      <c r="AB879" s="48"/>
      <c r="AC879" s="48"/>
      <c r="AD879" s="48"/>
      <c r="AE879" s="48"/>
      <c r="AF879" s="60"/>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56"/>
      <c r="BJ879" s="56"/>
      <c r="BK879" s="56"/>
      <c r="BL879" s="56"/>
      <c r="BM879" s="56"/>
      <c r="BN879" s="56"/>
      <c r="BO879" s="56"/>
      <c r="BP879" s="56"/>
      <c r="BQ879" s="56"/>
      <c r="BR879" s="56"/>
      <c r="BS879" s="56"/>
      <c r="BT879" s="56"/>
      <c r="BU879" s="56"/>
      <c r="BV879" s="56"/>
      <c r="BW879" s="56"/>
      <c r="BX879" s="56"/>
    </row>
    <row r="880">
      <c r="A880" s="48"/>
      <c r="B880" s="48"/>
      <c r="C880" s="48"/>
      <c r="D880" s="48"/>
      <c r="E880" s="48"/>
      <c r="F880" s="48"/>
      <c r="G880" s="48"/>
      <c r="H880" s="48"/>
      <c r="I880" s="48"/>
      <c r="J880" s="48"/>
      <c r="K880" s="64"/>
      <c r="L880" s="64"/>
      <c r="M880" s="48"/>
      <c r="N880" s="48"/>
      <c r="O880" s="48"/>
      <c r="P880" s="48"/>
      <c r="Q880" s="48"/>
      <c r="R880" s="48"/>
      <c r="S880" s="60"/>
      <c r="T880" s="48"/>
      <c r="U880" s="48"/>
      <c r="V880" s="48"/>
      <c r="W880" s="48"/>
      <c r="X880" s="48"/>
      <c r="Y880" s="48"/>
      <c r="Z880" s="48"/>
      <c r="AA880" s="48"/>
      <c r="AB880" s="48"/>
      <c r="AC880" s="48"/>
      <c r="AD880" s="48"/>
      <c r="AE880" s="48"/>
      <c r="AF880" s="60"/>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56"/>
      <c r="BJ880" s="56"/>
      <c r="BK880" s="56"/>
      <c r="BL880" s="56"/>
      <c r="BM880" s="56"/>
      <c r="BN880" s="56"/>
      <c r="BO880" s="56"/>
      <c r="BP880" s="56"/>
      <c r="BQ880" s="56"/>
      <c r="BR880" s="56"/>
      <c r="BS880" s="56"/>
      <c r="BT880" s="56"/>
      <c r="BU880" s="56"/>
      <c r="BV880" s="56"/>
      <c r="BW880" s="56"/>
      <c r="BX880" s="56"/>
    </row>
    <row r="881">
      <c r="A881" s="48"/>
      <c r="B881" s="48"/>
      <c r="C881" s="48"/>
      <c r="D881" s="48"/>
      <c r="E881" s="48"/>
      <c r="F881" s="48"/>
      <c r="G881" s="48"/>
      <c r="H881" s="48"/>
      <c r="I881" s="48"/>
      <c r="J881" s="48"/>
      <c r="K881" s="64"/>
      <c r="L881" s="64"/>
      <c r="M881" s="48"/>
      <c r="N881" s="48"/>
      <c r="O881" s="48"/>
      <c r="P881" s="48"/>
      <c r="Q881" s="48"/>
      <c r="R881" s="48"/>
      <c r="S881" s="60"/>
      <c r="T881" s="48"/>
      <c r="U881" s="48"/>
      <c r="V881" s="48"/>
      <c r="W881" s="48"/>
      <c r="X881" s="48"/>
      <c r="Y881" s="48"/>
      <c r="Z881" s="48"/>
      <c r="AA881" s="48"/>
      <c r="AB881" s="48"/>
      <c r="AC881" s="48"/>
      <c r="AD881" s="48"/>
      <c r="AE881" s="48"/>
      <c r="AF881" s="60"/>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56"/>
      <c r="BJ881" s="56"/>
      <c r="BK881" s="56"/>
      <c r="BL881" s="56"/>
      <c r="BM881" s="56"/>
      <c r="BN881" s="56"/>
      <c r="BO881" s="56"/>
      <c r="BP881" s="56"/>
      <c r="BQ881" s="56"/>
      <c r="BR881" s="56"/>
      <c r="BS881" s="56"/>
      <c r="BT881" s="56"/>
      <c r="BU881" s="56"/>
      <c r="BV881" s="56"/>
      <c r="BW881" s="56"/>
      <c r="BX881" s="56"/>
    </row>
    <row r="882">
      <c r="A882" s="48"/>
      <c r="B882" s="48"/>
      <c r="C882" s="48"/>
      <c r="D882" s="48"/>
      <c r="E882" s="48"/>
      <c r="F882" s="48"/>
      <c r="G882" s="48"/>
      <c r="H882" s="48"/>
      <c r="I882" s="48"/>
      <c r="J882" s="48"/>
      <c r="K882" s="64"/>
      <c r="L882" s="64"/>
      <c r="M882" s="48"/>
      <c r="N882" s="48"/>
      <c r="O882" s="48"/>
      <c r="P882" s="48"/>
      <c r="Q882" s="48"/>
      <c r="R882" s="48"/>
      <c r="S882" s="60"/>
      <c r="T882" s="48"/>
      <c r="U882" s="48"/>
      <c r="V882" s="48"/>
      <c r="W882" s="48"/>
      <c r="X882" s="48"/>
      <c r="Y882" s="48"/>
      <c r="Z882" s="48"/>
      <c r="AA882" s="48"/>
      <c r="AB882" s="48"/>
      <c r="AC882" s="48"/>
      <c r="AD882" s="48"/>
      <c r="AE882" s="48"/>
      <c r="AF882" s="60"/>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56"/>
      <c r="BJ882" s="56"/>
      <c r="BK882" s="56"/>
      <c r="BL882" s="56"/>
      <c r="BM882" s="56"/>
      <c r="BN882" s="56"/>
      <c r="BO882" s="56"/>
      <c r="BP882" s="56"/>
      <c r="BQ882" s="56"/>
      <c r="BR882" s="56"/>
      <c r="BS882" s="56"/>
      <c r="BT882" s="56"/>
      <c r="BU882" s="56"/>
      <c r="BV882" s="56"/>
      <c r="BW882" s="56"/>
      <c r="BX882" s="56"/>
    </row>
    <row r="883">
      <c r="A883" s="48"/>
      <c r="B883" s="48"/>
      <c r="C883" s="48"/>
      <c r="D883" s="48"/>
      <c r="E883" s="48"/>
      <c r="F883" s="48"/>
      <c r="G883" s="48"/>
      <c r="H883" s="48"/>
      <c r="I883" s="48"/>
      <c r="J883" s="48"/>
      <c r="K883" s="64"/>
      <c r="L883" s="64"/>
      <c r="M883" s="48"/>
      <c r="N883" s="48"/>
      <c r="O883" s="48"/>
      <c r="P883" s="48"/>
      <c r="Q883" s="48"/>
      <c r="R883" s="48"/>
      <c r="S883" s="60"/>
      <c r="T883" s="48"/>
      <c r="U883" s="48"/>
      <c r="V883" s="48"/>
      <c r="W883" s="48"/>
      <c r="X883" s="48"/>
      <c r="Y883" s="48"/>
      <c r="Z883" s="48"/>
      <c r="AA883" s="48"/>
      <c r="AB883" s="48"/>
      <c r="AC883" s="48"/>
      <c r="AD883" s="48"/>
      <c r="AE883" s="48"/>
      <c r="AF883" s="60"/>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56"/>
      <c r="BJ883" s="56"/>
      <c r="BK883" s="56"/>
      <c r="BL883" s="56"/>
      <c r="BM883" s="56"/>
      <c r="BN883" s="56"/>
      <c r="BO883" s="56"/>
      <c r="BP883" s="56"/>
      <c r="BQ883" s="56"/>
      <c r="BR883" s="56"/>
      <c r="BS883" s="56"/>
      <c r="BT883" s="56"/>
      <c r="BU883" s="56"/>
      <c r="BV883" s="56"/>
      <c r="BW883" s="56"/>
      <c r="BX883" s="56"/>
    </row>
    <row r="884">
      <c r="A884" s="48"/>
      <c r="B884" s="48"/>
      <c r="C884" s="48"/>
      <c r="D884" s="48"/>
      <c r="E884" s="48"/>
      <c r="F884" s="48"/>
      <c r="G884" s="48"/>
      <c r="H884" s="48"/>
      <c r="I884" s="48"/>
      <c r="J884" s="48"/>
      <c r="K884" s="64"/>
      <c r="L884" s="64"/>
      <c r="M884" s="48"/>
      <c r="N884" s="48"/>
      <c r="O884" s="48"/>
      <c r="P884" s="48"/>
      <c r="Q884" s="48"/>
      <c r="R884" s="48"/>
      <c r="S884" s="60"/>
      <c r="T884" s="48"/>
      <c r="U884" s="48"/>
      <c r="V884" s="48"/>
      <c r="W884" s="48"/>
      <c r="X884" s="48"/>
      <c r="Y884" s="48"/>
      <c r="Z884" s="48"/>
      <c r="AA884" s="48"/>
      <c r="AB884" s="48"/>
      <c r="AC884" s="48"/>
      <c r="AD884" s="48"/>
      <c r="AE884" s="48"/>
      <c r="AF884" s="60"/>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56"/>
      <c r="BJ884" s="56"/>
      <c r="BK884" s="56"/>
      <c r="BL884" s="56"/>
      <c r="BM884" s="56"/>
      <c r="BN884" s="56"/>
      <c r="BO884" s="56"/>
      <c r="BP884" s="56"/>
      <c r="BQ884" s="56"/>
      <c r="BR884" s="56"/>
      <c r="BS884" s="56"/>
      <c r="BT884" s="56"/>
      <c r="BU884" s="56"/>
      <c r="BV884" s="56"/>
      <c r="BW884" s="56"/>
      <c r="BX884" s="56"/>
    </row>
    <row r="885">
      <c r="A885" s="48"/>
      <c r="B885" s="48"/>
      <c r="C885" s="48"/>
      <c r="D885" s="48"/>
      <c r="E885" s="48"/>
      <c r="F885" s="48"/>
      <c r="G885" s="48"/>
      <c r="H885" s="48"/>
      <c r="I885" s="48"/>
      <c r="J885" s="48"/>
      <c r="K885" s="64"/>
      <c r="L885" s="64"/>
      <c r="M885" s="48"/>
      <c r="N885" s="48"/>
      <c r="O885" s="48"/>
      <c r="P885" s="48"/>
      <c r="Q885" s="48"/>
      <c r="R885" s="48"/>
      <c r="S885" s="60"/>
      <c r="T885" s="48"/>
      <c r="U885" s="48"/>
      <c r="V885" s="48"/>
      <c r="W885" s="48"/>
      <c r="X885" s="48"/>
      <c r="Y885" s="48"/>
      <c r="Z885" s="48"/>
      <c r="AA885" s="48"/>
      <c r="AB885" s="48"/>
      <c r="AC885" s="48"/>
      <c r="AD885" s="48"/>
      <c r="AE885" s="48"/>
      <c r="AF885" s="60"/>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56"/>
      <c r="BJ885" s="56"/>
      <c r="BK885" s="56"/>
      <c r="BL885" s="56"/>
      <c r="BM885" s="56"/>
      <c r="BN885" s="56"/>
      <c r="BO885" s="56"/>
      <c r="BP885" s="56"/>
      <c r="BQ885" s="56"/>
      <c r="BR885" s="56"/>
      <c r="BS885" s="56"/>
      <c r="BT885" s="56"/>
      <c r="BU885" s="56"/>
      <c r="BV885" s="56"/>
      <c r="BW885" s="56"/>
      <c r="BX885" s="56"/>
    </row>
    <row r="886">
      <c r="A886" s="48"/>
      <c r="B886" s="48"/>
      <c r="C886" s="48"/>
      <c r="D886" s="48"/>
      <c r="E886" s="48"/>
      <c r="F886" s="48"/>
      <c r="G886" s="48"/>
      <c r="H886" s="48"/>
      <c r="I886" s="48"/>
      <c r="J886" s="48"/>
      <c r="K886" s="64"/>
      <c r="L886" s="64"/>
      <c r="M886" s="48"/>
      <c r="N886" s="48"/>
      <c r="O886" s="48"/>
      <c r="P886" s="48"/>
      <c r="Q886" s="48"/>
      <c r="R886" s="48"/>
      <c r="S886" s="60"/>
      <c r="T886" s="48"/>
      <c r="U886" s="48"/>
      <c r="V886" s="48"/>
      <c r="W886" s="48"/>
      <c r="X886" s="48"/>
      <c r="Y886" s="48"/>
      <c r="Z886" s="48"/>
      <c r="AA886" s="48"/>
      <c r="AB886" s="48"/>
      <c r="AC886" s="48"/>
      <c r="AD886" s="48"/>
      <c r="AE886" s="48"/>
      <c r="AF886" s="60"/>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56"/>
      <c r="BJ886" s="56"/>
      <c r="BK886" s="56"/>
      <c r="BL886" s="56"/>
      <c r="BM886" s="56"/>
      <c r="BN886" s="56"/>
      <c r="BO886" s="56"/>
      <c r="BP886" s="56"/>
      <c r="BQ886" s="56"/>
      <c r="BR886" s="56"/>
      <c r="BS886" s="56"/>
      <c r="BT886" s="56"/>
      <c r="BU886" s="56"/>
      <c r="BV886" s="56"/>
      <c r="BW886" s="56"/>
      <c r="BX886" s="56"/>
    </row>
    <row r="887">
      <c r="A887" s="48"/>
      <c r="B887" s="48"/>
      <c r="C887" s="48"/>
      <c r="D887" s="48"/>
      <c r="E887" s="48"/>
      <c r="F887" s="48"/>
      <c r="G887" s="48"/>
      <c r="H887" s="48"/>
      <c r="I887" s="48"/>
      <c r="J887" s="48"/>
      <c r="K887" s="64"/>
      <c r="L887" s="64"/>
      <c r="M887" s="48"/>
      <c r="N887" s="48"/>
      <c r="O887" s="48"/>
      <c r="P887" s="48"/>
      <c r="Q887" s="48"/>
      <c r="R887" s="48"/>
      <c r="S887" s="60"/>
      <c r="T887" s="48"/>
      <c r="U887" s="48"/>
      <c r="V887" s="48"/>
      <c r="W887" s="48"/>
      <c r="X887" s="48"/>
      <c r="Y887" s="48"/>
      <c r="Z887" s="48"/>
      <c r="AA887" s="48"/>
      <c r="AB887" s="48"/>
      <c r="AC887" s="48"/>
      <c r="AD887" s="48"/>
      <c r="AE887" s="48"/>
      <c r="AF887" s="60"/>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56"/>
      <c r="BJ887" s="56"/>
      <c r="BK887" s="56"/>
      <c r="BL887" s="56"/>
      <c r="BM887" s="56"/>
      <c r="BN887" s="56"/>
      <c r="BO887" s="56"/>
      <c r="BP887" s="56"/>
      <c r="BQ887" s="56"/>
      <c r="BR887" s="56"/>
      <c r="BS887" s="56"/>
      <c r="BT887" s="56"/>
      <c r="BU887" s="56"/>
      <c r="BV887" s="56"/>
      <c r="BW887" s="56"/>
      <c r="BX887" s="56"/>
    </row>
    <row r="888">
      <c r="A888" s="48"/>
      <c r="B888" s="48"/>
      <c r="C888" s="48"/>
      <c r="D888" s="48"/>
      <c r="E888" s="48"/>
      <c r="F888" s="48"/>
      <c r="G888" s="48"/>
      <c r="H888" s="48"/>
      <c r="I888" s="48"/>
      <c r="J888" s="48"/>
      <c r="K888" s="64"/>
      <c r="L888" s="64"/>
      <c r="M888" s="48"/>
      <c r="N888" s="48"/>
      <c r="O888" s="48"/>
      <c r="P888" s="48"/>
      <c r="Q888" s="48"/>
      <c r="R888" s="48"/>
      <c r="S888" s="60"/>
      <c r="T888" s="48"/>
      <c r="U888" s="48"/>
      <c r="V888" s="48"/>
      <c r="W888" s="48"/>
      <c r="X888" s="48"/>
      <c r="Y888" s="48"/>
      <c r="Z888" s="48"/>
      <c r="AA888" s="48"/>
      <c r="AB888" s="48"/>
      <c r="AC888" s="48"/>
      <c r="AD888" s="48"/>
      <c r="AE888" s="48"/>
      <c r="AF888" s="60"/>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56"/>
      <c r="BJ888" s="56"/>
      <c r="BK888" s="56"/>
      <c r="BL888" s="56"/>
      <c r="BM888" s="56"/>
      <c r="BN888" s="56"/>
      <c r="BO888" s="56"/>
      <c r="BP888" s="56"/>
      <c r="BQ888" s="56"/>
      <c r="BR888" s="56"/>
      <c r="BS888" s="56"/>
      <c r="BT888" s="56"/>
      <c r="BU888" s="56"/>
      <c r="BV888" s="56"/>
      <c r="BW888" s="56"/>
      <c r="BX888" s="56"/>
    </row>
    <row r="889">
      <c r="A889" s="48"/>
      <c r="B889" s="48"/>
      <c r="C889" s="48"/>
      <c r="D889" s="48"/>
      <c r="E889" s="48"/>
      <c r="F889" s="48"/>
      <c r="G889" s="48"/>
      <c r="H889" s="48"/>
      <c r="I889" s="48"/>
      <c r="J889" s="48"/>
      <c r="K889" s="64"/>
      <c r="L889" s="64"/>
      <c r="M889" s="48"/>
      <c r="N889" s="48"/>
      <c r="O889" s="48"/>
      <c r="P889" s="48"/>
      <c r="Q889" s="48"/>
      <c r="R889" s="48"/>
      <c r="S889" s="60"/>
      <c r="T889" s="48"/>
      <c r="U889" s="48"/>
      <c r="V889" s="48"/>
      <c r="W889" s="48"/>
      <c r="X889" s="48"/>
      <c r="Y889" s="48"/>
      <c r="Z889" s="48"/>
      <c r="AA889" s="48"/>
      <c r="AB889" s="48"/>
      <c r="AC889" s="48"/>
      <c r="AD889" s="48"/>
      <c r="AE889" s="48"/>
      <c r="AF889" s="60"/>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56"/>
      <c r="BJ889" s="56"/>
      <c r="BK889" s="56"/>
      <c r="BL889" s="56"/>
      <c r="BM889" s="56"/>
      <c r="BN889" s="56"/>
      <c r="BO889" s="56"/>
      <c r="BP889" s="56"/>
      <c r="BQ889" s="56"/>
      <c r="BR889" s="56"/>
      <c r="BS889" s="56"/>
      <c r="BT889" s="56"/>
      <c r="BU889" s="56"/>
      <c r="BV889" s="56"/>
      <c r="BW889" s="56"/>
      <c r="BX889" s="56"/>
    </row>
    <row r="890">
      <c r="A890" s="48"/>
      <c r="B890" s="48"/>
      <c r="C890" s="48"/>
      <c r="D890" s="48"/>
      <c r="E890" s="48"/>
      <c r="F890" s="48"/>
      <c r="G890" s="48"/>
      <c r="H890" s="48"/>
      <c r="I890" s="48"/>
      <c r="J890" s="48"/>
      <c r="K890" s="64"/>
      <c r="L890" s="64"/>
      <c r="M890" s="48"/>
      <c r="N890" s="48"/>
      <c r="O890" s="48"/>
      <c r="P890" s="48"/>
      <c r="Q890" s="48"/>
      <c r="R890" s="48"/>
      <c r="S890" s="60"/>
      <c r="T890" s="48"/>
      <c r="U890" s="48"/>
      <c r="V890" s="48"/>
      <c r="W890" s="48"/>
      <c r="X890" s="48"/>
      <c r="Y890" s="48"/>
      <c r="Z890" s="48"/>
      <c r="AA890" s="48"/>
      <c r="AB890" s="48"/>
      <c r="AC890" s="48"/>
      <c r="AD890" s="48"/>
      <c r="AE890" s="48"/>
      <c r="AF890" s="60"/>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56"/>
      <c r="BJ890" s="56"/>
      <c r="BK890" s="56"/>
      <c r="BL890" s="56"/>
      <c r="BM890" s="56"/>
      <c r="BN890" s="56"/>
      <c r="BO890" s="56"/>
      <c r="BP890" s="56"/>
      <c r="BQ890" s="56"/>
      <c r="BR890" s="56"/>
      <c r="BS890" s="56"/>
      <c r="BT890" s="56"/>
      <c r="BU890" s="56"/>
      <c r="BV890" s="56"/>
      <c r="BW890" s="56"/>
      <c r="BX890" s="56"/>
    </row>
    <row r="891">
      <c r="A891" s="48"/>
      <c r="B891" s="48"/>
      <c r="C891" s="48"/>
      <c r="D891" s="48"/>
      <c r="E891" s="48"/>
      <c r="F891" s="48"/>
      <c r="G891" s="48"/>
      <c r="H891" s="48"/>
      <c r="I891" s="48"/>
      <c r="J891" s="48"/>
      <c r="K891" s="64"/>
      <c r="L891" s="64"/>
      <c r="M891" s="48"/>
      <c r="N891" s="48"/>
      <c r="O891" s="48"/>
      <c r="P891" s="48"/>
      <c r="Q891" s="48"/>
      <c r="R891" s="48"/>
      <c r="S891" s="60"/>
      <c r="T891" s="48"/>
      <c r="U891" s="48"/>
      <c r="V891" s="48"/>
      <c r="W891" s="48"/>
      <c r="X891" s="48"/>
      <c r="Y891" s="48"/>
      <c r="Z891" s="48"/>
      <c r="AA891" s="48"/>
      <c r="AB891" s="48"/>
      <c r="AC891" s="48"/>
      <c r="AD891" s="48"/>
      <c r="AE891" s="48"/>
      <c r="AF891" s="60"/>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56"/>
      <c r="BJ891" s="56"/>
      <c r="BK891" s="56"/>
      <c r="BL891" s="56"/>
      <c r="BM891" s="56"/>
      <c r="BN891" s="56"/>
      <c r="BO891" s="56"/>
      <c r="BP891" s="56"/>
      <c r="BQ891" s="56"/>
      <c r="BR891" s="56"/>
      <c r="BS891" s="56"/>
      <c r="BT891" s="56"/>
      <c r="BU891" s="56"/>
      <c r="BV891" s="56"/>
      <c r="BW891" s="56"/>
      <c r="BX891" s="56"/>
    </row>
    <row r="892">
      <c r="A892" s="48"/>
      <c r="B892" s="48"/>
      <c r="C892" s="48"/>
      <c r="D892" s="48"/>
      <c r="E892" s="48"/>
      <c r="F892" s="48"/>
      <c r="G892" s="48"/>
      <c r="H892" s="48"/>
      <c r="I892" s="48"/>
      <c r="J892" s="48"/>
      <c r="K892" s="64"/>
      <c r="L892" s="64"/>
      <c r="M892" s="48"/>
      <c r="N892" s="48"/>
      <c r="O892" s="48"/>
      <c r="P892" s="48"/>
      <c r="Q892" s="48"/>
      <c r="R892" s="48"/>
      <c r="S892" s="60"/>
      <c r="T892" s="48"/>
      <c r="U892" s="48"/>
      <c r="V892" s="48"/>
      <c r="W892" s="48"/>
      <c r="X892" s="48"/>
      <c r="Y892" s="48"/>
      <c r="Z892" s="48"/>
      <c r="AA892" s="48"/>
      <c r="AB892" s="48"/>
      <c r="AC892" s="48"/>
      <c r="AD892" s="48"/>
      <c r="AE892" s="48"/>
      <c r="AF892" s="60"/>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56"/>
      <c r="BJ892" s="56"/>
      <c r="BK892" s="56"/>
      <c r="BL892" s="56"/>
      <c r="BM892" s="56"/>
      <c r="BN892" s="56"/>
      <c r="BO892" s="56"/>
      <c r="BP892" s="56"/>
      <c r="BQ892" s="56"/>
      <c r="BR892" s="56"/>
      <c r="BS892" s="56"/>
      <c r="BT892" s="56"/>
      <c r="BU892" s="56"/>
      <c r="BV892" s="56"/>
      <c r="BW892" s="56"/>
      <c r="BX892" s="56"/>
    </row>
    <row r="893">
      <c r="A893" s="48"/>
      <c r="B893" s="48"/>
      <c r="C893" s="48"/>
      <c r="D893" s="48"/>
      <c r="E893" s="48"/>
      <c r="F893" s="48"/>
      <c r="G893" s="48"/>
      <c r="H893" s="48"/>
      <c r="I893" s="48"/>
      <c r="J893" s="48"/>
      <c r="K893" s="64"/>
      <c r="L893" s="64"/>
      <c r="M893" s="48"/>
      <c r="N893" s="48"/>
      <c r="O893" s="48"/>
      <c r="P893" s="48"/>
      <c r="Q893" s="48"/>
      <c r="R893" s="48"/>
      <c r="S893" s="60"/>
      <c r="T893" s="48"/>
      <c r="U893" s="48"/>
      <c r="V893" s="48"/>
      <c r="W893" s="48"/>
      <c r="X893" s="48"/>
      <c r="Y893" s="48"/>
      <c r="Z893" s="48"/>
      <c r="AA893" s="48"/>
      <c r="AB893" s="48"/>
      <c r="AC893" s="48"/>
      <c r="AD893" s="48"/>
      <c r="AE893" s="48"/>
      <c r="AF893" s="60"/>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56"/>
      <c r="BJ893" s="56"/>
      <c r="BK893" s="56"/>
      <c r="BL893" s="56"/>
      <c r="BM893" s="56"/>
      <c r="BN893" s="56"/>
      <c r="BO893" s="56"/>
      <c r="BP893" s="56"/>
      <c r="BQ893" s="56"/>
      <c r="BR893" s="56"/>
      <c r="BS893" s="56"/>
      <c r="BT893" s="56"/>
      <c r="BU893" s="56"/>
      <c r="BV893" s="56"/>
      <c r="BW893" s="56"/>
      <c r="BX893" s="56"/>
    </row>
    <row r="894">
      <c r="A894" s="48"/>
      <c r="B894" s="48"/>
      <c r="C894" s="48"/>
      <c r="D894" s="48"/>
      <c r="E894" s="48"/>
      <c r="F894" s="48"/>
      <c r="G894" s="48"/>
      <c r="H894" s="48"/>
      <c r="I894" s="48"/>
      <c r="J894" s="48"/>
      <c r="K894" s="64"/>
      <c r="L894" s="64"/>
      <c r="M894" s="48"/>
      <c r="N894" s="48"/>
      <c r="O894" s="48"/>
      <c r="P894" s="48"/>
      <c r="Q894" s="48"/>
      <c r="R894" s="48"/>
      <c r="S894" s="60"/>
      <c r="T894" s="48"/>
      <c r="U894" s="48"/>
      <c r="V894" s="48"/>
      <c r="W894" s="48"/>
      <c r="X894" s="48"/>
      <c r="Y894" s="48"/>
      <c r="Z894" s="48"/>
      <c r="AA894" s="48"/>
      <c r="AB894" s="48"/>
      <c r="AC894" s="48"/>
      <c r="AD894" s="48"/>
      <c r="AE894" s="48"/>
      <c r="AF894" s="60"/>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56"/>
      <c r="BJ894" s="56"/>
      <c r="BK894" s="56"/>
      <c r="BL894" s="56"/>
      <c r="BM894" s="56"/>
      <c r="BN894" s="56"/>
      <c r="BO894" s="56"/>
      <c r="BP894" s="56"/>
      <c r="BQ894" s="56"/>
      <c r="BR894" s="56"/>
      <c r="BS894" s="56"/>
      <c r="BT894" s="56"/>
      <c r="BU894" s="56"/>
      <c r="BV894" s="56"/>
      <c r="BW894" s="56"/>
      <c r="BX894" s="56"/>
    </row>
    <row r="895">
      <c r="A895" s="48"/>
      <c r="B895" s="48"/>
      <c r="C895" s="48"/>
      <c r="D895" s="48"/>
      <c r="E895" s="48"/>
      <c r="F895" s="48"/>
      <c r="G895" s="48"/>
      <c r="H895" s="48"/>
      <c r="I895" s="48"/>
      <c r="J895" s="48"/>
      <c r="K895" s="64"/>
      <c r="L895" s="64"/>
      <c r="M895" s="48"/>
      <c r="N895" s="48"/>
      <c r="O895" s="48"/>
      <c r="P895" s="48"/>
      <c r="Q895" s="48"/>
      <c r="R895" s="48"/>
      <c r="S895" s="60"/>
      <c r="T895" s="48"/>
      <c r="U895" s="48"/>
      <c r="V895" s="48"/>
      <c r="W895" s="48"/>
      <c r="X895" s="48"/>
      <c r="Y895" s="48"/>
      <c r="Z895" s="48"/>
      <c r="AA895" s="48"/>
      <c r="AB895" s="48"/>
      <c r="AC895" s="48"/>
      <c r="AD895" s="48"/>
      <c r="AE895" s="48"/>
      <c r="AF895" s="60"/>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56"/>
      <c r="BJ895" s="56"/>
      <c r="BK895" s="56"/>
      <c r="BL895" s="56"/>
      <c r="BM895" s="56"/>
      <c r="BN895" s="56"/>
      <c r="BO895" s="56"/>
      <c r="BP895" s="56"/>
      <c r="BQ895" s="56"/>
      <c r="BR895" s="56"/>
      <c r="BS895" s="56"/>
      <c r="BT895" s="56"/>
      <c r="BU895" s="56"/>
      <c r="BV895" s="56"/>
      <c r="BW895" s="56"/>
      <c r="BX895" s="56"/>
    </row>
    <row r="896">
      <c r="A896" s="48"/>
      <c r="B896" s="48"/>
      <c r="C896" s="48"/>
      <c r="D896" s="48"/>
      <c r="E896" s="48"/>
      <c r="F896" s="48"/>
      <c r="G896" s="48"/>
      <c r="H896" s="48"/>
      <c r="I896" s="48"/>
      <c r="J896" s="48"/>
      <c r="K896" s="64"/>
      <c r="L896" s="64"/>
      <c r="M896" s="48"/>
      <c r="N896" s="48"/>
      <c r="O896" s="48"/>
      <c r="P896" s="48"/>
      <c r="Q896" s="48"/>
      <c r="R896" s="48"/>
      <c r="S896" s="60"/>
      <c r="T896" s="48"/>
      <c r="U896" s="48"/>
      <c r="V896" s="48"/>
      <c r="W896" s="48"/>
      <c r="X896" s="48"/>
      <c r="Y896" s="48"/>
      <c r="Z896" s="48"/>
      <c r="AA896" s="48"/>
      <c r="AB896" s="48"/>
      <c r="AC896" s="48"/>
      <c r="AD896" s="48"/>
      <c r="AE896" s="48"/>
      <c r="AF896" s="60"/>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56"/>
      <c r="BJ896" s="56"/>
      <c r="BK896" s="56"/>
      <c r="BL896" s="56"/>
      <c r="BM896" s="56"/>
      <c r="BN896" s="56"/>
      <c r="BO896" s="56"/>
      <c r="BP896" s="56"/>
      <c r="BQ896" s="56"/>
      <c r="BR896" s="56"/>
      <c r="BS896" s="56"/>
      <c r="BT896" s="56"/>
      <c r="BU896" s="56"/>
      <c r="BV896" s="56"/>
      <c r="BW896" s="56"/>
      <c r="BX896" s="56"/>
    </row>
    <row r="897">
      <c r="A897" s="48"/>
      <c r="B897" s="48"/>
      <c r="C897" s="48"/>
      <c r="D897" s="48"/>
      <c r="E897" s="48"/>
      <c r="F897" s="48"/>
      <c r="G897" s="48"/>
      <c r="H897" s="48"/>
      <c r="I897" s="48"/>
      <c r="J897" s="48"/>
      <c r="K897" s="64"/>
      <c r="L897" s="64"/>
      <c r="M897" s="48"/>
      <c r="N897" s="48"/>
      <c r="O897" s="48"/>
      <c r="P897" s="48"/>
      <c r="Q897" s="48"/>
      <c r="R897" s="48"/>
      <c r="S897" s="60"/>
      <c r="T897" s="48"/>
      <c r="U897" s="48"/>
      <c r="V897" s="48"/>
      <c r="W897" s="48"/>
      <c r="X897" s="48"/>
      <c r="Y897" s="48"/>
      <c r="Z897" s="48"/>
      <c r="AA897" s="48"/>
      <c r="AB897" s="48"/>
      <c r="AC897" s="48"/>
      <c r="AD897" s="48"/>
      <c r="AE897" s="48"/>
      <c r="AF897" s="60"/>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56"/>
      <c r="BJ897" s="56"/>
      <c r="BK897" s="56"/>
      <c r="BL897" s="56"/>
      <c r="BM897" s="56"/>
      <c r="BN897" s="56"/>
      <c r="BO897" s="56"/>
      <c r="BP897" s="56"/>
      <c r="BQ897" s="56"/>
      <c r="BR897" s="56"/>
      <c r="BS897" s="56"/>
      <c r="BT897" s="56"/>
      <c r="BU897" s="56"/>
      <c r="BV897" s="56"/>
      <c r="BW897" s="56"/>
      <c r="BX897" s="56"/>
    </row>
    <row r="898">
      <c r="A898" s="48"/>
      <c r="B898" s="48"/>
      <c r="C898" s="48"/>
      <c r="D898" s="48"/>
      <c r="E898" s="48"/>
      <c r="F898" s="48"/>
      <c r="G898" s="48"/>
      <c r="H898" s="48"/>
      <c r="I898" s="48"/>
      <c r="J898" s="48"/>
      <c r="K898" s="64"/>
      <c r="L898" s="64"/>
      <c r="M898" s="48"/>
      <c r="N898" s="48"/>
      <c r="O898" s="48"/>
      <c r="P898" s="48"/>
      <c r="Q898" s="48"/>
      <c r="R898" s="48"/>
      <c r="S898" s="60"/>
      <c r="T898" s="48"/>
      <c r="U898" s="48"/>
      <c r="V898" s="48"/>
      <c r="W898" s="48"/>
      <c r="X898" s="48"/>
      <c r="Y898" s="48"/>
      <c r="Z898" s="48"/>
      <c r="AA898" s="48"/>
      <c r="AB898" s="48"/>
      <c r="AC898" s="48"/>
      <c r="AD898" s="48"/>
      <c r="AE898" s="48"/>
      <c r="AF898" s="60"/>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56"/>
      <c r="BJ898" s="56"/>
      <c r="BK898" s="56"/>
      <c r="BL898" s="56"/>
      <c r="BM898" s="56"/>
      <c r="BN898" s="56"/>
      <c r="BO898" s="56"/>
      <c r="BP898" s="56"/>
      <c r="BQ898" s="56"/>
      <c r="BR898" s="56"/>
      <c r="BS898" s="56"/>
      <c r="BT898" s="56"/>
      <c r="BU898" s="56"/>
      <c r="BV898" s="56"/>
      <c r="BW898" s="56"/>
      <c r="BX898" s="56"/>
    </row>
    <row r="899">
      <c r="A899" s="48"/>
      <c r="B899" s="48"/>
      <c r="C899" s="48"/>
      <c r="D899" s="48"/>
      <c r="E899" s="48"/>
      <c r="F899" s="48"/>
      <c r="G899" s="48"/>
      <c r="H899" s="48"/>
      <c r="I899" s="48"/>
      <c r="J899" s="48"/>
      <c r="K899" s="64"/>
      <c r="L899" s="64"/>
      <c r="M899" s="48"/>
      <c r="N899" s="48"/>
      <c r="O899" s="48"/>
      <c r="P899" s="48"/>
      <c r="Q899" s="48"/>
      <c r="R899" s="48"/>
      <c r="S899" s="60"/>
      <c r="T899" s="48"/>
      <c r="U899" s="48"/>
      <c r="V899" s="48"/>
      <c r="W899" s="48"/>
      <c r="X899" s="48"/>
      <c r="Y899" s="48"/>
      <c r="Z899" s="48"/>
      <c r="AA899" s="48"/>
      <c r="AB899" s="48"/>
      <c r="AC899" s="48"/>
      <c r="AD899" s="48"/>
      <c r="AE899" s="48"/>
      <c r="AF899" s="60"/>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56"/>
      <c r="BJ899" s="56"/>
      <c r="BK899" s="56"/>
      <c r="BL899" s="56"/>
      <c r="BM899" s="56"/>
      <c r="BN899" s="56"/>
      <c r="BO899" s="56"/>
      <c r="BP899" s="56"/>
      <c r="BQ899" s="56"/>
      <c r="BR899" s="56"/>
      <c r="BS899" s="56"/>
      <c r="BT899" s="56"/>
      <c r="BU899" s="56"/>
      <c r="BV899" s="56"/>
      <c r="BW899" s="56"/>
      <c r="BX899" s="56"/>
    </row>
    <row r="900">
      <c r="A900" s="48"/>
      <c r="B900" s="48"/>
      <c r="C900" s="48"/>
      <c r="D900" s="48"/>
      <c r="E900" s="48"/>
      <c r="F900" s="48"/>
      <c r="G900" s="48"/>
      <c r="H900" s="48"/>
      <c r="I900" s="48"/>
      <c r="J900" s="48"/>
      <c r="K900" s="64"/>
      <c r="L900" s="64"/>
      <c r="M900" s="48"/>
      <c r="N900" s="48"/>
      <c r="O900" s="48"/>
      <c r="P900" s="48"/>
      <c r="Q900" s="48"/>
      <c r="R900" s="48"/>
      <c r="S900" s="60"/>
      <c r="T900" s="48"/>
      <c r="U900" s="48"/>
      <c r="V900" s="48"/>
      <c r="W900" s="48"/>
      <c r="X900" s="48"/>
      <c r="Y900" s="48"/>
      <c r="Z900" s="48"/>
      <c r="AA900" s="48"/>
      <c r="AB900" s="48"/>
      <c r="AC900" s="48"/>
      <c r="AD900" s="48"/>
      <c r="AE900" s="48"/>
      <c r="AF900" s="60"/>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56"/>
      <c r="BJ900" s="56"/>
      <c r="BK900" s="56"/>
      <c r="BL900" s="56"/>
      <c r="BM900" s="56"/>
      <c r="BN900" s="56"/>
      <c r="BO900" s="56"/>
      <c r="BP900" s="56"/>
      <c r="BQ900" s="56"/>
      <c r="BR900" s="56"/>
      <c r="BS900" s="56"/>
      <c r="BT900" s="56"/>
      <c r="BU900" s="56"/>
      <c r="BV900" s="56"/>
      <c r="BW900" s="56"/>
      <c r="BX900" s="56"/>
    </row>
    <row r="901">
      <c r="A901" s="48"/>
      <c r="B901" s="48"/>
      <c r="C901" s="48"/>
      <c r="D901" s="48"/>
      <c r="E901" s="48"/>
      <c r="F901" s="48"/>
      <c r="G901" s="48"/>
      <c r="H901" s="48"/>
      <c r="I901" s="48"/>
      <c r="J901" s="48"/>
      <c r="K901" s="64"/>
      <c r="L901" s="64"/>
      <c r="M901" s="48"/>
      <c r="N901" s="48"/>
      <c r="O901" s="48"/>
      <c r="P901" s="48"/>
      <c r="Q901" s="48"/>
      <c r="R901" s="48"/>
      <c r="S901" s="60"/>
      <c r="T901" s="48"/>
      <c r="U901" s="48"/>
      <c r="V901" s="48"/>
      <c r="W901" s="48"/>
      <c r="X901" s="48"/>
      <c r="Y901" s="48"/>
      <c r="Z901" s="48"/>
      <c r="AA901" s="48"/>
      <c r="AB901" s="48"/>
      <c r="AC901" s="48"/>
      <c r="AD901" s="48"/>
      <c r="AE901" s="48"/>
      <c r="AF901" s="60"/>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56"/>
      <c r="BJ901" s="56"/>
      <c r="BK901" s="56"/>
      <c r="BL901" s="56"/>
      <c r="BM901" s="56"/>
      <c r="BN901" s="56"/>
      <c r="BO901" s="56"/>
      <c r="BP901" s="56"/>
      <c r="BQ901" s="56"/>
      <c r="BR901" s="56"/>
      <c r="BS901" s="56"/>
      <c r="BT901" s="56"/>
      <c r="BU901" s="56"/>
      <c r="BV901" s="56"/>
      <c r="BW901" s="56"/>
      <c r="BX901" s="56"/>
    </row>
    <row r="902">
      <c r="A902" s="48"/>
      <c r="B902" s="48"/>
      <c r="C902" s="48"/>
      <c r="D902" s="48"/>
      <c r="E902" s="48"/>
      <c r="F902" s="48"/>
      <c r="G902" s="48"/>
      <c r="H902" s="48"/>
      <c r="I902" s="48"/>
      <c r="J902" s="48"/>
      <c r="K902" s="64"/>
      <c r="L902" s="64"/>
      <c r="M902" s="48"/>
      <c r="N902" s="48"/>
      <c r="O902" s="48"/>
      <c r="P902" s="48"/>
      <c r="Q902" s="48"/>
      <c r="R902" s="48"/>
      <c r="S902" s="60"/>
      <c r="T902" s="48"/>
      <c r="U902" s="48"/>
      <c r="V902" s="48"/>
      <c r="W902" s="48"/>
      <c r="X902" s="48"/>
      <c r="Y902" s="48"/>
      <c r="Z902" s="48"/>
      <c r="AA902" s="48"/>
      <c r="AB902" s="48"/>
      <c r="AC902" s="48"/>
      <c r="AD902" s="48"/>
      <c r="AE902" s="48"/>
      <c r="AF902" s="60"/>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56"/>
      <c r="BJ902" s="56"/>
      <c r="BK902" s="56"/>
      <c r="BL902" s="56"/>
      <c r="BM902" s="56"/>
      <c r="BN902" s="56"/>
      <c r="BO902" s="56"/>
      <c r="BP902" s="56"/>
      <c r="BQ902" s="56"/>
      <c r="BR902" s="56"/>
      <c r="BS902" s="56"/>
      <c r="BT902" s="56"/>
      <c r="BU902" s="56"/>
      <c r="BV902" s="56"/>
      <c r="BW902" s="56"/>
      <c r="BX902" s="56"/>
    </row>
    <row r="903">
      <c r="A903" s="48"/>
      <c r="B903" s="48"/>
      <c r="C903" s="48"/>
      <c r="D903" s="48"/>
      <c r="E903" s="48"/>
      <c r="F903" s="48"/>
      <c r="G903" s="48"/>
      <c r="H903" s="48"/>
      <c r="I903" s="48"/>
      <c r="J903" s="48"/>
      <c r="K903" s="64"/>
      <c r="L903" s="64"/>
      <c r="M903" s="48"/>
      <c r="N903" s="48"/>
      <c r="O903" s="48"/>
      <c r="P903" s="48"/>
      <c r="Q903" s="48"/>
      <c r="R903" s="48"/>
      <c r="S903" s="60"/>
      <c r="T903" s="48"/>
      <c r="U903" s="48"/>
      <c r="V903" s="48"/>
      <c r="W903" s="48"/>
      <c r="X903" s="48"/>
      <c r="Y903" s="48"/>
      <c r="Z903" s="48"/>
      <c r="AA903" s="48"/>
      <c r="AB903" s="48"/>
      <c r="AC903" s="48"/>
      <c r="AD903" s="48"/>
      <c r="AE903" s="48"/>
      <c r="AF903" s="60"/>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56"/>
      <c r="BJ903" s="56"/>
      <c r="BK903" s="56"/>
      <c r="BL903" s="56"/>
      <c r="BM903" s="56"/>
      <c r="BN903" s="56"/>
      <c r="BO903" s="56"/>
      <c r="BP903" s="56"/>
      <c r="BQ903" s="56"/>
      <c r="BR903" s="56"/>
      <c r="BS903" s="56"/>
      <c r="BT903" s="56"/>
      <c r="BU903" s="56"/>
      <c r="BV903" s="56"/>
      <c r="BW903" s="56"/>
      <c r="BX903" s="56"/>
    </row>
    <row r="904">
      <c r="A904" s="48"/>
      <c r="B904" s="48"/>
      <c r="C904" s="48"/>
      <c r="D904" s="48"/>
      <c r="E904" s="48"/>
      <c r="F904" s="48"/>
      <c r="G904" s="48"/>
      <c r="H904" s="48"/>
      <c r="I904" s="48"/>
      <c r="J904" s="48"/>
      <c r="K904" s="64"/>
      <c r="L904" s="64"/>
      <c r="M904" s="48"/>
      <c r="N904" s="48"/>
      <c r="O904" s="48"/>
      <c r="P904" s="48"/>
      <c r="Q904" s="48"/>
      <c r="R904" s="48"/>
      <c r="S904" s="60"/>
      <c r="T904" s="48"/>
      <c r="U904" s="48"/>
      <c r="V904" s="48"/>
      <c r="W904" s="48"/>
      <c r="X904" s="48"/>
      <c r="Y904" s="48"/>
      <c r="Z904" s="48"/>
      <c r="AA904" s="48"/>
      <c r="AB904" s="48"/>
      <c r="AC904" s="48"/>
      <c r="AD904" s="48"/>
      <c r="AE904" s="48"/>
      <c r="AF904" s="60"/>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56"/>
      <c r="BJ904" s="56"/>
      <c r="BK904" s="56"/>
      <c r="BL904" s="56"/>
      <c r="BM904" s="56"/>
      <c r="BN904" s="56"/>
      <c r="BO904" s="56"/>
      <c r="BP904" s="56"/>
      <c r="BQ904" s="56"/>
      <c r="BR904" s="56"/>
      <c r="BS904" s="56"/>
      <c r="BT904" s="56"/>
      <c r="BU904" s="56"/>
      <c r="BV904" s="56"/>
      <c r="BW904" s="56"/>
      <c r="BX904" s="56"/>
    </row>
    <row r="905">
      <c r="A905" s="48"/>
      <c r="B905" s="48"/>
      <c r="C905" s="48"/>
      <c r="D905" s="48"/>
      <c r="E905" s="48"/>
      <c r="F905" s="48"/>
      <c r="G905" s="48"/>
      <c r="H905" s="48"/>
      <c r="I905" s="48"/>
      <c r="J905" s="48"/>
      <c r="K905" s="64"/>
      <c r="L905" s="64"/>
      <c r="M905" s="48"/>
      <c r="N905" s="48"/>
      <c r="O905" s="48"/>
      <c r="P905" s="48"/>
      <c r="Q905" s="48"/>
      <c r="R905" s="48"/>
      <c r="S905" s="60"/>
      <c r="T905" s="48"/>
      <c r="U905" s="48"/>
      <c r="V905" s="48"/>
      <c r="W905" s="48"/>
      <c r="X905" s="48"/>
      <c r="Y905" s="48"/>
      <c r="Z905" s="48"/>
      <c r="AA905" s="48"/>
      <c r="AB905" s="48"/>
      <c r="AC905" s="48"/>
      <c r="AD905" s="48"/>
      <c r="AE905" s="48"/>
      <c r="AF905" s="60"/>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56"/>
      <c r="BJ905" s="56"/>
      <c r="BK905" s="56"/>
      <c r="BL905" s="56"/>
      <c r="BM905" s="56"/>
      <c r="BN905" s="56"/>
      <c r="BO905" s="56"/>
      <c r="BP905" s="56"/>
      <c r="BQ905" s="56"/>
      <c r="BR905" s="56"/>
      <c r="BS905" s="56"/>
      <c r="BT905" s="56"/>
      <c r="BU905" s="56"/>
      <c r="BV905" s="56"/>
      <c r="BW905" s="56"/>
      <c r="BX905" s="56"/>
    </row>
    <row r="906">
      <c r="A906" s="48"/>
      <c r="B906" s="48"/>
      <c r="C906" s="48"/>
      <c r="D906" s="48"/>
      <c r="E906" s="48"/>
      <c r="F906" s="48"/>
      <c r="G906" s="48"/>
      <c r="H906" s="48"/>
      <c r="I906" s="48"/>
      <c r="J906" s="48"/>
      <c r="K906" s="64"/>
      <c r="L906" s="64"/>
      <c r="M906" s="48"/>
      <c r="N906" s="48"/>
      <c r="O906" s="48"/>
      <c r="P906" s="48"/>
      <c r="Q906" s="48"/>
      <c r="R906" s="48"/>
      <c r="S906" s="60"/>
      <c r="T906" s="48"/>
      <c r="U906" s="48"/>
      <c r="V906" s="48"/>
      <c r="W906" s="48"/>
      <c r="X906" s="48"/>
      <c r="Y906" s="48"/>
      <c r="Z906" s="48"/>
      <c r="AA906" s="48"/>
      <c r="AB906" s="48"/>
      <c r="AC906" s="48"/>
      <c r="AD906" s="48"/>
      <c r="AE906" s="48"/>
      <c r="AF906" s="60"/>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56"/>
      <c r="BJ906" s="56"/>
      <c r="BK906" s="56"/>
      <c r="BL906" s="56"/>
      <c r="BM906" s="56"/>
      <c r="BN906" s="56"/>
      <c r="BO906" s="56"/>
      <c r="BP906" s="56"/>
      <c r="BQ906" s="56"/>
      <c r="BR906" s="56"/>
      <c r="BS906" s="56"/>
      <c r="BT906" s="56"/>
      <c r="BU906" s="56"/>
      <c r="BV906" s="56"/>
      <c r="BW906" s="56"/>
      <c r="BX906" s="56"/>
    </row>
    <row r="907">
      <c r="A907" s="48"/>
      <c r="B907" s="48"/>
      <c r="C907" s="48"/>
      <c r="D907" s="48"/>
      <c r="E907" s="48"/>
      <c r="F907" s="48"/>
      <c r="G907" s="48"/>
      <c r="H907" s="48"/>
      <c r="I907" s="48"/>
      <c r="J907" s="48"/>
      <c r="K907" s="64"/>
      <c r="L907" s="64"/>
      <c r="M907" s="48"/>
      <c r="N907" s="48"/>
      <c r="O907" s="48"/>
      <c r="P907" s="48"/>
      <c r="Q907" s="48"/>
      <c r="R907" s="48"/>
      <c r="S907" s="60"/>
      <c r="T907" s="48"/>
      <c r="U907" s="48"/>
      <c r="V907" s="48"/>
      <c r="W907" s="48"/>
      <c r="X907" s="48"/>
      <c r="Y907" s="48"/>
      <c r="Z907" s="48"/>
      <c r="AA907" s="48"/>
      <c r="AB907" s="48"/>
      <c r="AC907" s="48"/>
      <c r="AD907" s="48"/>
      <c r="AE907" s="48"/>
      <c r="AF907" s="60"/>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56"/>
      <c r="BJ907" s="56"/>
      <c r="BK907" s="56"/>
      <c r="BL907" s="56"/>
      <c r="BM907" s="56"/>
      <c r="BN907" s="56"/>
      <c r="BO907" s="56"/>
      <c r="BP907" s="56"/>
      <c r="BQ907" s="56"/>
      <c r="BR907" s="56"/>
      <c r="BS907" s="56"/>
      <c r="BT907" s="56"/>
      <c r="BU907" s="56"/>
      <c r="BV907" s="56"/>
      <c r="BW907" s="56"/>
      <c r="BX907" s="56"/>
    </row>
    <row r="908">
      <c r="A908" s="48"/>
      <c r="B908" s="48"/>
      <c r="C908" s="48"/>
      <c r="D908" s="48"/>
      <c r="E908" s="48"/>
      <c r="F908" s="48"/>
      <c r="G908" s="48"/>
      <c r="H908" s="48"/>
      <c r="I908" s="48"/>
      <c r="J908" s="48"/>
      <c r="K908" s="64"/>
      <c r="L908" s="64"/>
      <c r="M908" s="48"/>
      <c r="N908" s="48"/>
      <c r="O908" s="48"/>
      <c r="P908" s="48"/>
      <c r="Q908" s="48"/>
      <c r="R908" s="48"/>
      <c r="S908" s="60"/>
      <c r="T908" s="48"/>
      <c r="U908" s="48"/>
      <c r="V908" s="48"/>
      <c r="W908" s="48"/>
      <c r="X908" s="48"/>
      <c r="Y908" s="48"/>
      <c r="Z908" s="48"/>
      <c r="AA908" s="48"/>
      <c r="AB908" s="48"/>
      <c r="AC908" s="48"/>
      <c r="AD908" s="48"/>
      <c r="AE908" s="48"/>
      <c r="AF908" s="60"/>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56"/>
      <c r="BJ908" s="56"/>
      <c r="BK908" s="56"/>
      <c r="BL908" s="56"/>
      <c r="BM908" s="56"/>
      <c r="BN908" s="56"/>
      <c r="BO908" s="56"/>
      <c r="BP908" s="56"/>
      <c r="BQ908" s="56"/>
      <c r="BR908" s="56"/>
      <c r="BS908" s="56"/>
      <c r="BT908" s="56"/>
      <c r="BU908" s="56"/>
      <c r="BV908" s="56"/>
      <c r="BW908" s="56"/>
      <c r="BX908" s="56"/>
    </row>
    <row r="909">
      <c r="A909" s="48"/>
      <c r="B909" s="48"/>
      <c r="C909" s="48"/>
      <c r="D909" s="48"/>
      <c r="E909" s="48"/>
      <c r="F909" s="48"/>
      <c r="G909" s="48"/>
      <c r="H909" s="48"/>
      <c r="I909" s="48"/>
      <c r="J909" s="48"/>
      <c r="K909" s="64"/>
      <c r="L909" s="64"/>
      <c r="M909" s="48"/>
      <c r="N909" s="48"/>
      <c r="O909" s="48"/>
      <c r="P909" s="48"/>
      <c r="Q909" s="48"/>
      <c r="R909" s="48"/>
      <c r="S909" s="60"/>
      <c r="T909" s="48"/>
      <c r="U909" s="48"/>
      <c r="V909" s="48"/>
      <c r="W909" s="48"/>
      <c r="X909" s="48"/>
      <c r="Y909" s="48"/>
      <c r="Z909" s="48"/>
      <c r="AA909" s="48"/>
      <c r="AB909" s="48"/>
      <c r="AC909" s="48"/>
      <c r="AD909" s="48"/>
      <c r="AE909" s="48"/>
      <c r="AF909" s="60"/>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56"/>
      <c r="BJ909" s="56"/>
      <c r="BK909" s="56"/>
      <c r="BL909" s="56"/>
      <c r="BM909" s="56"/>
      <c r="BN909" s="56"/>
      <c r="BO909" s="56"/>
      <c r="BP909" s="56"/>
      <c r="BQ909" s="56"/>
      <c r="BR909" s="56"/>
      <c r="BS909" s="56"/>
      <c r="BT909" s="56"/>
      <c r="BU909" s="56"/>
      <c r="BV909" s="56"/>
      <c r="BW909" s="56"/>
      <c r="BX909" s="56"/>
    </row>
    <row r="910">
      <c r="A910" s="48"/>
      <c r="B910" s="48"/>
      <c r="C910" s="48"/>
      <c r="D910" s="48"/>
      <c r="E910" s="48"/>
      <c r="F910" s="48"/>
      <c r="G910" s="48"/>
      <c r="H910" s="48"/>
      <c r="I910" s="48"/>
      <c r="J910" s="48"/>
      <c r="K910" s="64"/>
      <c r="L910" s="64"/>
      <c r="M910" s="48"/>
      <c r="N910" s="48"/>
      <c r="O910" s="48"/>
      <c r="P910" s="48"/>
      <c r="Q910" s="48"/>
      <c r="R910" s="48"/>
      <c r="S910" s="60"/>
      <c r="T910" s="48"/>
      <c r="U910" s="48"/>
      <c r="V910" s="48"/>
      <c r="W910" s="48"/>
      <c r="X910" s="48"/>
      <c r="Y910" s="48"/>
      <c r="Z910" s="48"/>
      <c r="AA910" s="48"/>
      <c r="AB910" s="48"/>
      <c r="AC910" s="48"/>
      <c r="AD910" s="48"/>
      <c r="AE910" s="48"/>
      <c r="AF910" s="60"/>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56"/>
      <c r="BJ910" s="56"/>
      <c r="BK910" s="56"/>
      <c r="BL910" s="56"/>
      <c r="BM910" s="56"/>
      <c r="BN910" s="56"/>
      <c r="BO910" s="56"/>
      <c r="BP910" s="56"/>
      <c r="BQ910" s="56"/>
      <c r="BR910" s="56"/>
      <c r="BS910" s="56"/>
      <c r="BT910" s="56"/>
      <c r="BU910" s="56"/>
      <c r="BV910" s="56"/>
      <c r="BW910" s="56"/>
      <c r="BX910" s="56"/>
    </row>
    <row r="911">
      <c r="A911" s="48"/>
      <c r="B911" s="48"/>
      <c r="C911" s="48"/>
      <c r="D911" s="48"/>
      <c r="E911" s="48"/>
      <c r="F911" s="48"/>
      <c r="G911" s="48"/>
      <c r="H911" s="48"/>
      <c r="I911" s="48"/>
      <c r="J911" s="48"/>
      <c r="K911" s="64"/>
      <c r="L911" s="64"/>
      <c r="M911" s="48"/>
      <c r="N911" s="48"/>
      <c r="O911" s="48"/>
      <c r="P911" s="48"/>
      <c r="Q911" s="48"/>
      <c r="R911" s="48"/>
      <c r="S911" s="60"/>
      <c r="T911" s="48"/>
      <c r="U911" s="48"/>
      <c r="V911" s="48"/>
      <c r="W911" s="48"/>
      <c r="X911" s="48"/>
      <c r="Y911" s="48"/>
      <c r="Z911" s="48"/>
      <c r="AA911" s="48"/>
      <c r="AB911" s="48"/>
      <c r="AC911" s="48"/>
      <c r="AD911" s="48"/>
      <c r="AE911" s="48"/>
      <c r="AF911" s="60"/>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56"/>
      <c r="BJ911" s="56"/>
      <c r="BK911" s="56"/>
      <c r="BL911" s="56"/>
      <c r="BM911" s="56"/>
      <c r="BN911" s="56"/>
      <c r="BO911" s="56"/>
      <c r="BP911" s="56"/>
      <c r="BQ911" s="56"/>
      <c r="BR911" s="56"/>
      <c r="BS911" s="56"/>
      <c r="BT911" s="56"/>
      <c r="BU911" s="56"/>
      <c r="BV911" s="56"/>
      <c r="BW911" s="56"/>
      <c r="BX911" s="56"/>
    </row>
    <row r="912">
      <c r="A912" s="48"/>
      <c r="B912" s="48"/>
      <c r="C912" s="48"/>
      <c r="D912" s="48"/>
      <c r="E912" s="48"/>
      <c r="F912" s="48"/>
      <c r="G912" s="48"/>
      <c r="H912" s="48"/>
      <c r="I912" s="48"/>
      <c r="J912" s="48"/>
      <c r="K912" s="64"/>
      <c r="L912" s="64"/>
      <c r="M912" s="48"/>
      <c r="N912" s="48"/>
      <c r="O912" s="48"/>
      <c r="P912" s="48"/>
      <c r="Q912" s="48"/>
      <c r="R912" s="48"/>
      <c r="S912" s="60"/>
      <c r="T912" s="48"/>
      <c r="U912" s="48"/>
      <c r="V912" s="48"/>
      <c r="W912" s="48"/>
      <c r="X912" s="48"/>
      <c r="Y912" s="48"/>
      <c r="Z912" s="48"/>
      <c r="AA912" s="48"/>
      <c r="AB912" s="48"/>
      <c r="AC912" s="48"/>
      <c r="AD912" s="48"/>
      <c r="AE912" s="48"/>
      <c r="AF912" s="60"/>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56"/>
      <c r="BJ912" s="56"/>
      <c r="BK912" s="56"/>
      <c r="BL912" s="56"/>
      <c r="BM912" s="56"/>
      <c r="BN912" s="56"/>
      <c r="BO912" s="56"/>
      <c r="BP912" s="56"/>
      <c r="BQ912" s="56"/>
      <c r="BR912" s="56"/>
      <c r="BS912" s="56"/>
      <c r="BT912" s="56"/>
      <c r="BU912" s="56"/>
      <c r="BV912" s="56"/>
      <c r="BW912" s="56"/>
      <c r="BX912" s="56"/>
    </row>
    <row r="913">
      <c r="A913" s="48"/>
      <c r="B913" s="48"/>
      <c r="C913" s="48"/>
      <c r="D913" s="48"/>
      <c r="E913" s="48"/>
      <c r="F913" s="48"/>
      <c r="G913" s="48"/>
      <c r="H913" s="48"/>
      <c r="I913" s="48"/>
      <c r="J913" s="48"/>
      <c r="K913" s="64"/>
      <c r="L913" s="64"/>
      <c r="M913" s="48"/>
      <c r="N913" s="48"/>
      <c r="O913" s="48"/>
      <c r="P913" s="48"/>
      <c r="Q913" s="48"/>
      <c r="R913" s="48"/>
      <c r="S913" s="60"/>
      <c r="T913" s="48"/>
      <c r="U913" s="48"/>
      <c r="V913" s="48"/>
      <c r="W913" s="48"/>
      <c r="X913" s="48"/>
      <c r="Y913" s="48"/>
      <c r="Z913" s="48"/>
      <c r="AA913" s="48"/>
      <c r="AB913" s="48"/>
      <c r="AC913" s="48"/>
      <c r="AD913" s="48"/>
      <c r="AE913" s="48"/>
      <c r="AF913" s="60"/>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56"/>
      <c r="BJ913" s="56"/>
      <c r="BK913" s="56"/>
      <c r="BL913" s="56"/>
      <c r="BM913" s="56"/>
      <c r="BN913" s="56"/>
      <c r="BO913" s="56"/>
      <c r="BP913" s="56"/>
      <c r="BQ913" s="56"/>
      <c r="BR913" s="56"/>
      <c r="BS913" s="56"/>
      <c r="BT913" s="56"/>
      <c r="BU913" s="56"/>
      <c r="BV913" s="56"/>
      <c r="BW913" s="56"/>
      <c r="BX913" s="56"/>
    </row>
    <row r="914">
      <c r="A914" s="48"/>
      <c r="B914" s="48"/>
      <c r="C914" s="48"/>
      <c r="D914" s="48"/>
      <c r="E914" s="48"/>
      <c r="F914" s="48"/>
      <c r="G914" s="48"/>
      <c r="H914" s="48"/>
      <c r="I914" s="48"/>
      <c r="J914" s="48"/>
      <c r="K914" s="64"/>
      <c r="L914" s="64"/>
      <c r="M914" s="48"/>
      <c r="N914" s="48"/>
      <c r="O914" s="48"/>
      <c r="P914" s="48"/>
      <c r="Q914" s="48"/>
      <c r="R914" s="48"/>
      <c r="S914" s="60"/>
      <c r="T914" s="48"/>
      <c r="U914" s="48"/>
      <c r="V914" s="48"/>
      <c r="W914" s="48"/>
      <c r="X914" s="48"/>
      <c r="Y914" s="48"/>
      <c r="Z914" s="48"/>
      <c r="AA914" s="48"/>
      <c r="AB914" s="48"/>
      <c r="AC914" s="48"/>
      <c r="AD914" s="48"/>
      <c r="AE914" s="48"/>
      <c r="AF914" s="60"/>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56"/>
      <c r="BJ914" s="56"/>
      <c r="BK914" s="56"/>
      <c r="BL914" s="56"/>
      <c r="BM914" s="56"/>
      <c r="BN914" s="56"/>
      <c r="BO914" s="56"/>
      <c r="BP914" s="56"/>
      <c r="BQ914" s="56"/>
      <c r="BR914" s="56"/>
      <c r="BS914" s="56"/>
      <c r="BT914" s="56"/>
      <c r="BU914" s="56"/>
      <c r="BV914" s="56"/>
      <c r="BW914" s="56"/>
      <c r="BX914" s="56"/>
    </row>
    <row r="915">
      <c r="A915" s="48"/>
      <c r="B915" s="48"/>
      <c r="C915" s="48"/>
      <c r="D915" s="48"/>
      <c r="E915" s="48"/>
      <c r="F915" s="48"/>
      <c r="G915" s="48"/>
      <c r="H915" s="48"/>
      <c r="I915" s="48"/>
      <c r="J915" s="48"/>
      <c r="K915" s="64"/>
      <c r="L915" s="64"/>
      <c r="M915" s="48"/>
      <c r="N915" s="48"/>
      <c r="O915" s="48"/>
      <c r="P915" s="48"/>
      <c r="Q915" s="48"/>
      <c r="R915" s="48"/>
      <c r="S915" s="60"/>
      <c r="T915" s="48"/>
      <c r="U915" s="48"/>
      <c r="V915" s="48"/>
      <c r="W915" s="48"/>
      <c r="X915" s="48"/>
      <c r="Y915" s="48"/>
      <c r="Z915" s="48"/>
      <c r="AA915" s="48"/>
      <c r="AB915" s="48"/>
      <c r="AC915" s="48"/>
      <c r="AD915" s="48"/>
      <c r="AE915" s="48"/>
      <c r="AF915" s="60"/>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56"/>
      <c r="BJ915" s="56"/>
      <c r="BK915" s="56"/>
      <c r="BL915" s="56"/>
      <c r="BM915" s="56"/>
      <c r="BN915" s="56"/>
      <c r="BO915" s="56"/>
      <c r="BP915" s="56"/>
      <c r="BQ915" s="56"/>
      <c r="BR915" s="56"/>
      <c r="BS915" s="56"/>
      <c r="BT915" s="56"/>
      <c r="BU915" s="56"/>
      <c r="BV915" s="56"/>
      <c r="BW915" s="56"/>
      <c r="BX915" s="56"/>
    </row>
    <row r="916">
      <c r="A916" s="48"/>
      <c r="B916" s="48"/>
      <c r="C916" s="48"/>
      <c r="D916" s="48"/>
      <c r="E916" s="48"/>
      <c r="F916" s="48"/>
      <c r="G916" s="48"/>
      <c r="H916" s="48"/>
      <c r="I916" s="48"/>
      <c r="J916" s="48"/>
      <c r="K916" s="64"/>
      <c r="L916" s="64"/>
      <c r="M916" s="48"/>
      <c r="N916" s="48"/>
      <c r="O916" s="48"/>
      <c r="P916" s="48"/>
      <c r="Q916" s="48"/>
      <c r="R916" s="48"/>
      <c r="S916" s="60"/>
      <c r="T916" s="48"/>
      <c r="U916" s="48"/>
      <c r="V916" s="48"/>
      <c r="W916" s="48"/>
      <c r="X916" s="48"/>
      <c r="Y916" s="48"/>
      <c r="Z916" s="48"/>
      <c r="AA916" s="48"/>
      <c r="AB916" s="48"/>
      <c r="AC916" s="48"/>
      <c r="AD916" s="48"/>
      <c r="AE916" s="48"/>
      <c r="AF916" s="60"/>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56"/>
      <c r="BJ916" s="56"/>
      <c r="BK916" s="56"/>
      <c r="BL916" s="56"/>
      <c r="BM916" s="56"/>
      <c r="BN916" s="56"/>
      <c r="BO916" s="56"/>
      <c r="BP916" s="56"/>
      <c r="BQ916" s="56"/>
      <c r="BR916" s="56"/>
      <c r="BS916" s="56"/>
      <c r="BT916" s="56"/>
      <c r="BU916" s="56"/>
      <c r="BV916" s="56"/>
      <c r="BW916" s="56"/>
      <c r="BX916" s="56"/>
    </row>
    <row r="917">
      <c r="A917" s="48"/>
      <c r="B917" s="48"/>
      <c r="C917" s="48"/>
      <c r="D917" s="48"/>
      <c r="E917" s="48"/>
      <c r="F917" s="48"/>
      <c r="G917" s="48"/>
      <c r="H917" s="48"/>
      <c r="I917" s="48"/>
      <c r="J917" s="48"/>
      <c r="K917" s="64"/>
      <c r="L917" s="64"/>
      <c r="M917" s="48"/>
      <c r="N917" s="48"/>
      <c r="O917" s="48"/>
      <c r="P917" s="48"/>
      <c r="Q917" s="48"/>
      <c r="R917" s="48"/>
      <c r="S917" s="60"/>
      <c r="T917" s="48"/>
      <c r="U917" s="48"/>
      <c r="V917" s="48"/>
      <c r="W917" s="48"/>
      <c r="X917" s="48"/>
      <c r="Y917" s="48"/>
      <c r="Z917" s="48"/>
      <c r="AA917" s="48"/>
      <c r="AB917" s="48"/>
      <c r="AC917" s="48"/>
      <c r="AD917" s="48"/>
      <c r="AE917" s="48"/>
      <c r="AF917" s="60"/>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56"/>
      <c r="BJ917" s="56"/>
      <c r="BK917" s="56"/>
      <c r="BL917" s="56"/>
      <c r="BM917" s="56"/>
      <c r="BN917" s="56"/>
      <c r="BO917" s="56"/>
      <c r="BP917" s="56"/>
      <c r="BQ917" s="56"/>
      <c r="BR917" s="56"/>
      <c r="BS917" s="56"/>
      <c r="BT917" s="56"/>
      <c r="BU917" s="56"/>
      <c r="BV917" s="56"/>
      <c r="BW917" s="56"/>
      <c r="BX917" s="56"/>
    </row>
    <row r="918">
      <c r="A918" s="48"/>
      <c r="B918" s="48"/>
      <c r="C918" s="48"/>
      <c r="D918" s="48"/>
      <c r="E918" s="48"/>
      <c r="F918" s="48"/>
      <c r="G918" s="48"/>
      <c r="H918" s="48"/>
      <c r="I918" s="48"/>
      <c r="J918" s="48"/>
      <c r="K918" s="64"/>
      <c r="L918" s="64"/>
      <c r="M918" s="48"/>
      <c r="N918" s="48"/>
      <c r="O918" s="48"/>
      <c r="P918" s="48"/>
      <c r="Q918" s="48"/>
      <c r="R918" s="48"/>
      <c r="S918" s="60"/>
      <c r="T918" s="48"/>
      <c r="U918" s="48"/>
      <c r="V918" s="48"/>
      <c r="W918" s="48"/>
      <c r="X918" s="48"/>
      <c r="Y918" s="48"/>
      <c r="Z918" s="48"/>
      <c r="AA918" s="48"/>
      <c r="AB918" s="48"/>
      <c r="AC918" s="48"/>
      <c r="AD918" s="48"/>
      <c r="AE918" s="48"/>
      <c r="AF918" s="60"/>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56"/>
      <c r="BJ918" s="56"/>
      <c r="BK918" s="56"/>
      <c r="BL918" s="56"/>
      <c r="BM918" s="56"/>
      <c r="BN918" s="56"/>
      <c r="BO918" s="56"/>
      <c r="BP918" s="56"/>
      <c r="BQ918" s="56"/>
      <c r="BR918" s="56"/>
      <c r="BS918" s="56"/>
      <c r="BT918" s="56"/>
      <c r="BU918" s="56"/>
      <c r="BV918" s="56"/>
      <c r="BW918" s="56"/>
      <c r="BX918" s="56"/>
    </row>
    <row r="919">
      <c r="A919" s="48"/>
      <c r="B919" s="48"/>
      <c r="C919" s="48"/>
      <c r="D919" s="48"/>
      <c r="E919" s="48"/>
      <c r="F919" s="48"/>
      <c r="G919" s="48"/>
      <c r="H919" s="48"/>
      <c r="I919" s="48"/>
      <c r="J919" s="48"/>
      <c r="K919" s="64"/>
      <c r="L919" s="64"/>
      <c r="M919" s="48"/>
      <c r="N919" s="48"/>
      <c r="O919" s="48"/>
      <c r="P919" s="48"/>
      <c r="Q919" s="48"/>
      <c r="R919" s="48"/>
      <c r="S919" s="60"/>
      <c r="T919" s="48"/>
      <c r="U919" s="48"/>
      <c r="V919" s="48"/>
      <c r="W919" s="48"/>
      <c r="X919" s="48"/>
      <c r="Y919" s="48"/>
      <c r="Z919" s="48"/>
      <c r="AA919" s="48"/>
      <c r="AB919" s="48"/>
      <c r="AC919" s="48"/>
      <c r="AD919" s="48"/>
      <c r="AE919" s="48"/>
      <c r="AF919" s="60"/>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56"/>
      <c r="BJ919" s="56"/>
      <c r="BK919" s="56"/>
      <c r="BL919" s="56"/>
      <c r="BM919" s="56"/>
      <c r="BN919" s="56"/>
      <c r="BO919" s="56"/>
      <c r="BP919" s="56"/>
      <c r="BQ919" s="56"/>
      <c r="BR919" s="56"/>
      <c r="BS919" s="56"/>
      <c r="BT919" s="56"/>
      <c r="BU919" s="56"/>
      <c r="BV919" s="56"/>
      <c r="BW919" s="56"/>
      <c r="BX919" s="56"/>
    </row>
    <row r="920">
      <c r="A920" s="48"/>
      <c r="B920" s="48"/>
      <c r="C920" s="48"/>
      <c r="D920" s="48"/>
      <c r="E920" s="48"/>
      <c r="F920" s="48"/>
      <c r="G920" s="48"/>
      <c r="H920" s="48"/>
      <c r="I920" s="48"/>
      <c r="J920" s="48"/>
      <c r="K920" s="64"/>
      <c r="L920" s="64"/>
      <c r="M920" s="48"/>
      <c r="N920" s="48"/>
      <c r="O920" s="48"/>
      <c r="P920" s="48"/>
      <c r="Q920" s="48"/>
      <c r="R920" s="48"/>
      <c r="S920" s="60"/>
      <c r="T920" s="48"/>
      <c r="U920" s="48"/>
      <c r="V920" s="48"/>
      <c r="W920" s="48"/>
      <c r="X920" s="48"/>
      <c r="Y920" s="48"/>
      <c r="Z920" s="48"/>
      <c r="AA920" s="48"/>
      <c r="AB920" s="48"/>
      <c r="AC920" s="48"/>
      <c r="AD920" s="48"/>
      <c r="AE920" s="48"/>
      <c r="AF920" s="60"/>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56"/>
      <c r="BJ920" s="56"/>
      <c r="BK920" s="56"/>
      <c r="BL920" s="56"/>
      <c r="BM920" s="56"/>
      <c r="BN920" s="56"/>
      <c r="BO920" s="56"/>
      <c r="BP920" s="56"/>
      <c r="BQ920" s="56"/>
      <c r="BR920" s="56"/>
      <c r="BS920" s="56"/>
      <c r="BT920" s="56"/>
      <c r="BU920" s="56"/>
      <c r="BV920" s="56"/>
      <c r="BW920" s="56"/>
      <c r="BX920" s="56"/>
    </row>
    <row r="921">
      <c r="A921" s="48"/>
      <c r="B921" s="48"/>
      <c r="C921" s="48"/>
      <c r="D921" s="48"/>
      <c r="E921" s="48"/>
      <c r="F921" s="48"/>
      <c r="G921" s="48"/>
      <c r="H921" s="48"/>
      <c r="I921" s="48"/>
      <c r="J921" s="48"/>
      <c r="K921" s="64"/>
      <c r="L921" s="64"/>
      <c r="M921" s="48"/>
      <c r="N921" s="48"/>
      <c r="O921" s="48"/>
      <c r="P921" s="48"/>
      <c r="Q921" s="48"/>
      <c r="R921" s="48"/>
      <c r="S921" s="60"/>
      <c r="T921" s="48"/>
      <c r="U921" s="48"/>
      <c r="V921" s="48"/>
      <c r="W921" s="48"/>
      <c r="X921" s="48"/>
      <c r="Y921" s="48"/>
      <c r="Z921" s="48"/>
      <c r="AA921" s="48"/>
      <c r="AB921" s="48"/>
      <c r="AC921" s="48"/>
      <c r="AD921" s="48"/>
      <c r="AE921" s="48"/>
      <c r="AF921" s="60"/>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56"/>
      <c r="BJ921" s="56"/>
      <c r="BK921" s="56"/>
      <c r="BL921" s="56"/>
      <c r="BM921" s="56"/>
      <c r="BN921" s="56"/>
      <c r="BO921" s="56"/>
      <c r="BP921" s="56"/>
      <c r="BQ921" s="56"/>
      <c r="BR921" s="56"/>
      <c r="BS921" s="56"/>
      <c r="BT921" s="56"/>
      <c r="BU921" s="56"/>
      <c r="BV921" s="56"/>
      <c r="BW921" s="56"/>
      <c r="BX921" s="56"/>
    </row>
    <row r="922">
      <c r="A922" s="48"/>
      <c r="B922" s="48"/>
      <c r="C922" s="48"/>
      <c r="D922" s="48"/>
      <c r="E922" s="48"/>
      <c r="F922" s="48"/>
      <c r="G922" s="48"/>
      <c r="H922" s="48"/>
      <c r="I922" s="48"/>
      <c r="J922" s="48"/>
      <c r="K922" s="64"/>
      <c r="L922" s="64"/>
      <c r="M922" s="48"/>
      <c r="N922" s="48"/>
      <c r="O922" s="48"/>
      <c r="P922" s="48"/>
      <c r="Q922" s="48"/>
      <c r="R922" s="48"/>
      <c r="S922" s="60"/>
      <c r="T922" s="48"/>
      <c r="U922" s="48"/>
      <c r="V922" s="48"/>
      <c r="W922" s="48"/>
      <c r="X922" s="48"/>
      <c r="Y922" s="48"/>
      <c r="Z922" s="48"/>
      <c r="AA922" s="48"/>
      <c r="AB922" s="48"/>
      <c r="AC922" s="48"/>
      <c r="AD922" s="48"/>
      <c r="AE922" s="48"/>
      <c r="AF922" s="60"/>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56"/>
      <c r="BJ922" s="56"/>
      <c r="BK922" s="56"/>
      <c r="BL922" s="56"/>
      <c r="BM922" s="56"/>
      <c r="BN922" s="56"/>
      <c r="BO922" s="56"/>
      <c r="BP922" s="56"/>
      <c r="BQ922" s="56"/>
      <c r="BR922" s="56"/>
      <c r="BS922" s="56"/>
      <c r="BT922" s="56"/>
      <c r="BU922" s="56"/>
      <c r="BV922" s="56"/>
      <c r="BW922" s="56"/>
      <c r="BX922" s="56"/>
    </row>
    <row r="923">
      <c r="A923" s="48"/>
      <c r="B923" s="48"/>
      <c r="C923" s="48"/>
      <c r="D923" s="48"/>
      <c r="E923" s="48"/>
      <c r="F923" s="48"/>
      <c r="G923" s="48"/>
      <c r="H923" s="48"/>
      <c r="I923" s="48"/>
      <c r="J923" s="48"/>
      <c r="K923" s="64"/>
      <c r="L923" s="64"/>
      <c r="M923" s="48"/>
      <c r="N923" s="48"/>
      <c r="O923" s="48"/>
      <c r="P923" s="48"/>
      <c r="Q923" s="48"/>
      <c r="R923" s="48"/>
      <c r="S923" s="60"/>
      <c r="T923" s="48"/>
      <c r="U923" s="48"/>
      <c r="V923" s="48"/>
      <c r="W923" s="48"/>
      <c r="X923" s="48"/>
      <c r="Y923" s="48"/>
      <c r="Z923" s="48"/>
      <c r="AA923" s="48"/>
      <c r="AB923" s="48"/>
      <c r="AC923" s="48"/>
      <c r="AD923" s="48"/>
      <c r="AE923" s="48"/>
      <c r="AF923" s="60"/>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56"/>
      <c r="BJ923" s="56"/>
      <c r="BK923" s="56"/>
      <c r="BL923" s="56"/>
      <c r="BM923" s="56"/>
      <c r="BN923" s="56"/>
      <c r="BO923" s="56"/>
      <c r="BP923" s="56"/>
      <c r="BQ923" s="56"/>
      <c r="BR923" s="56"/>
      <c r="BS923" s="56"/>
      <c r="BT923" s="56"/>
      <c r="BU923" s="56"/>
      <c r="BV923" s="56"/>
      <c r="BW923" s="56"/>
      <c r="BX923" s="56"/>
    </row>
    <row r="924">
      <c r="A924" s="48"/>
      <c r="B924" s="48"/>
      <c r="C924" s="48"/>
      <c r="D924" s="48"/>
      <c r="E924" s="48"/>
      <c r="F924" s="48"/>
      <c r="G924" s="48"/>
      <c r="H924" s="48"/>
      <c r="I924" s="48"/>
      <c r="J924" s="48"/>
      <c r="K924" s="64"/>
      <c r="L924" s="64"/>
      <c r="M924" s="48"/>
      <c r="N924" s="48"/>
      <c r="O924" s="48"/>
      <c r="P924" s="48"/>
      <c r="Q924" s="48"/>
      <c r="R924" s="48"/>
      <c r="S924" s="60"/>
      <c r="T924" s="48"/>
      <c r="U924" s="48"/>
      <c r="V924" s="48"/>
      <c r="W924" s="48"/>
      <c r="X924" s="48"/>
      <c r="Y924" s="48"/>
      <c r="Z924" s="48"/>
      <c r="AA924" s="48"/>
      <c r="AB924" s="48"/>
      <c r="AC924" s="48"/>
      <c r="AD924" s="48"/>
      <c r="AE924" s="48"/>
      <c r="AF924" s="60"/>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56"/>
      <c r="BJ924" s="56"/>
      <c r="BK924" s="56"/>
      <c r="BL924" s="56"/>
      <c r="BM924" s="56"/>
      <c r="BN924" s="56"/>
      <c r="BO924" s="56"/>
      <c r="BP924" s="56"/>
      <c r="BQ924" s="56"/>
      <c r="BR924" s="56"/>
      <c r="BS924" s="56"/>
      <c r="BT924" s="56"/>
      <c r="BU924" s="56"/>
      <c r="BV924" s="56"/>
      <c r="BW924" s="56"/>
      <c r="BX924" s="56"/>
    </row>
    <row r="925">
      <c r="A925" s="48"/>
      <c r="B925" s="48"/>
      <c r="C925" s="48"/>
      <c r="D925" s="48"/>
      <c r="E925" s="48"/>
      <c r="F925" s="48"/>
      <c r="G925" s="48"/>
      <c r="H925" s="48"/>
      <c r="I925" s="48"/>
      <c r="J925" s="48"/>
      <c r="K925" s="64"/>
      <c r="L925" s="64"/>
      <c r="M925" s="48"/>
      <c r="N925" s="48"/>
      <c r="O925" s="48"/>
      <c r="P925" s="48"/>
      <c r="Q925" s="48"/>
      <c r="R925" s="48"/>
      <c r="S925" s="60"/>
      <c r="T925" s="48"/>
      <c r="U925" s="48"/>
      <c r="V925" s="48"/>
      <c r="W925" s="48"/>
      <c r="X925" s="48"/>
      <c r="Y925" s="48"/>
      <c r="Z925" s="48"/>
      <c r="AA925" s="48"/>
      <c r="AB925" s="48"/>
      <c r="AC925" s="48"/>
      <c r="AD925" s="48"/>
      <c r="AE925" s="48"/>
      <c r="AF925" s="60"/>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56"/>
      <c r="BJ925" s="56"/>
      <c r="BK925" s="56"/>
      <c r="BL925" s="56"/>
      <c r="BM925" s="56"/>
      <c r="BN925" s="56"/>
      <c r="BO925" s="56"/>
      <c r="BP925" s="56"/>
      <c r="BQ925" s="56"/>
      <c r="BR925" s="56"/>
      <c r="BS925" s="56"/>
      <c r="BT925" s="56"/>
      <c r="BU925" s="56"/>
      <c r="BV925" s="56"/>
      <c r="BW925" s="56"/>
      <c r="BX925" s="56"/>
    </row>
    <row r="926">
      <c r="A926" s="48"/>
      <c r="B926" s="48"/>
      <c r="C926" s="48"/>
      <c r="D926" s="48"/>
      <c r="E926" s="48"/>
      <c r="F926" s="48"/>
      <c r="G926" s="48"/>
      <c r="H926" s="48"/>
      <c r="I926" s="48"/>
      <c r="J926" s="48"/>
      <c r="K926" s="64"/>
      <c r="L926" s="64"/>
      <c r="M926" s="48"/>
      <c r="N926" s="48"/>
      <c r="O926" s="48"/>
      <c r="P926" s="48"/>
      <c r="Q926" s="48"/>
      <c r="R926" s="48"/>
      <c r="S926" s="60"/>
      <c r="T926" s="48"/>
      <c r="U926" s="48"/>
      <c r="V926" s="48"/>
      <c r="W926" s="48"/>
      <c r="X926" s="48"/>
      <c r="Y926" s="48"/>
      <c r="Z926" s="48"/>
      <c r="AA926" s="48"/>
      <c r="AB926" s="48"/>
      <c r="AC926" s="48"/>
      <c r="AD926" s="48"/>
      <c r="AE926" s="48"/>
      <c r="AF926" s="60"/>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56"/>
      <c r="BJ926" s="56"/>
      <c r="BK926" s="56"/>
      <c r="BL926" s="56"/>
      <c r="BM926" s="56"/>
      <c r="BN926" s="56"/>
      <c r="BO926" s="56"/>
      <c r="BP926" s="56"/>
      <c r="BQ926" s="56"/>
      <c r="BR926" s="56"/>
      <c r="BS926" s="56"/>
      <c r="BT926" s="56"/>
      <c r="BU926" s="56"/>
      <c r="BV926" s="56"/>
      <c r="BW926" s="56"/>
      <c r="BX926" s="56"/>
    </row>
    <row r="927">
      <c r="A927" s="48"/>
      <c r="B927" s="48"/>
      <c r="C927" s="48"/>
      <c r="D927" s="48"/>
      <c r="E927" s="48"/>
      <c r="F927" s="48"/>
      <c r="G927" s="48"/>
      <c r="H927" s="48"/>
      <c r="I927" s="48"/>
      <c r="J927" s="48"/>
      <c r="K927" s="64"/>
      <c r="L927" s="64"/>
      <c r="M927" s="48"/>
      <c r="N927" s="48"/>
      <c r="O927" s="48"/>
      <c r="P927" s="48"/>
      <c r="Q927" s="48"/>
      <c r="R927" s="48"/>
      <c r="S927" s="60"/>
      <c r="T927" s="48"/>
      <c r="U927" s="48"/>
      <c r="V927" s="48"/>
      <c r="W927" s="48"/>
      <c r="X927" s="48"/>
      <c r="Y927" s="48"/>
      <c r="Z927" s="48"/>
      <c r="AA927" s="48"/>
      <c r="AB927" s="48"/>
      <c r="AC927" s="48"/>
      <c r="AD927" s="48"/>
      <c r="AE927" s="48"/>
      <c r="AF927" s="60"/>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56"/>
      <c r="BJ927" s="56"/>
      <c r="BK927" s="56"/>
      <c r="BL927" s="56"/>
      <c r="BM927" s="56"/>
      <c r="BN927" s="56"/>
      <c r="BO927" s="56"/>
      <c r="BP927" s="56"/>
      <c r="BQ927" s="56"/>
      <c r="BR927" s="56"/>
      <c r="BS927" s="56"/>
      <c r="BT927" s="56"/>
      <c r="BU927" s="56"/>
      <c r="BV927" s="56"/>
      <c r="BW927" s="56"/>
      <c r="BX927" s="56"/>
    </row>
    <row r="928">
      <c r="A928" s="48"/>
      <c r="B928" s="48"/>
      <c r="C928" s="48"/>
      <c r="D928" s="48"/>
      <c r="E928" s="48"/>
      <c r="F928" s="48"/>
      <c r="G928" s="48"/>
      <c r="H928" s="48"/>
      <c r="I928" s="48"/>
      <c r="J928" s="48"/>
      <c r="K928" s="64"/>
      <c r="L928" s="64"/>
      <c r="M928" s="48"/>
      <c r="N928" s="48"/>
      <c r="O928" s="48"/>
      <c r="P928" s="48"/>
      <c r="Q928" s="48"/>
      <c r="R928" s="48"/>
      <c r="S928" s="60"/>
      <c r="T928" s="48"/>
      <c r="U928" s="48"/>
      <c r="V928" s="48"/>
      <c r="W928" s="48"/>
      <c r="X928" s="48"/>
      <c r="Y928" s="48"/>
      <c r="Z928" s="48"/>
      <c r="AA928" s="48"/>
      <c r="AB928" s="48"/>
      <c r="AC928" s="48"/>
      <c r="AD928" s="48"/>
      <c r="AE928" s="48"/>
      <c r="AF928" s="60"/>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56"/>
      <c r="BJ928" s="56"/>
      <c r="BK928" s="56"/>
      <c r="BL928" s="56"/>
      <c r="BM928" s="56"/>
      <c r="BN928" s="56"/>
      <c r="BO928" s="56"/>
      <c r="BP928" s="56"/>
      <c r="BQ928" s="56"/>
      <c r="BR928" s="56"/>
      <c r="BS928" s="56"/>
      <c r="BT928" s="56"/>
      <c r="BU928" s="56"/>
      <c r="BV928" s="56"/>
      <c r="BW928" s="56"/>
      <c r="BX928" s="56"/>
    </row>
    <row r="929">
      <c r="A929" s="48"/>
      <c r="B929" s="48"/>
      <c r="C929" s="48"/>
      <c r="D929" s="48"/>
      <c r="E929" s="48"/>
      <c r="F929" s="48"/>
      <c r="G929" s="48"/>
      <c r="H929" s="48"/>
      <c r="I929" s="48"/>
      <c r="J929" s="48"/>
      <c r="K929" s="64"/>
      <c r="L929" s="64"/>
      <c r="M929" s="48"/>
      <c r="N929" s="48"/>
      <c r="O929" s="48"/>
      <c r="P929" s="48"/>
      <c r="Q929" s="48"/>
      <c r="R929" s="48"/>
      <c r="S929" s="60"/>
      <c r="T929" s="48"/>
      <c r="U929" s="48"/>
      <c r="V929" s="48"/>
      <c r="W929" s="48"/>
      <c r="X929" s="48"/>
      <c r="Y929" s="48"/>
      <c r="Z929" s="48"/>
      <c r="AA929" s="48"/>
      <c r="AB929" s="48"/>
      <c r="AC929" s="48"/>
      <c r="AD929" s="48"/>
      <c r="AE929" s="48"/>
      <c r="AF929" s="60"/>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56"/>
      <c r="BJ929" s="56"/>
      <c r="BK929" s="56"/>
      <c r="BL929" s="56"/>
      <c r="BM929" s="56"/>
      <c r="BN929" s="56"/>
      <c r="BO929" s="56"/>
      <c r="BP929" s="56"/>
      <c r="BQ929" s="56"/>
      <c r="BR929" s="56"/>
      <c r="BS929" s="56"/>
      <c r="BT929" s="56"/>
      <c r="BU929" s="56"/>
      <c r="BV929" s="56"/>
      <c r="BW929" s="56"/>
      <c r="BX929" s="56"/>
    </row>
    <row r="930">
      <c r="A930" s="48"/>
      <c r="B930" s="48"/>
      <c r="C930" s="48"/>
      <c r="D930" s="48"/>
      <c r="E930" s="48"/>
      <c r="F930" s="48"/>
      <c r="G930" s="48"/>
      <c r="H930" s="48"/>
      <c r="I930" s="48"/>
      <c r="J930" s="48"/>
      <c r="K930" s="64"/>
      <c r="L930" s="64"/>
      <c r="M930" s="48"/>
      <c r="N930" s="48"/>
      <c r="O930" s="48"/>
      <c r="P930" s="48"/>
      <c r="Q930" s="48"/>
      <c r="R930" s="48"/>
      <c r="S930" s="60"/>
      <c r="T930" s="48"/>
      <c r="U930" s="48"/>
      <c r="V930" s="48"/>
      <c r="W930" s="48"/>
      <c r="X930" s="48"/>
      <c r="Y930" s="48"/>
      <c r="Z930" s="48"/>
      <c r="AA930" s="48"/>
      <c r="AB930" s="48"/>
      <c r="AC930" s="48"/>
      <c r="AD930" s="48"/>
      <c r="AE930" s="48"/>
      <c r="AF930" s="60"/>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56"/>
      <c r="BJ930" s="56"/>
      <c r="BK930" s="56"/>
      <c r="BL930" s="56"/>
      <c r="BM930" s="56"/>
      <c r="BN930" s="56"/>
      <c r="BO930" s="56"/>
      <c r="BP930" s="56"/>
      <c r="BQ930" s="56"/>
      <c r="BR930" s="56"/>
      <c r="BS930" s="56"/>
      <c r="BT930" s="56"/>
      <c r="BU930" s="56"/>
      <c r="BV930" s="56"/>
      <c r="BW930" s="56"/>
      <c r="BX930" s="56"/>
    </row>
    <row r="931">
      <c r="A931" s="48"/>
      <c r="B931" s="48"/>
      <c r="C931" s="48"/>
      <c r="D931" s="48"/>
      <c r="E931" s="48"/>
      <c r="F931" s="48"/>
      <c r="G931" s="48"/>
      <c r="H931" s="48"/>
      <c r="I931" s="48"/>
      <c r="J931" s="48"/>
      <c r="K931" s="64"/>
      <c r="L931" s="64"/>
      <c r="M931" s="48"/>
      <c r="N931" s="48"/>
      <c r="O931" s="48"/>
      <c r="P931" s="48"/>
      <c r="Q931" s="48"/>
      <c r="R931" s="48"/>
      <c r="S931" s="60"/>
      <c r="T931" s="48"/>
      <c r="U931" s="48"/>
      <c r="V931" s="48"/>
      <c r="W931" s="48"/>
      <c r="X931" s="48"/>
      <c r="Y931" s="48"/>
      <c r="Z931" s="48"/>
      <c r="AA931" s="48"/>
      <c r="AB931" s="48"/>
      <c r="AC931" s="48"/>
      <c r="AD931" s="48"/>
      <c r="AE931" s="48"/>
      <c r="AF931" s="60"/>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56"/>
      <c r="BJ931" s="56"/>
      <c r="BK931" s="56"/>
      <c r="BL931" s="56"/>
      <c r="BM931" s="56"/>
      <c r="BN931" s="56"/>
      <c r="BO931" s="56"/>
      <c r="BP931" s="56"/>
      <c r="BQ931" s="56"/>
      <c r="BR931" s="56"/>
      <c r="BS931" s="56"/>
      <c r="BT931" s="56"/>
      <c r="BU931" s="56"/>
      <c r="BV931" s="56"/>
      <c r="BW931" s="56"/>
      <c r="BX931" s="56"/>
    </row>
    <row r="932">
      <c r="A932" s="48"/>
      <c r="B932" s="48"/>
      <c r="C932" s="48"/>
      <c r="D932" s="48"/>
      <c r="E932" s="48"/>
      <c r="F932" s="48"/>
      <c r="G932" s="48"/>
      <c r="H932" s="48"/>
      <c r="I932" s="48"/>
      <c r="J932" s="48"/>
      <c r="K932" s="64"/>
      <c r="L932" s="64"/>
      <c r="M932" s="48"/>
      <c r="N932" s="48"/>
      <c r="O932" s="48"/>
      <c r="P932" s="48"/>
      <c r="Q932" s="48"/>
      <c r="R932" s="48"/>
      <c r="S932" s="60"/>
      <c r="T932" s="48"/>
      <c r="U932" s="48"/>
      <c r="V932" s="48"/>
      <c r="W932" s="48"/>
      <c r="X932" s="48"/>
      <c r="Y932" s="48"/>
      <c r="Z932" s="48"/>
      <c r="AA932" s="48"/>
      <c r="AB932" s="48"/>
      <c r="AC932" s="48"/>
      <c r="AD932" s="48"/>
      <c r="AE932" s="48"/>
      <c r="AF932" s="60"/>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56"/>
      <c r="BJ932" s="56"/>
      <c r="BK932" s="56"/>
      <c r="BL932" s="56"/>
      <c r="BM932" s="56"/>
      <c r="BN932" s="56"/>
      <c r="BO932" s="56"/>
      <c r="BP932" s="56"/>
      <c r="BQ932" s="56"/>
      <c r="BR932" s="56"/>
      <c r="BS932" s="56"/>
      <c r="BT932" s="56"/>
      <c r="BU932" s="56"/>
      <c r="BV932" s="56"/>
      <c r="BW932" s="56"/>
      <c r="BX932" s="56"/>
    </row>
    <row r="933">
      <c r="A933" s="48"/>
      <c r="B933" s="48"/>
      <c r="C933" s="48"/>
      <c r="D933" s="48"/>
      <c r="E933" s="48"/>
      <c r="F933" s="48"/>
      <c r="G933" s="48"/>
      <c r="H933" s="48"/>
      <c r="I933" s="48"/>
      <c r="J933" s="48"/>
      <c r="K933" s="64"/>
      <c r="L933" s="64"/>
      <c r="M933" s="48"/>
      <c r="N933" s="48"/>
      <c r="O933" s="48"/>
      <c r="P933" s="48"/>
      <c r="Q933" s="48"/>
      <c r="R933" s="48"/>
      <c r="S933" s="60"/>
      <c r="T933" s="48"/>
      <c r="U933" s="48"/>
      <c r="V933" s="48"/>
      <c r="W933" s="48"/>
      <c r="X933" s="48"/>
      <c r="Y933" s="48"/>
      <c r="Z933" s="48"/>
      <c r="AA933" s="48"/>
      <c r="AB933" s="48"/>
      <c r="AC933" s="48"/>
      <c r="AD933" s="48"/>
      <c r="AE933" s="48"/>
      <c r="AF933" s="60"/>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56"/>
      <c r="BJ933" s="56"/>
      <c r="BK933" s="56"/>
      <c r="BL933" s="56"/>
      <c r="BM933" s="56"/>
      <c r="BN933" s="56"/>
      <c r="BO933" s="56"/>
      <c r="BP933" s="56"/>
      <c r="BQ933" s="56"/>
      <c r="BR933" s="56"/>
      <c r="BS933" s="56"/>
      <c r="BT933" s="56"/>
      <c r="BU933" s="56"/>
      <c r="BV933" s="56"/>
      <c r="BW933" s="56"/>
      <c r="BX933" s="56"/>
    </row>
    <row r="934">
      <c r="A934" s="48"/>
      <c r="B934" s="48"/>
      <c r="C934" s="48"/>
      <c r="D934" s="48"/>
      <c r="E934" s="48"/>
      <c r="F934" s="48"/>
      <c r="G934" s="48"/>
      <c r="H934" s="48"/>
      <c r="I934" s="48"/>
      <c r="J934" s="48"/>
      <c r="K934" s="64"/>
      <c r="L934" s="64"/>
      <c r="M934" s="48"/>
      <c r="N934" s="48"/>
      <c r="O934" s="48"/>
      <c r="P934" s="48"/>
      <c r="Q934" s="48"/>
      <c r="R934" s="48"/>
      <c r="S934" s="60"/>
      <c r="T934" s="48"/>
      <c r="U934" s="48"/>
      <c r="V934" s="48"/>
      <c r="W934" s="48"/>
      <c r="X934" s="48"/>
      <c r="Y934" s="48"/>
      <c r="Z934" s="48"/>
      <c r="AA934" s="48"/>
      <c r="AB934" s="48"/>
      <c r="AC934" s="48"/>
      <c r="AD934" s="48"/>
      <c r="AE934" s="48"/>
      <c r="AF934" s="60"/>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56"/>
      <c r="BJ934" s="56"/>
      <c r="BK934" s="56"/>
      <c r="BL934" s="56"/>
      <c r="BM934" s="56"/>
      <c r="BN934" s="56"/>
      <c r="BO934" s="56"/>
      <c r="BP934" s="56"/>
      <c r="BQ934" s="56"/>
      <c r="BR934" s="56"/>
      <c r="BS934" s="56"/>
      <c r="BT934" s="56"/>
      <c r="BU934" s="56"/>
      <c r="BV934" s="56"/>
      <c r="BW934" s="56"/>
      <c r="BX934" s="56"/>
    </row>
    <row r="935">
      <c r="A935" s="48"/>
      <c r="B935" s="48"/>
      <c r="C935" s="48"/>
      <c r="D935" s="48"/>
      <c r="E935" s="48"/>
      <c r="F935" s="48"/>
      <c r="G935" s="48"/>
      <c r="H935" s="48"/>
      <c r="I935" s="48"/>
      <c r="J935" s="48"/>
      <c r="K935" s="64"/>
      <c r="L935" s="64"/>
      <c r="M935" s="48"/>
      <c r="N935" s="48"/>
      <c r="O935" s="48"/>
      <c r="P935" s="48"/>
      <c r="Q935" s="48"/>
      <c r="R935" s="48"/>
      <c r="S935" s="60"/>
      <c r="T935" s="48"/>
      <c r="U935" s="48"/>
      <c r="V935" s="48"/>
      <c r="W935" s="48"/>
      <c r="X935" s="48"/>
      <c r="Y935" s="48"/>
      <c r="Z935" s="48"/>
      <c r="AA935" s="48"/>
      <c r="AB935" s="48"/>
      <c r="AC935" s="48"/>
      <c r="AD935" s="48"/>
      <c r="AE935" s="48"/>
      <c r="AF935" s="60"/>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56"/>
      <c r="BJ935" s="56"/>
      <c r="BK935" s="56"/>
      <c r="BL935" s="56"/>
      <c r="BM935" s="56"/>
      <c r="BN935" s="56"/>
      <c r="BO935" s="56"/>
      <c r="BP935" s="56"/>
      <c r="BQ935" s="56"/>
      <c r="BR935" s="56"/>
      <c r="BS935" s="56"/>
      <c r="BT935" s="56"/>
      <c r="BU935" s="56"/>
      <c r="BV935" s="56"/>
      <c r="BW935" s="56"/>
      <c r="BX935" s="56"/>
    </row>
    <row r="936">
      <c r="A936" s="48"/>
      <c r="B936" s="48"/>
      <c r="C936" s="48"/>
      <c r="D936" s="48"/>
      <c r="E936" s="48"/>
      <c r="F936" s="48"/>
      <c r="G936" s="48"/>
      <c r="H936" s="48"/>
      <c r="I936" s="48"/>
      <c r="J936" s="48"/>
      <c r="K936" s="64"/>
      <c r="L936" s="64"/>
      <c r="M936" s="48"/>
      <c r="N936" s="48"/>
      <c r="O936" s="48"/>
      <c r="P936" s="48"/>
      <c r="Q936" s="48"/>
      <c r="R936" s="48"/>
      <c r="S936" s="60"/>
      <c r="T936" s="48"/>
      <c r="U936" s="48"/>
      <c r="V936" s="48"/>
      <c r="W936" s="48"/>
      <c r="X936" s="48"/>
      <c r="Y936" s="48"/>
      <c r="Z936" s="48"/>
      <c r="AA936" s="48"/>
      <c r="AB936" s="48"/>
      <c r="AC936" s="48"/>
      <c r="AD936" s="48"/>
      <c r="AE936" s="48"/>
      <c r="AF936" s="60"/>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56"/>
      <c r="BJ936" s="56"/>
      <c r="BK936" s="56"/>
      <c r="BL936" s="56"/>
      <c r="BM936" s="56"/>
      <c r="BN936" s="56"/>
      <c r="BO936" s="56"/>
      <c r="BP936" s="56"/>
      <c r="BQ936" s="56"/>
      <c r="BR936" s="56"/>
      <c r="BS936" s="56"/>
      <c r="BT936" s="56"/>
      <c r="BU936" s="56"/>
      <c r="BV936" s="56"/>
      <c r="BW936" s="56"/>
      <c r="BX936" s="56"/>
    </row>
    <row r="937">
      <c r="A937" s="48"/>
      <c r="B937" s="48"/>
      <c r="C937" s="48"/>
      <c r="D937" s="48"/>
      <c r="E937" s="48"/>
      <c r="F937" s="48"/>
      <c r="G937" s="48"/>
      <c r="H937" s="48"/>
      <c r="I937" s="48"/>
      <c r="J937" s="48"/>
      <c r="K937" s="64"/>
      <c r="L937" s="64"/>
      <c r="M937" s="48"/>
      <c r="N937" s="48"/>
      <c r="O937" s="48"/>
      <c r="P937" s="48"/>
      <c r="Q937" s="48"/>
      <c r="R937" s="48"/>
      <c r="S937" s="60"/>
      <c r="T937" s="48"/>
      <c r="U937" s="48"/>
      <c r="V937" s="48"/>
      <c r="W937" s="48"/>
      <c r="X937" s="48"/>
      <c r="Y937" s="48"/>
      <c r="Z937" s="48"/>
      <c r="AA937" s="48"/>
      <c r="AB937" s="48"/>
      <c r="AC937" s="48"/>
      <c r="AD937" s="48"/>
      <c r="AE937" s="48"/>
      <c r="AF937" s="60"/>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56"/>
      <c r="BJ937" s="56"/>
      <c r="BK937" s="56"/>
      <c r="BL937" s="56"/>
      <c r="BM937" s="56"/>
      <c r="BN937" s="56"/>
      <c r="BO937" s="56"/>
      <c r="BP937" s="56"/>
      <c r="BQ937" s="56"/>
      <c r="BR937" s="56"/>
      <c r="BS937" s="56"/>
      <c r="BT937" s="56"/>
      <c r="BU937" s="56"/>
      <c r="BV937" s="56"/>
      <c r="BW937" s="56"/>
      <c r="BX937" s="56"/>
    </row>
    <row r="938">
      <c r="A938" s="48"/>
      <c r="B938" s="48"/>
      <c r="C938" s="48"/>
      <c r="D938" s="48"/>
      <c r="E938" s="48"/>
      <c r="F938" s="48"/>
      <c r="G938" s="48"/>
      <c r="H938" s="48"/>
      <c r="I938" s="48"/>
      <c r="J938" s="48"/>
      <c r="K938" s="64"/>
      <c r="L938" s="64"/>
      <c r="M938" s="48"/>
      <c r="N938" s="48"/>
      <c r="O938" s="48"/>
      <c r="P938" s="48"/>
      <c r="Q938" s="48"/>
      <c r="R938" s="48"/>
      <c r="S938" s="60"/>
      <c r="T938" s="48"/>
      <c r="U938" s="48"/>
      <c r="V938" s="48"/>
      <c r="W938" s="48"/>
      <c r="X938" s="48"/>
      <c r="Y938" s="48"/>
      <c r="Z938" s="48"/>
      <c r="AA938" s="48"/>
      <c r="AB938" s="48"/>
      <c r="AC938" s="48"/>
      <c r="AD938" s="48"/>
      <c r="AE938" s="48"/>
      <c r="AF938" s="60"/>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56"/>
      <c r="BJ938" s="56"/>
      <c r="BK938" s="56"/>
      <c r="BL938" s="56"/>
      <c r="BM938" s="56"/>
      <c r="BN938" s="56"/>
      <c r="BO938" s="56"/>
      <c r="BP938" s="56"/>
      <c r="BQ938" s="56"/>
      <c r="BR938" s="56"/>
      <c r="BS938" s="56"/>
      <c r="BT938" s="56"/>
      <c r="BU938" s="56"/>
      <c r="BV938" s="56"/>
      <c r="BW938" s="56"/>
      <c r="BX938" s="56"/>
    </row>
    <row r="939">
      <c r="A939" s="48"/>
      <c r="B939" s="48"/>
      <c r="C939" s="48"/>
      <c r="D939" s="48"/>
      <c r="E939" s="48"/>
      <c r="F939" s="48"/>
      <c r="G939" s="48"/>
      <c r="H939" s="48"/>
      <c r="I939" s="48"/>
      <c r="J939" s="48"/>
      <c r="K939" s="64"/>
      <c r="L939" s="64"/>
      <c r="M939" s="48"/>
      <c r="N939" s="48"/>
      <c r="O939" s="48"/>
      <c r="P939" s="48"/>
      <c r="Q939" s="48"/>
      <c r="R939" s="48"/>
      <c r="S939" s="60"/>
      <c r="T939" s="48"/>
      <c r="U939" s="48"/>
      <c r="V939" s="48"/>
      <c r="W939" s="48"/>
      <c r="X939" s="48"/>
      <c r="Y939" s="48"/>
      <c r="Z939" s="48"/>
      <c r="AA939" s="48"/>
      <c r="AB939" s="48"/>
      <c r="AC939" s="48"/>
      <c r="AD939" s="48"/>
      <c r="AE939" s="48"/>
      <c r="AF939" s="60"/>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56"/>
      <c r="BJ939" s="56"/>
      <c r="BK939" s="56"/>
      <c r="BL939" s="56"/>
      <c r="BM939" s="56"/>
      <c r="BN939" s="56"/>
      <c r="BO939" s="56"/>
      <c r="BP939" s="56"/>
      <c r="BQ939" s="56"/>
      <c r="BR939" s="56"/>
      <c r="BS939" s="56"/>
      <c r="BT939" s="56"/>
      <c r="BU939" s="56"/>
      <c r="BV939" s="56"/>
      <c r="BW939" s="56"/>
      <c r="BX939" s="56"/>
    </row>
    <row r="940">
      <c r="A940" s="48"/>
      <c r="B940" s="48"/>
      <c r="C940" s="48"/>
      <c r="D940" s="48"/>
      <c r="E940" s="48"/>
      <c r="F940" s="48"/>
      <c r="G940" s="48"/>
      <c r="H940" s="48"/>
      <c r="I940" s="48"/>
      <c r="J940" s="48"/>
      <c r="K940" s="64"/>
      <c r="L940" s="64"/>
      <c r="M940" s="48"/>
      <c r="N940" s="48"/>
      <c r="O940" s="48"/>
      <c r="P940" s="48"/>
      <c r="Q940" s="48"/>
      <c r="R940" s="48"/>
      <c r="S940" s="60"/>
      <c r="T940" s="48"/>
      <c r="U940" s="48"/>
      <c r="V940" s="48"/>
      <c r="W940" s="48"/>
      <c r="X940" s="48"/>
      <c r="Y940" s="48"/>
      <c r="Z940" s="48"/>
      <c r="AA940" s="48"/>
      <c r="AB940" s="48"/>
      <c r="AC940" s="48"/>
      <c r="AD940" s="48"/>
      <c r="AE940" s="48"/>
      <c r="AF940" s="60"/>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56"/>
      <c r="BJ940" s="56"/>
      <c r="BK940" s="56"/>
      <c r="BL940" s="56"/>
      <c r="BM940" s="56"/>
      <c r="BN940" s="56"/>
      <c r="BO940" s="56"/>
      <c r="BP940" s="56"/>
      <c r="BQ940" s="56"/>
      <c r="BR940" s="56"/>
      <c r="BS940" s="56"/>
      <c r="BT940" s="56"/>
      <c r="BU940" s="56"/>
      <c r="BV940" s="56"/>
      <c r="BW940" s="56"/>
      <c r="BX940" s="56"/>
    </row>
    <row r="941">
      <c r="A941" s="48"/>
      <c r="B941" s="48"/>
      <c r="C941" s="48"/>
      <c r="D941" s="48"/>
      <c r="E941" s="48"/>
      <c r="F941" s="48"/>
      <c r="G941" s="48"/>
      <c r="H941" s="48"/>
      <c r="I941" s="48"/>
      <c r="J941" s="48"/>
      <c r="K941" s="64"/>
      <c r="L941" s="64"/>
      <c r="M941" s="48"/>
      <c r="N941" s="48"/>
      <c r="O941" s="48"/>
      <c r="P941" s="48"/>
      <c r="Q941" s="48"/>
      <c r="R941" s="48"/>
      <c r="S941" s="60"/>
      <c r="T941" s="48"/>
      <c r="U941" s="48"/>
      <c r="V941" s="48"/>
      <c r="W941" s="48"/>
      <c r="X941" s="48"/>
      <c r="Y941" s="48"/>
      <c r="Z941" s="48"/>
      <c r="AA941" s="48"/>
      <c r="AB941" s="48"/>
      <c r="AC941" s="48"/>
      <c r="AD941" s="48"/>
      <c r="AE941" s="48"/>
      <c r="AF941" s="60"/>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56"/>
      <c r="BJ941" s="56"/>
      <c r="BK941" s="56"/>
      <c r="BL941" s="56"/>
      <c r="BM941" s="56"/>
      <c r="BN941" s="56"/>
      <c r="BO941" s="56"/>
      <c r="BP941" s="56"/>
      <c r="BQ941" s="56"/>
      <c r="BR941" s="56"/>
      <c r="BS941" s="56"/>
      <c r="BT941" s="56"/>
      <c r="BU941" s="56"/>
      <c r="BV941" s="56"/>
      <c r="BW941" s="56"/>
      <c r="BX941" s="56"/>
    </row>
    <row r="942">
      <c r="A942" s="48"/>
      <c r="B942" s="48"/>
      <c r="C942" s="48"/>
      <c r="D942" s="48"/>
      <c r="E942" s="48"/>
      <c r="F942" s="48"/>
      <c r="G942" s="48"/>
      <c r="H942" s="48"/>
      <c r="I942" s="48"/>
      <c r="J942" s="48"/>
      <c r="K942" s="64"/>
      <c r="L942" s="64"/>
      <c r="M942" s="48"/>
      <c r="N942" s="48"/>
      <c r="O942" s="48"/>
      <c r="P942" s="48"/>
      <c r="Q942" s="48"/>
      <c r="R942" s="48"/>
      <c r="S942" s="60"/>
      <c r="T942" s="48"/>
      <c r="U942" s="48"/>
      <c r="V942" s="48"/>
      <c r="W942" s="48"/>
      <c r="X942" s="48"/>
      <c r="Y942" s="48"/>
      <c r="Z942" s="48"/>
      <c r="AA942" s="48"/>
      <c r="AB942" s="48"/>
      <c r="AC942" s="48"/>
      <c r="AD942" s="48"/>
      <c r="AE942" s="48"/>
      <c r="AF942" s="60"/>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56"/>
      <c r="BJ942" s="56"/>
      <c r="BK942" s="56"/>
      <c r="BL942" s="56"/>
      <c r="BM942" s="56"/>
      <c r="BN942" s="56"/>
      <c r="BO942" s="56"/>
      <c r="BP942" s="56"/>
      <c r="BQ942" s="56"/>
      <c r="BR942" s="56"/>
      <c r="BS942" s="56"/>
      <c r="BT942" s="56"/>
      <c r="BU942" s="56"/>
      <c r="BV942" s="56"/>
      <c r="BW942" s="56"/>
      <c r="BX942" s="56"/>
    </row>
    <row r="943">
      <c r="A943" s="48"/>
      <c r="B943" s="48"/>
      <c r="C943" s="48"/>
      <c r="D943" s="48"/>
      <c r="E943" s="48"/>
      <c r="F943" s="48"/>
      <c r="G943" s="48"/>
      <c r="H943" s="48"/>
      <c r="I943" s="48"/>
      <c r="J943" s="48"/>
      <c r="K943" s="64"/>
      <c r="L943" s="64"/>
      <c r="M943" s="48"/>
      <c r="N943" s="48"/>
      <c r="O943" s="48"/>
      <c r="P943" s="48"/>
      <c r="Q943" s="48"/>
      <c r="R943" s="48"/>
      <c r="S943" s="60"/>
      <c r="T943" s="48"/>
      <c r="U943" s="48"/>
      <c r="V943" s="48"/>
      <c r="W943" s="48"/>
      <c r="X943" s="48"/>
      <c r="Y943" s="48"/>
      <c r="Z943" s="48"/>
      <c r="AA943" s="48"/>
      <c r="AB943" s="48"/>
      <c r="AC943" s="48"/>
      <c r="AD943" s="48"/>
      <c r="AE943" s="48"/>
      <c r="AF943" s="60"/>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56"/>
      <c r="BJ943" s="56"/>
      <c r="BK943" s="56"/>
      <c r="BL943" s="56"/>
      <c r="BM943" s="56"/>
      <c r="BN943" s="56"/>
      <c r="BO943" s="56"/>
      <c r="BP943" s="56"/>
      <c r="BQ943" s="56"/>
      <c r="BR943" s="56"/>
      <c r="BS943" s="56"/>
      <c r="BT943" s="56"/>
      <c r="BU943" s="56"/>
      <c r="BV943" s="56"/>
      <c r="BW943" s="56"/>
      <c r="BX943" s="56"/>
    </row>
    <row r="944">
      <c r="A944" s="48"/>
      <c r="B944" s="48"/>
      <c r="C944" s="48"/>
      <c r="D944" s="48"/>
      <c r="E944" s="48"/>
      <c r="F944" s="48"/>
      <c r="G944" s="48"/>
      <c r="H944" s="48"/>
      <c r="I944" s="48"/>
      <c r="J944" s="48"/>
      <c r="K944" s="64"/>
      <c r="L944" s="64"/>
      <c r="M944" s="48"/>
      <c r="N944" s="48"/>
      <c r="O944" s="48"/>
      <c r="P944" s="48"/>
      <c r="Q944" s="48"/>
      <c r="R944" s="48"/>
      <c r="S944" s="60"/>
      <c r="T944" s="48"/>
      <c r="U944" s="48"/>
      <c r="V944" s="48"/>
      <c r="W944" s="48"/>
      <c r="X944" s="48"/>
      <c r="Y944" s="48"/>
      <c r="Z944" s="48"/>
      <c r="AA944" s="48"/>
      <c r="AB944" s="48"/>
      <c r="AC944" s="48"/>
      <c r="AD944" s="48"/>
      <c r="AE944" s="48"/>
      <c r="AF944" s="60"/>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56"/>
      <c r="BJ944" s="56"/>
      <c r="BK944" s="56"/>
      <c r="BL944" s="56"/>
      <c r="BM944" s="56"/>
      <c r="BN944" s="56"/>
      <c r="BO944" s="56"/>
      <c r="BP944" s="56"/>
      <c r="BQ944" s="56"/>
      <c r="BR944" s="56"/>
      <c r="BS944" s="56"/>
      <c r="BT944" s="56"/>
      <c r="BU944" s="56"/>
      <c r="BV944" s="56"/>
      <c r="BW944" s="56"/>
      <c r="BX944" s="56"/>
    </row>
    <row r="945">
      <c r="A945" s="48"/>
      <c r="B945" s="48"/>
      <c r="C945" s="48"/>
      <c r="D945" s="48"/>
      <c r="E945" s="48"/>
      <c r="F945" s="48"/>
      <c r="G945" s="48"/>
      <c r="H945" s="48"/>
      <c r="I945" s="48"/>
      <c r="J945" s="48"/>
      <c r="K945" s="64"/>
      <c r="L945" s="64"/>
      <c r="M945" s="48"/>
      <c r="N945" s="48"/>
      <c r="O945" s="48"/>
      <c r="P945" s="48"/>
      <c r="Q945" s="48"/>
      <c r="R945" s="48"/>
      <c r="S945" s="60"/>
      <c r="T945" s="48"/>
      <c r="U945" s="48"/>
      <c r="V945" s="48"/>
      <c r="W945" s="48"/>
      <c r="X945" s="48"/>
      <c r="Y945" s="48"/>
      <c r="Z945" s="48"/>
      <c r="AA945" s="48"/>
      <c r="AB945" s="48"/>
      <c r="AC945" s="48"/>
      <c r="AD945" s="48"/>
      <c r="AE945" s="48"/>
      <c r="AF945" s="60"/>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56"/>
      <c r="BJ945" s="56"/>
      <c r="BK945" s="56"/>
      <c r="BL945" s="56"/>
      <c r="BM945" s="56"/>
      <c r="BN945" s="56"/>
      <c r="BO945" s="56"/>
      <c r="BP945" s="56"/>
      <c r="BQ945" s="56"/>
      <c r="BR945" s="56"/>
      <c r="BS945" s="56"/>
      <c r="BT945" s="56"/>
      <c r="BU945" s="56"/>
      <c r="BV945" s="56"/>
      <c r="BW945" s="56"/>
      <c r="BX945" s="56"/>
    </row>
    <row r="946">
      <c r="A946" s="48"/>
      <c r="B946" s="48"/>
      <c r="C946" s="48"/>
      <c r="D946" s="48"/>
      <c r="E946" s="48"/>
      <c r="F946" s="48"/>
      <c r="G946" s="48"/>
      <c r="H946" s="48"/>
      <c r="I946" s="48"/>
      <c r="J946" s="48"/>
      <c r="K946" s="64"/>
      <c r="L946" s="64"/>
      <c r="M946" s="48"/>
      <c r="N946" s="48"/>
      <c r="O946" s="48"/>
      <c r="P946" s="48"/>
      <c r="Q946" s="48"/>
      <c r="R946" s="48"/>
      <c r="S946" s="60"/>
      <c r="T946" s="48"/>
      <c r="U946" s="48"/>
      <c r="V946" s="48"/>
      <c r="W946" s="48"/>
      <c r="X946" s="48"/>
      <c r="Y946" s="48"/>
      <c r="Z946" s="48"/>
      <c r="AA946" s="48"/>
      <c r="AB946" s="48"/>
      <c r="AC946" s="48"/>
      <c r="AD946" s="48"/>
      <c r="AE946" s="48"/>
      <c r="AF946" s="60"/>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56"/>
      <c r="BJ946" s="56"/>
      <c r="BK946" s="56"/>
      <c r="BL946" s="56"/>
      <c r="BM946" s="56"/>
      <c r="BN946" s="56"/>
      <c r="BO946" s="56"/>
      <c r="BP946" s="56"/>
      <c r="BQ946" s="56"/>
      <c r="BR946" s="56"/>
      <c r="BS946" s="56"/>
      <c r="BT946" s="56"/>
      <c r="BU946" s="56"/>
      <c r="BV946" s="56"/>
      <c r="BW946" s="56"/>
      <c r="BX946" s="56"/>
    </row>
    <row r="947">
      <c r="A947" s="48"/>
      <c r="B947" s="48"/>
      <c r="C947" s="48"/>
      <c r="D947" s="48"/>
      <c r="E947" s="48"/>
      <c r="F947" s="48"/>
      <c r="G947" s="48"/>
      <c r="H947" s="48"/>
      <c r="I947" s="48"/>
      <c r="J947" s="48"/>
      <c r="K947" s="64"/>
      <c r="L947" s="64"/>
      <c r="M947" s="48"/>
      <c r="N947" s="48"/>
      <c r="O947" s="48"/>
      <c r="P947" s="48"/>
      <c r="Q947" s="48"/>
      <c r="R947" s="48"/>
      <c r="S947" s="60"/>
      <c r="T947" s="48"/>
      <c r="U947" s="48"/>
      <c r="V947" s="48"/>
      <c r="W947" s="48"/>
      <c r="X947" s="48"/>
      <c r="Y947" s="48"/>
      <c r="Z947" s="48"/>
      <c r="AA947" s="48"/>
      <c r="AB947" s="48"/>
      <c r="AC947" s="48"/>
      <c r="AD947" s="48"/>
      <c r="AE947" s="48"/>
      <c r="AF947" s="60"/>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56"/>
      <c r="BJ947" s="56"/>
      <c r="BK947" s="56"/>
      <c r="BL947" s="56"/>
      <c r="BM947" s="56"/>
      <c r="BN947" s="56"/>
      <c r="BO947" s="56"/>
      <c r="BP947" s="56"/>
      <c r="BQ947" s="56"/>
      <c r="BR947" s="56"/>
      <c r="BS947" s="56"/>
      <c r="BT947" s="56"/>
      <c r="BU947" s="56"/>
      <c r="BV947" s="56"/>
      <c r="BW947" s="56"/>
      <c r="BX947" s="56"/>
    </row>
    <row r="948">
      <c r="A948" s="48"/>
      <c r="B948" s="48"/>
      <c r="C948" s="48"/>
      <c r="D948" s="48"/>
      <c r="E948" s="48"/>
      <c r="F948" s="48"/>
      <c r="G948" s="48"/>
      <c r="H948" s="48"/>
      <c r="I948" s="48"/>
      <c r="J948" s="48"/>
      <c r="K948" s="64"/>
      <c r="L948" s="64"/>
      <c r="M948" s="48"/>
      <c r="N948" s="48"/>
      <c r="O948" s="48"/>
      <c r="P948" s="48"/>
      <c r="Q948" s="48"/>
      <c r="R948" s="48"/>
      <c r="S948" s="60"/>
      <c r="T948" s="48"/>
      <c r="U948" s="48"/>
      <c r="V948" s="48"/>
      <c r="W948" s="48"/>
      <c r="X948" s="48"/>
      <c r="Y948" s="48"/>
      <c r="Z948" s="48"/>
      <c r="AA948" s="48"/>
      <c r="AB948" s="48"/>
      <c r="AC948" s="48"/>
      <c r="AD948" s="48"/>
      <c r="AE948" s="48"/>
      <c r="AF948" s="60"/>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56"/>
      <c r="BJ948" s="56"/>
      <c r="BK948" s="56"/>
      <c r="BL948" s="56"/>
      <c r="BM948" s="56"/>
      <c r="BN948" s="56"/>
      <c r="BO948" s="56"/>
      <c r="BP948" s="56"/>
      <c r="BQ948" s="56"/>
      <c r="BR948" s="56"/>
      <c r="BS948" s="56"/>
      <c r="BT948" s="56"/>
      <c r="BU948" s="56"/>
      <c r="BV948" s="56"/>
      <c r="BW948" s="56"/>
      <c r="BX948" s="56"/>
    </row>
    <row r="949">
      <c r="A949" s="48"/>
      <c r="B949" s="48"/>
      <c r="C949" s="48"/>
      <c r="D949" s="48"/>
      <c r="E949" s="48"/>
      <c r="F949" s="48"/>
      <c r="G949" s="48"/>
      <c r="H949" s="48"/>
      <c r="I949" s="48"/>
      <c r="J949" s="48"/>
      <c r="K949" s="64"/>
      <c r="L949" s="64"/>
      <c r="M949" s="48"/>
      <c r="N949" s="48"/>
      <c r="O949" s="48"/>
      <c r="P949" s="48"/>
      <c r="Q949" s="48"/>
      <c r="R949" s="48"/>
      <c r="S949" s="60"/>
      <c r="T949" s="48"/>
      <c r="U949" s="48"/>
      <c r="V949" s="48"/>
      <c r="W949" s="48"/>
      <c r="X949" s="48"/>
      <c r="Y949" s="48"/>
      <c r="Z949" s="48"/>
      <c r="AA949" s="48"/>
      <c r="AB949" s="48"/>
      <c r="AC949" s="48"/>
      <c r="AD949" s="48"/>
      <c r="AE949" s="48"/>
      <c r="AF949" s="60"/>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56"/>
      <c r="BJ949" s="56"/>
      <c r="BK949" s="56"/>
      <c r="BL949" s="56"/>
      <c r="BM949" s="56"/>
      <c r="BN949" s="56"/>
      <c r="BO949" s="56"/>
      <c r="BP949" s="56"/>
      <c r="BQ949" s="56"/>
      <c r="BR949" s="56"/>
      <c r="BS949" s="56"/>
      <c r="BT949" s="56"/>
      <c r="BU949" s="56"/>
      <c r="BV949" s="56"/>
      <c r="BW949" s="56"/>
      <c r="BX949" s="56"/>
    </row>
    <row r="950">
      <c r="A950" s="48"/>
      <c r="B950" s="48"/>
      <c r="C950" s="48"/>
      <c r="D950" s="48"/>
      <c r="E950" s="48"/>
      <c r="F950" s="48"/>
      <c r="G950" s="48"/>
      <c r="H950" s="48"/>
      <c r="I950" s="48"/>
      <c r="J950" s="48"/>
      <c r="K950" s="64"/>
      <c r="L950" s="64"/>
      <c r="M950" s="48"/>
      <c r="N950" s="48"/>
      <c r="O950" s="48"/>
      <c r="P950" s="48"/>
      <c r="Q950" s="48"/>
      <c r="R950" s="48"/>
      <c r="S950" s="60"/>
      <c r="T950" s="48"/>
      <c r="U950" s="48"/>
      <c r="V950" s="48"/>
      <c r="W950" s="48"/>
      <c r="X950" s="48"/>
      <c r="Y950" s="48"/>
      <c r="Z950" s="48"/>
      <c r="AA950" s="48"/>
      <c r="AB950" s="48"/>
      <c r="AC950" s="48"/>
      <c r="AD950" s="48"/>
      <c r="AE950" s="48"/>
      <c r="AF950" s="60"/>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56"/>
      <c r="BJ950" s="56"/>
      <c r="BK950" s="56"/>
      <c r="BL950" s="56"/>
      <c r="BM950" s="56"/>
      <c r="BN950" s="56"/>
      <c r="BO950" s="56"/>
      <c r="BP950" s="56"/>
      <c r="BQ950" s="56"/>
      <c r="BR950" s="56"/>
      <c r="BS950" s="56"/>
      <c r="BT950" s="56"/>
      <c r="BU950" s="56"/>
      <c r="BV950" s="56"/>
      <c r="BW950" s="56"/>
      <c r="BX950" s="56"/>
    </row>
    <row r="951">
      <c r="A951" s="48"/>
      <c r="B951" s="48"/>
      <c r="C951" s="48"/>
      <c r="D951" s="48"/>
      <c r="E951" s="48"/>
      <c r="F951" s="48"/>
      <c r="G951" s="48"/>
      <c r="H951" s="48"/>
      <c r="I951" s="48"/>
      <c r="J951" s="48"/>
      <c r="K951" s="64"/>
      <c r="L951" s="64"/>
      <c r="M951" s="48"/>
      <c r="N951" s="48"/>
      <c r="O951" s="48"/>
      <c r="P951" s="48"/>
      <c r="Q951" s="48"/>
      <c r="R951" s="48"/>
      <c r="S951" s="60"/>
      <c r="T951" s="48"/>
      <c r="U951" s="48"/>
      <c r="V951" s="48"/>
      <c r="W951" s="48"/>
      <c r="X951" s="48"/>
      <c r="Y951" s="48"/>
      <c r="Z951" s="48"/>
      <c r="AA951" s="48"/>
      <c r="AB951" s="48"/>
      <c r="AC951" s="48"/>
      <c r="AD951" s="48"/>
      <c r="AE951" s="48"/>
      <c r="AF951" s="60"/>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56"/>
      <c r="BJ951" s="56"/>
      <c r="BK951" s="56"/>
      <c r="BL951" s="56"/>
      <c r="BM951" s="56"/>
      <c r="BN951" s="56"/>
      <c r="BO951" s="56"/>
      <c r="BP951" s="56"/>
      <c r="BQ951" s="56"/>
      <c r="BR951" s="56"/>
      <c r="BS951" s="56"/>
      <c r="BT951" s="56"/>
      <c r="BU951" s="56"/>
      <c r="BV951" s="56"/>
      <c r="BW951" s="56"/>
      <c r="BX951" s="56"/>
    </row>
    <row r="952">
      <c r="A952" s="48"/>
      <c r="B952" s="48"/>
      <c r="C952" s="48"/>
      <c r="D952" s="48"/>
      <c r="E952" s="48"/>
      <c r="F952" s="48"/>
      <c r="G952" s="48"/>
      <c r="H952" s="48"/>
      <c r="I952" s="48"/>
      <c r="J952" s="48"/>
      <c r="K952" s="64"/>
      <c r="L952" s="64"/>
      <c r="M952" s="48"/>
      <c r="N952" s="48"/>
      <c r="O952" s="48"/>
      <c r="P952" s="48"/>
      <c r="Q952" s="48"/>
      <c r="R952" s="48"/>
      <c r="S952" s="60"/>
      <c r="T952" s="48"/>
      <c r="U952" s="48"/>
      <c r="V952" s="48"/>
      <c r="W952" s="48"/>
      <c r="X952" s="48"/>
      <c r="Y952" s="48"/>
      <c r="Z952" s="48"/>
      <c r="AA952" s="48"/>
      <c r="AB952" s="48"/>
      <c r="AC952" s="48"/>
      <c r="AD952" s="48"/>
      <c r="AE952" s="48"/>
      <c r="AF952" s="60"/>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56"/>
      <c r="BJ952" s="56"/>
      <c r="BK952" s="56"/>
      <c r="BL952" s="56"/>
      <c r="BM952" s="56"/>
      <c r="BN952" s="56"/>
      <c r="BO952" s="56"/>
      <c r="BP952" s="56"/>
      <c r="BQ952" s="56"/>
      <c r="BR952" s="56"/>
      <c r="BS952" s="56"/>
      <c r="BT952" s="56"/>
      <c r="BU952" s="56"/>
      <c r="BV952" s="56"/>
      <c r="BW952" s="56"/>
      <c r="BX952" s="56"/>
    </row>
    <row r="953">
      <c r="A953" s="48"/>
      <c r="B953" s="48"/>
      <c r="C953" s="48"/>
      <c r="D953" s="48"/>
      <c r="E953" s="48"/>
      <c r="F953" s="48"/>
      <c r="G953" s="48"/>
      <c r="H953" s="48"/>
      <c r="I953" s="48"/>
      <c r="J953" s="48"/>
      <c r="K953" s="64"/>
      <c r="L953" s="64"/>
      <c r="M953" s="48"/>
      <c r="N953" s="48"/>
      <c r="O953" s="48"/>
      <c r="P953" s="48"/>
      <c r="Q953" s="48"/>
      <c r="R953" s="48"/>
      <c r="S953" s="60"/>
      <c r="T953" s="48"/>
      <c r="U953" s="48"/>
      <c r="V953" s="48"/>
      <c r="W953" s="48"/>
      <c r="X953" s="48"/>
      <c r="Y953" s="48"/>
      <c r="Z953" s="48"/>
      <c r="AA953" s="48"/>
      <c r="AB953" s="48"/>
      <c r="AC953" s="48"/>
      <c r="AD953" s="48"/>
      <c r="AE953" s="48"/>
      <c r="AF953" s="60"/>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56"/>
      <c r="BJ953" s="56"/>
      <c r="BK953" s="56"/>
      <c r="BL953" s="56"/>
      <c r="BM953" s="56"/>
      <c r="BN953" s="56"/>
      <c r="BO953" s="56"/>
      <c r="BP953" s="56"/>
      <c r="BQ953" s="56"/>
      <c r="BR953" s="56"/>
      <c r="BS953" s="56"/>
      <c r="BT953" s="56"/>
      <c r="BU953" s="56"/>
      <c r="BV953" s="56"/>
      <c r="BW953" s="56"/>
      <c r="BX953" s="56"/>
    </row>
    <row r="954">
      <c r="A954" s="48"/>
      <c r="B954" s="48"/>
      <c r="C954" s="48"/>
      <c r="D954" s="48"/>
      <c r="E954" s="48"/>
      <c r="F954" s="48"/>
      <c r="G954" s="48"/>
      <c r="H954" s="48"/>
      <c r="I954" s="48"/>
      <c r="J954" s="48"/>
      <c r="K954" s="64"/>
      <c r="L954" s="64"/>
      <c r="M954" s="48"/>
      <c r="N954" s="48"/>
      <c r="O954" s="48"/>
      <c r="P954" s="48"/>
      <c r="Q954" s="48"/>
      <c r="R954" s="48"/>
      <c r="S954" s="60"/>
      <c r="T954" s="48"/>
      <c r="U954" s="48"/>
      <c r="V954" s="48"/>
      <c r="W954" s="48"/>
      <c r="X954" s="48"/>
      <c r="Y954" s="48"/>
      <c r="Z954" s="48"/>
      <c r="AA954" s="48"/>
      <c r="AB954" s="48"/>
      <c r="AC954" s="48"/>
      <c r="AD954" s="48"/>
      <c r="AE954" s="48"/>
      <c r="AF954" s="60"/>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56"/>
      <c r="BJ954" s="56"/>
      <c r="BK954" s="56"/>
      <c r="BL954" s="56"/>
      <c r="BM954" s="56"/>
      <c r="BN954" s="56"/>
      <c r="BO954" s="56"/>
      <c r="BP954" s="56"/>
      <c r="BQ954" s="56"/>
      <c r="BR954" s="56"/>
      <c r="BS954" s="56"/>
      <c r="BT954" s="56"/>
      <c r="BU954" s="56"/>
      <c r="BV954" s="56"/>
      <c r="BW954" s="56"/>
      <c r="BX954" s="56"/>
    </row>
    <row r="955">
      <c r="A955" s="48"/>
      <c r="B955" s="48"/>
      <c r="C955" s="48"/>
      <c r="D955" s="48"/>
      <c r="E955" s="48"/>
      <c r="F955" s="48"/>
      <c r="G955" s="48"/>
      <c r="H955" s="48"/>
      <c r="I955" s="48"/>
      <c r="J955" s="48"/>
      <c r="K955" s="64"/>
      <c r="L955" s="64"/>
      <c r="M955" s="48"/>
      <c r="N955" s="48"/>
      <c r="O955" s="48"/>
      <c r="P955" s="48"/>
      <c r="Q955" s="48"/>
      <c r="R955" s="48"/>
      <c r="S955" s="60"/>
      <c r="T955" s="48"/>
      <c r="U955" s="48"/>
      <c r="V955" s="48"/>
      <c r="W955" s="48"/>
      <c r="X955" s="48"/>
      <c r="Y955" s="48"/>
      <c r="Z955" s="48"/>
      <c r="AA955" s="48"/>
      <c r="AB955" s="48"/>
      <c r="AC955" s="48"/>
      <c r="AD955" s="48"/>
      <c r="AE955" s="48"/>
      <c r="AF955" s="60"/>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56"/>
      <c r="BJ955" s="56"/>
      <c r="BK955" s="56"/>
      <c r="BL955" s="56"/>
      <c r="BM955" s="56"/>
      <c r="BN955" s="56"/>
      <c r="BO955" s="56"/>
      <c r="BP955" s="56"/>
      <c r="BQ955" s="56"/>
      <c r="BR955" s="56"/>
      <c r="BS955" s="56"/>
      <c r="BT955" s="56"/>
      <c r="BU955" s="56"/>
      <c r="BV955" s="56"/>
      <c r="BW955" s="56"/>
      <c r="BX955" s="56"/>
    </row>
    <row r="956">
      <c r="A956" s="48"/>
      <c r="B956" s="48"/>
      <c r="C956" s="48"/>
      <c r="D956" s="48"/>
      <c r="E956" s="48"/>
      <c r="F956" s="48"/>
      <c r="G956" s="48"/>
      <c r="H956" s="48"/>
      <c r="I956" s="48"/>
      <c r="J956" s="48"/>
      <c r="K956" s="64"/>
      <c r="L956" s="64"/>
      <c r="M956" s="48"/>
      <c r="N956" s="48"/>
      <c r="O956" s="48"/>
      <c r="P956" s="48"/>
      <c r="Q956" s="48"/>
      <c r="R956" s="48"/>
      <c r="S956" s="60"/>
      <c r="T956" s="48"/>
      <c r="U956" s="48"/>
      <c r="V956" s="48"/>
      <c r="W956" s="48"/>
      <c r="X956" s="48"/>
      <c r="Y956" s="48"/>
      <c r="Z956" s="48"/>
      <c r="AA956" s="48"/>
      <c r="AB956" s="48"/>
      <c r="AC956" s="48"/>
      <c r="AD956" s="48"/>
      <c r="AE956" s="48"/>
      <c r="AF956" s="60"/>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56"/>
      <c r="BJ956" s="56"/>
      <c r="BK956" s="56"/>
      <c r="BL956" s="56"/>
      <c r="BM956" s="56"/>
      <c r="BN956" s="56"/>
      <c r="BO956" s="56"/>
      <c r="BP956" s="56"/>
      <c r="BQ956" s="56"/>
      <c r="BR956" s="56"/>
      <c r="BS956" s="56"/>
      <c r="BT956" s="56"/>
      <c r="BU956" s="56"/>
      <c r="BV956" s="56"/>
      <c r="BW956" s="56"/>
      <c r="BX956" s="56"/>
    </row>
    <row r="957">
      <c r="A957" s="48"/>
      <c r="B957" s="48"/>
      <c r="C957" s="48"/>
      <c r="D957" s="48"/>
      <c r="E957" s="48"/>
      <c r="F957" s="48"/>
      <c r="G957" s="48"/>
      <c r="H957" s="48"/>
      <c r="I957" s="48"/>
      <c r="J957" s="48"/>
      <c r="K957" s="64"/>
      <c r="L957" s="64"/>
      <c r="M957" s="48"/>
      <c r="N957" s="48"/>
      <c r="O957" s="48"/>
      <c r="P957" s="48"/>
      <c r="Q957" s="48"/>
      <c r="R957" s="48"/>
      <c r="S957" s="60"/>
      <c r="T957" s="48"/>
      <c r="U957" s="48"/>
      <c r="V957" s="48"/>
      <c r="W957" s="48"/>
      <c r="X957" s="48"/>
      <c r="Y957" s="48"/>
      <c r="Z957" s="48"/>
      <c r="AA957" s="48"/>
      <c r="AB957" s="48"/>
      <c r="AC957" s="48"/>
      <c r="AD957" s="48"/>
      <c r="AE957" s="48"/>
      <c r="AF957" s="60"/>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56"/>
      <c r="BJ957" s="56"/>
      <c r="BK957" s="56"/>
      <c r="BL957" s="56"/>
      <c r="BM957" s="56"/>
      <c r="BN957" s="56"/>
      <c r="BO957" s="56"/>
      <c r="BP957" s="56"/>
      <c r="BQ957" s="56"/>
      <c r="BR957" s="56"/>
      <c r="BS957" s="56"/>
      <c r="BT957" s="56"/>
      <c r="BU957" s="56"/>
      <c r="BV957" s="56"/>
      <c r="BW957" s="56"/>
      <c r="BX957" s="56"/>
    </row>
    <row r="958">
      <c r="A958" s="48"/>
      <c r="B958" s="48"/>
      <c r="C958" s="48"/>
      <c r="D958" s="48"/>
      <c r="E958" s="48"/>
      <c r="F958" s="48"/>
      <c r="G958" s="48"/>
      <c r="H958" s="48"/>
      <c r="I958" s="48"/>
      <c r="J958" s="48"/>
      <c r="K958" s="64"/>
      <c r="L958" s="64"/>
      <c r="M958" s="48"/>
      <c r="N958" s="48"/>
      <c r="O958" s="48"/>
      <c r="P958" s="48"/>
      <c r="Q958" s="48"/>
      <c r="R958" s="48"/>
      <c r="S958" s="60"/>
      <c r="T958" s="48"/>
      <c r="U958" s="48"/>
      <c r="V958" s="48"/>
      <c r="W958" s="48"/>
      <c r="X958" s="48"/>
      <c r="Y958" s="48"/>
      <c r="Z958" s="48"/>
      <c r="AA958" s="48"/>
      <c r="AB958" s="48"/>
      <c r="AC958" s="48"/>
      <c r="AD958" s="48"/>
      <c r="AE958" s="48"/>
      <c r="AF958" s="60"/>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56"/>
      <c r="BJ958" s="56"/>
      <c r="BK958" s="56"/>
      <c r="BL958" s="56"/>
      <c r="BM958" s="56"/>
      <c r="BN958" s="56"/>
      <c r="BO958" s="56"/>
      <c r="BP958" s="56"/>
      <c r="BQ958" s="56"/>
      <c r="BR958" s="56"/>
      <c r="BS958" s="56"/>
      <c r="BT958" s="56"/>
      <c r="BU958" s="56"/>
      <c r="BV958" s="56"/>
      <c r="BW958" s="56"/>
      <c r="BX958" s="56"/>
    </row>
    <row r="959">
      <c r="A959" s="48"/>
      <c r="B959" s="48"/>
      <c r="C959" s="48"/>
      <c r="D959" s="48"/>
      <c r="E959" s="48"/>
      <c r="F959" s="48"/>
      <c r="G959" s="48"/>
      <c r="H959" s="48"/>
      <c r="I959" s="48"/>
      <c r="J959" s="48"/>
      <c r="K959" s="64"/>
      <c r="L959" s="64"/>
      <c r="M959" s="48"/>
      <c r="N959" s="48"/>
      <c r="O959" s="48"/>
      <c r="P959" s="48"/>
      <c r="Q959" s="48"/>
      <c r="R959" s="48"/>
      <c r="S959" s="60"/>
      <c r="T959" s="48"/>
      <c r="U959" s="48"/>
      <c r="V959" s="48"/>
      <c r="W959" s="48"/>
      <c r="X959" s="48"/>
      <c r="Y959" s="48"/>
      <c r="Z959" s="48"/>
      <c r="AA959" s="48"/>
      <c r="AB959" s="48"/>
      <c r="AC959" s="48"/>
      <c r="AD959" s="48"/>
      <c r="AE959" s="48"/>
      <c r="AF959" s="60"/>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56"/>
      <c r="BJ959" s="56"/>
      <c r="BK959" s="56"/>
      <c r="BL959" s="56"/>
      <c r="BM959" s="56"/>
      <c r="BN959" s="56"/>
      <c r="BO959" s="56"/>
      <c r="BP959" s="56"/>
      <c r="BQ959" s="56"/>
      <c r="BR959" s="56"/>
      <c r="BS959" s="56"/>
      <c r="BT959" s="56"/>
      <c r="BU959" s="56"/>
      <c r="BV959" s="56"/>
      <c r="BW959" s="56"/>
      <c r="BX959" s="56"/>
    </row>
    <row r="960">
      <c r="A960" s="48"/>
      <c r="B960" s="48"/>
      <c r="C960" s="48"/>
      <c r="D960" s="48"/>
      <c r="E960" s="48"/>
      <c r="F960" s="48"/>
      <c r="G960" s="48"/>
      <c r="H960" s="48"/>
      <c r="I960" s="48"/>
      <c r="J960" s="48"/>
      <c r="K960" s="64"/>
      <c r="L960" s="64"/>
      <c r="M960" s="48"/>
      <c r="N960" s="48"/>
      <c r="O960" s="48"/>
      <c r="P960" s="48"/>
      <c r="Q960" s="48"/>
      <c r="R960" s="48"/>
      <c r="S960" s="60"/>
      <c r="T960" s="48"/>
      <c r="U960" s="48"/>
      <c r="V960" s="48"/>
      <c r="W960" s="48"/>
      <c r="X960" s="48"/>
      <c r="Y960" s="48"/>
      <c r="Z960" s="48"/>
      <c r="AA960" s="48"/>
      <c r="AB960" s="48"/>
      <c r="AC960" s="48"/>
      <c r="AD960" s="48"/>
      <c r="AE960" s="48"/>
      <c r="AF960" s="60"/>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56"/>
      <c r="BJ960" s="56"/>
      <c r="BK960" s="56"/>
      <c r="BL960" s="56"/>
      <c r="BM960" s="56"/>
      <c r="BN960" s="56"/>
      <c r="BO960" s="56"/>
      <c r="BP960" s="56"/>
      <c r="BQ960" s="56"/>
      <c r="BR960" s="56"/>
      <c r="BS960" s="56"/>
      <c r="BT960" s="56"/>
      <c r="BU960" s="56"/>
      <c r="BV960" s="56"/>
      <c r="BW960" s="56"/>
      <c r="BX960" s="56"/>
    </row>
    <row r="961">
      <c r="A961" s="48"/>
      <c r="B961" s="48"/>
      <c r="C961" s="48"/>
      <c r="D961" s="48"/>
      <c r="E961" s="48"/>
      <c r="F961" s="48"/>
      <c r="G961" s="48"/>
      <c r="H961" s="48"/>
      <c r="I961" s="48"/>
      <c r="J961" s="48"/>
      <c r="K961" s="64"/>
      <c r="L961" s="64"/>
      <c r="M961" s="48"/>
      <c r="N961" s="48"/>
      <c r="O961" s="48"/>
      <c r="P961" s="48"/>
      <c r="Q961" s="48"/>
      <c r="R961" s="48"/>
      <c r="S961" s="60"/>
      <c r="T961" s="48"/>
      <c r="U961" s="48"/>
      <c r="V961" s="48"/>
      <c r="W961" s="48"/>
      <c r="X961" s="48"/>
      <c r="Y961" s="48"/>
      <c r="Z961" s="48"/>
      <c r="AA961" s="48"/>
      <c r="AB961" s="48"/>
      <c r="AC961" s="48"/>
      <c r="AD961" s="48"/>
      <c r="AE961" s="48"/>
      <c r="AF961" s="60"/>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56"/>
      <c r="BJ961" s="56"/>
      <c r="BK961" s="56"/>
      <c r="BL961" s="56"/>
      <c r="BM961" s="56"/>
      <c r="BN961" s="56"/>
      <c r="BO961" s="56"/>
      <c r="BP961" s="56"/>
      <c r="BQ961" s="56"/>
      <c r="BR961" s="56"/>
      <c r="BS961" s="56"/>
      <c r="BT961" s="56"/>
      <c r="BU961" s="56"/>
      <c r="BV961" s="56"/>
      <c r="BW961" s="56"/>
      <c r="BX961" s="56"/>
    </row>
    <row r="962">
      <c r="A962" s="48"/>
      <c r="B962" s="48"/>
      <c r="C962" s="48"/>
      <c r="D962" s="48"/>
      <c r="E962" s="48"/>
      <c r="F962" s="48"/>
      <c r="G962" s="48"/>
      <c r="H962" s="48"/>
      <c r="I962" s="48"/>
      <c r="J962" s="48"/>
      <c r="K962" s="64"/>
      <c r="L962" s="64"/>
      <c r="M962" s="48"/>
      <c r="N962" s="48"/>
      <c r="O962" s="48"/>
      <c r="P962" s="48"/>
      <c r="Q962" s="48"/>
      <c r="R962" s="48"/>
      <c r="S962" s="60"/>
      <c r="T962" s="48"/>
      <c r="U962" s="48"/>
      <c r="V962" s="48"/>
      <c r="W962" s="48"/>
      <c r="X962" s="48"/>
      <c r="Y962" s="48"/>
      <c r="Z962" s="48"/>
      <c r="AA962" s="48"/>
      <c r="AB962" s="48"/>
      <c r="AC962" s="48"/>
      <c r="AD962" s="48"/>
      <c r="AE962" s="48"/>
      <c r="AF962" s="60"/>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56"/>
      <c r="BJ962" s="56"/>
      <c r="BK962" s="56"/>
      <c r="BL962" s="56"/>
      <c r="BM962" s="56"/>
      <c r="BN962" s="56"/>
      <c r="BO962" s="56"/>
      <c r="BP962" s="56"/>
      <c r="BQ962" s="56"/>
      <c r="BR962" s="56"/>
      <c r="BS962" s="56"/>
      <c r="BT962" s="56"/>
      <c r="BU962" s="56"/>
      <c r="BV962" s="56"/>
      <c r="BW962" s="56"/>
      <c r="BX962" s="56"/>
    </row>
    <row r="963">
      <c r="A963" s="48"/>
      <c r="B963" s="48"/>
      <c r="C963" s="48"/>
      <c r="D963" s="48"/>
      <c r="E963" s="48"/>
      <c r="F963" s="48"/>
      <c r="G963" s="48"/>
      <c r="H963" s="48"/>
      <c r="I963" s="48"/>
      <c r="J963" s="48"/>
      <c r="K963" s="64"/>
      <c r="L963" s="64"/>
      <c r="M963" s="48"/>
      <c r="N963" s="48"/>
      <c r="O963" s="48"/>
      <c r="P963" s="48"/>
      <c r="Q963" s="48"/>
      <c r="R963" s="48"/>
      <c r="S963" s="60"/>
      <c r="T963" s="48"/>
      <c r="U963" s="48"/>
      <c r="V963" s="48"/>
      <c r="W963" s="48"/>
      <c r="X963" s="48"/>
      <c r="Y963" s="48"/>
      <c r="Z963" s="48"/>
      <c r="AA963" s="48"/>
      <c r="AB963" s="48"/>
      <c r="AC963" s="48"/>
      <c r="AD963" s="48"/>
      <c r="AE963" s="48"/>
      <c r="AF963" s="60"/>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56"/>
      <c r="BJ963" s="56"/>
      <c r="BK963" s="56"/>
      <c r="BL963" s="56"/>
      <c r="BM963" s="56"/>
      <c r="BN963" s="56"/>
      <c r="BO963" s="56"/>
      <c r="BP963" s="56"/>
      <c r="BQ963" s="56"/>
      <c r="BR963" s="56"/>
      <c r="BS963" s="56"/>
      <c r="BT963" s="56"/>
      <c r="BU963" s="56"/>
      <c r="BV963" s="56"/>
      <c r="BW963" s="56"/>
      <c r="BX963" s="56"/>
    </row>
    <row r="964">
      <c r="A964" s="48"/>
      <c r="B964" s="48"/>
      <c r="C964" s="48"/>
      <c r="D964" s="48"/>
      <c r="E964" s="48"/>
      <c r="F964" s="48"/>
      <c r="G964" s="48"/>
      <c r="H964" s="48"/>
      <c r="I964" s="48"/>
      <c r="J964" s="48"/>
      <c r="K964" s="64"/>
      <c r="L964" s="64"/>
      <c r="M964" s="48"/>
      <c r="N964" s="48"/>
      <c r="O964" s="48"/>
      <c r="P964" s="48"/>
      <c r="Q964" s="48"/>
      <c r="R964" s="48"/>
      <c r="S964" s="60"/>
      <c r="T964" s="48"/>
      <c r="U964" s="48"/>
      <c r="V964" s="48"/>
      <c r="W964" s="48"/>
      <c r="X964" s="48"/>
      <c r="Y964" s="48"/>
      <c r="Z964" s="48"/>
      <c r="AA964" s="48"/>
      <c r="AB964" s="48"/>
      <c r="AC964" s="48"/>
      <c r="AD964" s="48"/>
      <c r="AE964" s="48"/>
      <c r="AF964" s="60"/>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56"/>
      <c r="BJ964" s="56"/>
      <c r="BK964" s="56"/>
      <c r="BL964" s="56"/>
      <c r="BM964" s="56"/>
      <c r="BN964" s="56"/>
      <c r="BO964" s="56"/>
      <c r="BP964" s="56"/>
      <c r="BQ964" s="56"/>
      <c r="BR964" s="56"/>
      <c r="BS964" s="56"/>
      <c r="BT964" s="56"/>
      <c r="BU964" s="56"/>
      <c r="BV964" s="56"/>
      <c r="BW964" s="56"/>
      <c r="BX964" s="56"/>
    </row>
    <row r="965">
      <c r="A965" s="48"/>
      <c r="B965" s="48"/>
      <c r="C965" s="48"/>
      <c r="D965" s="48"/>
      <c r="E965" s="48"/>
      <c r="F965" s="48"/>
      <c r="G965" s="48"/>
      <c r="H965" s="48"/>
      <c r="I965" s="48"/>
      <c r="J965" s="48"/>
      <c r="K965" s="64"/>
      <c r="L965" s="64"/>
      <c r="M965" s="48"/>
      <c r="N965" s="48"/>
      <c r="O965" s="48"/>
      <c r="P965" s="48"/>
      <c r="Q965" s="48"/>
      <c r="R965" s="48"/>
      <c r="S965" s="60"/>
      <c r="T965" s="48"/>
      <c r="U965" s="48"/>
      <c r="V965" s="48"/>
      <c r="W965" s="48"/>
      <c r="X965" s="48"/>
      <c r="Y965" s="48"/>
      <c r="Z965" s="48"/>
      <c r="AA965" s="48"/>
      <c r="AB965" s="48"/>
      <c r="AC965" s="48"/>
      <c r="AD965" s="48"/>
      <c r="AE965" s="48"/>
      <c r="AF965" s="60"/>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56"/>
      <c r="BJ965" s="56"/>
      <c r="BK965" s="56"/>
      <c r="BL965" s="56"/>
      <c r="BM965" s="56"/>
      <c r="BN965" s="56"/>
      <c r="BO965" s="56"/>
      <c r="BP965" s="56"/>
      <c r="BQ965" s="56"/>
      <c r="BR965" s="56"/>
      <c r="BS965" s="56"/>
      <c r="BT965" s="56"/>
      <c r="BU965" s="56"/>
      <c r="BV965" s="56"/>
      <c r="BW965" s="56"/>
      <c r="BX965" s="56"/>
    </row>
    <row r="966">
      <c r="A966" s="48"/>
      <c r="B966" s="48"/>
      <c r="C966" s="48"/>
      <c r="D966" s="48"/>
      <c r="E966" s="48"/>
      <c r="F966" s="48"/>
      <c r="G966" s="48"/>
      <c r="H966" s="48"/>
      <c r="I966" s="48"/>
      <c r="J966" s="48"/>
      <c r="K966" s="64"/>
      <c r="L966" s="64"/>
      <c r="M966" s="48"/>
      <c r="N966" s="48"/>
      <c r="O966" s="48"/>
      <c r="P966" s="48"/>
      <c r="Q966" s="48"/>
      <c r="R966" s="48"/>
      <c r="S966" s="60"/>
      <c r="T966" s="48"/>
      <c r="U966" s="48"/>
      <c r="V966" s="48"/>
      <c r="W966" s="48"/>
      <c r="X966" s="48"/>
      <c r="Y966" s="48"/>
      <c r="Z966" s="48"/>
      <c r="AA966" s="48"/>
      <c r="AB966" s="48"/>
      <c r="AC966" s="48"/>
      <c r="AD966" s="48"/>
      <c r="AE966" s="48"/>
      <c r="AF966" s="60"/>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56"/>
      <c r="BJ966" s="56"/>
      <c r="BK966" s="56"/>
      <c r="BL966" s="56"/>
      <c r="BM966" s="56"/>
      <c r="BN966" s="56"/>
      <c r="BO966" s="56"/>
      <c r="BP966" s="56"/>
      <c r="BQ966" s="56"/>
      <c r="BR966" s="56"/>
      <c r="BS966" s="56"/>
      <c r="BT966" s="56"/>
      <c r="BU966" s="56"/>
      <c r="BV966" s="56"/>
      <c r="BW966" s="56"/>
      <c r="BX966" s="56"/>
    </row>
    <row r="967">
      <c r="A967" s="48"/>
      <c r="B967" s="48"/>
      <c r="C967" s="48"/>
      <c r="D967" s="48"/>
      <c r="E967" s="48"/>
      <c r="F967" s="48"/>
      <c r="G967" s="48"/>
      <c r="H967" s="48"/>
      <c r="I967" s="48"/>
      <c r="J967" s="48"/>
      <c r="K967" s="64"/>
      <c r="L967" s="64"/>
      <c r="M967" s="48"/>
      <c r="N967" s="48"/>
      <c r="O967" s="48"/>
      <c r="P967" s="48"/>
      <c r="Q967" s="48"/>
      <c r="R967" s="48"/>
      <c r="S967" s="60"/>
      <c r="T967" s="48"/>
      <c r="U967" s="48"/>
      <c r="V967" s="48"/>
      <c r="W967" s="48"/>
      <c r="X967" s="48"/>
      <c r="Y967" s="48"/>
      <c r="Z967" s="48"/>
      <c r="AA967" s="48"/>
      <c r="AB967" s="48"/>
      <c r="AC967" s="48"/>
      <c r="AD967" s="48"/>
      <c r="AE967" s="48"/>
      <c r="AF967" s="60"/>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56"/>
      <c r="BJ967" s="56"/>
      <c r="BK967" s="56"/>
      <c r="BL967" s="56"/>
      <c r="BM967" s="56"/>
      <c r="BN967" s="56"/>
      <c r="BO967" s="56"/>
      <c r="BP967" s="56"/>
      <c r="BQ967" s="56"/>
      <c r="BR967" s="56"/>
      <c r="BS967" s="56"/>
      <c r="BT967" s="56"/>
      <c r="BU967" s="56"/>
      <c r="BV967" s="56"/>
      <c r="BW967" s="56"/>
      <c r="BX967" s="56"/>
    </row>
    <row r="968">
      <c r="A968" s="48"/>
      <c r="B968" s="48"/>
      <c r="C968" s="48"/>
      <c r="D968" s="48"/>
      <c r="E968" s="48"/>
      <c r="F968" s="48"/>
      <c r="G968" s="48"/>
      <c r="H968" s="48"/>
      <c r="I968" s="48"/>
      <c r="J968" s="48"/>
      <c r="K968" s="64"/>
      <c r="L968" s="64"/>
      <c r="M968" s="48"/>
      <c r="N968" s="48"/>
      <c r="O968" s="48"/>
      <c r="P968" s="48"/>
      <c r="Q968" s="48"/>
      <c r="R968" s="48"/>
      <c r="S968" s="60"/>
      <c r="T968" s="48"/>
      <c r="U968" s="48"/>
      <c r="V968" s="48"/>
      <c r="W968" s="48"/>
      <c r="X968" s="48"/>
      <c r="Y968" s="48"/>
      <c r="Z968" s="48"/>
      <c r="AA968" s="48"/>
      <c r="AB968" s="48"/>
      <c r="AC968" s="48"/>
      <c r="AD968" s="48"/>
      <c r="AE968" s="48"/>
      <c r="AF968" s="60"/>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56"/>
      <c r="BJ968" s="56"/>
      <c r="BK968" s="56"/>
      <c r="BL968" s="56"/>
      <c r="BM968" s="56"/>
      <c r="BN968" s="56"/>
      <c r="BO968" s="56"/>
      <c r="BP968" s="56"/>
      <c r="BQ968" s="56"/>
      <c r="BR968" s="56"/>
      <c r="BS968" s="56"/>
      <c r="BT968" s="56"/>
      <c r="BU968" s="56"/>
      <c r="BV968" s="56"/>
      <c r="BW968" s="56"/>
      <c r="BX968" s="56"/>
    </row>
    <row r="969">
      <c r="A969" s="48"/>
      <c r="B969" s="48"/>
      <c r="C969" s="48"/>
      <c r="D969" s="48"/>
      <c r="E969" s="48"/>
      <c r="F969" s="48"/>
      <c r="G969" s="48"/>
      <c r="H969" s="48"/>
      <c r="I969" s="48"/>
      <c r="J969" s="48"/>
      <c r="K969" s="64"/>
      <c r="L969" s="64"/>
      <c r="M969" s="48"/>
      <c r="N969" s="48"/>
      <c r="O969" s="48"/>
      <c r="P969" s="48"/>
      <c r="Q969" s="48"/>
      <c r="R969" s="48"/>
      <c r="S969" s="60"/>
      <c r="T969" s="48"/>
      <c r="U969" s="48"/>
      <c r="V969" s="48"/>
      <c r="W969" s="48"/>
      <c r="X969" s="48"/>
      <c r="Y969" s="48"/>
      <c r="Z969" s="48"/>
      <c r="AA969" s="48"/>
      <c r="AB969" s="48"/>
      <c r="AC969" s="48"/>
      <c r="AD969" s="48"/>
      <c r="AE969" s="48"/>
      <c r="AF969" s="60"/>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56"/>
      <c r="BJ969" s="56"/>
      <c r="BK969" s="56"/>
      <c r="BL969" s="56"/>
      <c r="BM969" s="56"/>
      <c r="BN969" s="56"/>
      <c r="BO969" s="56"/>
      <c r="BP969" s="56"/>
      <c r="BQ969" s="56"/>
      <c r="BR969" s="56"/>
      <c r="BS969" s="56"/>
      <c r="BT969" s="56"/>
      <c r="BU969" s="56"/>
      <c r="BV969" s="56"/>
      <c r="BW969" s="56"/>
      <c r="BX969" s="56"/>
    </row>
    <row r="970">
      <c r="A970" s="48"/>
      <c r="B970" s="48"/>
      <c r="C970" s="48"/>
      <c r="D970" s="48"/>
      <c r="E970" s="48"/>
      <c r="F970" s="48"/>
      <c r="G970" s="48"/>
      <c r="H970" s="48"/>
      <c r="I970" s="48"/>
      <c r="J970" s="48"/>
      <c r="K970" s="64"/>
      <c r="L970" s="64"/>
      <c r="M970" s="48"/>
      <c r="N970" s="48"/>
      <c r="O970" s="48"/>
      <c r="P970" s="48"/>
      <c r="Q970" s="48"/>
      <c r="R970" s="48"/>
      <c r="S970" s="60"/>
      <c r="T970" s="48"/>
      <c r="U970" s="48"/>
      <c r="V970" s="48"/>
      <c r="W970" s="48"/>
      <c r="X970" s="48"/>
      <c r="Y970" s="48"/>
      <c r="Z970" s="48"/>
      <c r="AA970" s="48"/>
      <c r="AB970" s="48"/>
      <c r="AC970" s="48"/>
      <c r="AD970" s="48"/>
      <c r="AE970" s="48"/>
      <c r="AF970" s="60"/>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56"/>
      <c r="BJ970" s="56"/>
      <c r="BK970" s="56"/>
      <c r="BL970" s="56"/>
      <c r="BM970" s="56"/>
      <c r="BN970" s="56"/>
      <c r="BO970" s="56"/>
      <c r="BP970" s="56"/>
      <c r="BQ970" s="56"/>
      <c r="BR970" s="56"/>
      <c r="BS970" s="56"/>
      <c r="BT970" s="56"/>
      <c r="BU970" s="56"/>
      <c r="BV970" s="56"/>
      <c r="BW970" s="56"/>
      <c r="BX970" s="56"/>
    </row>
    <row r="971">
      <c r="A971" s="48"/>
      <c r="B971" s="48"/>
      <c r="C971" s="48"/>
      <c r="D971" s="48"/>
      <c r="E971" s="48"/>
      <c r="F971" s="48"/>
      <c r="G971" s="48"/>
      <c r="H971" s="48"/>
      <c r="I971" s="48"/>
      <c r="J971" s="48"/>
      <c r="K971" s="64"/>
      <c r="L971" s="64"/>
      <c r="M971" s="48"/>
      <c r="N971" s="48"/>
      <c r="O971" s="48"/>
      <c r="P971" s="48"/>
      <c r="Q971" s="48"/>
      <c r="R971" s="48"/>
      <c r="S971" s="60"/>
      <c r="T971" s="48"/>
      <c r="U971" s="48"/>
      <c r="V971" s="48"/>
      <c r="W971" s="48"/>
      <c r="X971" s="48"/>
      <c r="Y971" s="48"/>
      <c r="Z971" s="48"/>
      <c r="AA971" s="48"/>
      <c r="AB971" s="48"/>
      <c r="AC971" s="48"/>
      <c r="AD971" s="48"/>
      <c r="AE971" s="48"/>
      <c r="AF971" s="60"/>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56"/>
      <c r="BJ971" s="56"/>
      <c r="BK971" s="56"/>
      <c r="BL971" s="56"/>
      <c r="BM971" s="56"/>
      <c r="BN971" s="56"/>
      <c r="BO971" s="56"/>
      <c r="BP971" s="56"/>
      <c r="BQ971" s="56"/>
      <c r="BR971" s="56"/>
      <c r="BS971" s="56"/>
      <c r="BT971" s="56"/>
      <c r="BU971" s="56"/>
      <c r="BV971" s="56"/>
      <c r="BW971" s="56"/>
      <c r="BX971" s="56"/>
    </row>
    <row r="972">
      <c r="A972" s="48"/>
      <c r="B972" s="48"/>
      <c r="C972" s="48"/>
      <c r="D972" s="48"/>
      <c r="E972" s="48"/>
      <c r="F972" s="48"/>
      <c r="G972" s="48"/>
      <c r="H972" s="48"/>
      <c r="I972" s="48"/>
      <c r="J972" s="48"/>
      <c r="K972" s="64"/>
      <c r="L972" s="64"/>
      <c r="M972" s="48"/>
      <c r="N972" s="48"/>
      <c r="O972" s="48"/>
      <c r="P972" s="48"/>
      <c r="Q972" s="48"/>
      <c r="R972" s="48"/>
      <c r="S972" s="60"/>
      <c r="T972" s="48"/>
      <c r="U972" s="48"/>
      <c r="V972" s="48"/>
      <c r="W972" s="48"/>
      <c r="X972" s="48"/>
      <c r="Y972" s="48"/>
      <c r="Z972" s="48"/>
      <c r="AA972" s="48"/>
      <c r="AB972" s="48"/>
      <c r="AC972" s="48"/>
      <c r="AD972" s="48"/>
      <c r="AE972" s="48"/>
      <c r="AF972" s="60"/>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56"/>
      <c r="BJ972" s="56"/>
      <c r="BK972" s="56"/>
      <c r="BL972" s="56"/>
      <c r="BM972" s="56"/>
      <c r="BN972" s="56"/>
      <c r="BO972" s="56"/>
      <c r="BP972" s="56"/>
      <c r="BQ972" s="56"/>
      <c r="BR972" s="56"/>
      <c r="BS972" s="56"/>
      <c r="BT972" s="56"/>
      <c r="BU972" s="56"/>
      <c r="BV972" s="56"/>
      <c r="BW972" s="56"/>
      <c r="BX972" s="56"/>
    </row>
    <row r="973">
      <c r="A973" s="48"/>
      <c r="B973" s="48"/>
      <c r="C973" s="48"/>
      <c r="D973" s="48"/>
      <c r="E973" s="48"/>
      <c r="F973" s="48"/>
      <c r="G973" s="48"/>
      <c r="H973" s="48"/>
      <c r="I973" s="48"/>
      <c r="J973" s="48"/>
      <c r="K973" s="64"/>
      <c r="L973" s="64"/>
      <c r="M973" s="48"/>
      <c r="N973" s="48"/>
      <c r="O973" s="48"/>
      <c r="P973" s="48"/>
      <c r="Q973" s="48"/>
      <c r="R973" s="48"/>
      <c r="S973" s="60"/>
      <c r="T973" s="48"/>
      <c r="U973" s="48"/>
      <c r="V973" s="48"/>
      <c r="W973" s="48"/>
      <c r="X973" s="48"/>
      <c r="Y973" s="48"/>
      <c r="Z973" s="48"/>
      <c r="AA973" s="48"/>
      <c r="AB973" s="48"/>
      <c r="AC973" s="48"/>
      <c r="AD973" s="48"/>
      <c r="AE973" s="48"/>
      <c r="AF973" s="60"/>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56"/>
      <c r="BJ973" s="56"/>
      <c r="BK973" s="56"/>
      <c r="BL973" s="56"/>
      <c r="BM973" s="56"/>
      <c r="BN973" s="56"/>
      <c r="BO973" s="56"/>
      <c r="BP973" s="56"/>
      <c r="BQ973" s="56"/>
      <c r="BR973" s="56"/>
      <c r="BS973" s="56"/>
      <c r="BT973" s="56"/>
      <c r="BU973" s="56"/>
      <c r="BV973" s="56"/>
      <c r="BW973" s="56"/>
      <c r="BX973" s="56"/>
    </row>
    <row r="974">
      <c r="A974" s="48"/>
      <c r="B974" s="48"/>
      <c r="C974" s="48"/>
      <c r="D974" s="48"/>
      <c r="E974" s="48"/>
      <c r="F974" s="48"/>
      <c r="G974" s="48"/>
      <c r="H974" s="48"/>
      <c r="I974" s="48"/>
      <c r="J974" s="48"/>
      <c r="K974" s="64"/>
      <c r="L974" s="64"/>
      <c r="M974" s="48"/>
      <c r="N974" s="48"/>
      <c r="O974" s="48"/>
      <c r="P974" s="48"/>
      <c r="Q974" s="48"/>
      <c r="R974" s="48"/>
      <c r="S974" s="60"/>
      <c r="T974" s="48"/>
      <c r="U974" s="48"/>
      <c r="V974" s="48"/>
      <c r="W974" s="48"/>
      <c r="X974" s="48"/>
      <c r="Y974" s="48"/>
      <c r="Z974" s="48"/>
      <c r="AA974" s="48"/>
      <c r="AB974" s="48"/>
      <c r="AC974" s="48"/>
      <c r="AD974" s="48"/>
      <c r="AE974" s="48"/>
      <c r="AF974" s="60"/>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56"/>
      <c r="BJ974" s="56"/>
      <c r="BK974" s="56"/>
      <c r="BL974" s="56"/>
      <c r="BM974" s="56"/>
      <c r="BN974" s="56"/>
      <c r="BO974" s="56"/>
      <c r="BP974" s="56"/>
      <c r="BQ974" s="56"/>
      <c r="BR974" s="56"/>
      <c r="BS974" s="56"/>
      <c r="BT974" s="56"/>
      <c r="BU974" s="56"/>
      <c r="BV974" s="56"/>
      <c r="BW974" s="56"/>
      <c r="BX974" s="56"/>
    </row>
    <row r="975">
      <c r="A975" s="48"/>
      <c r="B975" s="48"/>
      <c r="C975" s="48"/>
      <c r="D975" s="48"/>
      <c r="E975" s="48"/>
      <c r="F975" s="48"/>
      <c r="G975" s="48"/>
      <c r="H975" s="48"/>
      <c r="I975" s="48"/>
      <c r="J975" s="48"/>
      <c r="K975" s="64"/>
      <c r="L975" s="64"/>
      <c r="M975" s="48"/>
      <c r="N975" s="48"/>
      <c r="O975" s="48"/>
      <c r="P975" s="48"/>
      <c r="Q975" s="48"/>
      <c r="R975" s="48"/>
      <c r="S975" s="60"/>
      <c r="T975" s="48"/>
      <c r="U975" s="48"/>
      <c r="V975" s="48"/>
      <c r="W975" s="48"/>
      <c r="X975" s="48"/>
      <c r="Y975" s="48"/>
      <c r="Z975" s="48"/>
      <c r="AA975" s="48"/>
      <c r="AB975" s="48"/>
      <c r="AC975" s="48"/>
      <c r="AD975" s="48"/>
      <c r="AE975" s="48"/>
      <c r="AF975" s="60"/>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56"/>
      <c r="BJ975" s="56"/>
      <c r="BK975" s="56"/>
      <c r="BL975" s="56"/>
      <c r="BM975" s="56"/>
      <c r="BN975" s="56"/>
      <c r="BO975" s="56"/>
      <c r="BP975" s="56"/>
      <c r="BQ975" s="56"/>
      <c r="BR975" s="56"/>
      <c r="BS975" s="56"/>
      <c r="BT975" s="56"/>
      <c r="BU975" s="56"/>
      <c r="BV975" s="56"/>
      <c r="BW975" s="56"/>
      <c r="BX975" s="56"/>
    </row>
    <row r="976">
      <c r="A976" s="48"/>
      <c r="B976" s="48"/>
      <c r="C976" s="48"/>
      <c r="D976" s="48"/>
      <c r="E976" s="48"/>
      <c r="F976" s="48"/>
      <c r="G976" s="48"/>
      <c r="H976" s="48"/>
      <c r="I976" s="48"/>
      <c r="J976" s="48"/>
      <c r="K976" s="64"/>
      <c r="L976" s="64"/>
      <c r="M976" s="48"/>
      <c r="N976" s="48"/>
      <c r="O976" s="48"/>
      <c r="P976" s="48"/>
      <c r="Q976" s="48"/>
      <c r="R976" s="48"/>
      <c r="S976" s="60"/>
      <c r="T976" s="48"/>
      <c r="U976" s="48"/>
      <c r="V976" s="48"/>
      <c r="W976" s="48"/>
      <c r="X976" s="48"/>
      <c r="Y976" s="48"/>
      <c r="Z976" s="48"/>
      <c r="AA976" s="48"/>
      <c r="AB976" s="48"/>
      <c r="AC976" s="48"/>
      <c r="AD976" s="48"/>
      <c r="AE976" s="48"/>
      <c r="AF976" s="60"/>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56"/>
      <c r="BJ976" s="56"/>
      <c r="BK976" s="56"/>
      <c r="BL976" s="56"/>
      <c r="BM976" s="56"/>
      <c r="BN976" s="56"/>
      <c r="BO976" s="56"/>
      <c r="BP976" s="56"/>
      <c r="BQ976" s="56"/>
      <c r="BR976" s="56"/>
      <c r="BS976" s="56"/>
      <c r="BT976" s="56"/>
      <c r="BU976" s="56"/>
      <c r="BV976" s="56"/>
      <c r="BW976" s="56"/>
      <c r="BX976" s="56"/>
    </row>
    <row r="977">
      <c r="A977" s="48"/>
      <c r="B977" s="48"/>
      <c r="C977" s="48"/>
      <c r="D977" s="48"/>
      <c r="E977" s="48"/>
      <c r="F977" s="48"/>
      <c r="G977" s="48"/>
      <c r="H977" s="48"/>
      <c r="I977" s="48"/>
      <c r="J977" s="48"/>
      <c r="K977" s="64"/>
      <c r="L977" s="64"/>
      <c r="M977" s="48"/>
      <c r="N977" s="48"/>
      <c r="O977" s="48"/>
      <c r="P977" s="48"/>
      <c r="Q977" s="48"/>
      <c r="R977" s="48"/>
      <c r="S977" s="60"/>
      <c r="T977" s="48"/>
      <c r="U977" s="48"/>
      <c r="V977" s="48"/>
      <c r="W977" s="48"/>
      <c r="X977" s="48"/>
      <c r="Y977" s="48"/>
      <c r="Z977" s="48"/>
      <c r="AA977" s="48"/>
      <c r="AB977" s="48"/>
      <c r="AC977" s="48"/>
      <c r="AD977" s="48"/>
      <c r="AE977" s="48"/>
      <c r="AF977" s="60"/>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56"/>
      <c r="BJ977" s="56"/>
      <c r="BK977" s="56"/>
      <c r="BL977" s="56"/>
      <c r="BM977" s="56"/>
      <c r="BN977" s="56"/>
      <c r="BO977" s="56"/>
      <c r="BP977" s="56"/>
      <c r="BQ977" s="56"/>
      <c r="BR977" s="56"/>
      <c r="BS977" s="56"/>
      <c r="BT977" s="56"/>
      <c r="BU977" s="56"/>
      <c r="BV977" s="56"/>
      <c r="BW977" s="56"/>
      <c r="BX977" s="56"/>
    </row>
    <row r="978">
      <c r="A978" s="48"/>
      <c r="B978" s="48"/>
      <c r="C978" s="48"/>
      <c r="D978" s="48"/>
      <c r="E978" s="48"/>
      <c r="F978" s="48"/>
      <c r="G978" s="48"/>
      <c r="H978" s="48"/>
      <c r="I978" s="48"/>
      <c r="J978" s="48"/>
      <c r="K978" s="64"/>
      <c r="L978" s="64"/>
      <c r="M978" s="48"/>
      <c r="N978" s="48"/>
      <c r="O978" s="48"/>
      <c r="P978" s="48"/>
      <c r="Q978" s="48"/>
      <c r="R978" s="48"/>
      <c r="S978" s="60"/>
      <c r="T978" s="48"/>
      <c r="U978" s="48"/>
      <c r="V978" s="48"/>
      <c r="W978" s="48"/>
      <c r="X978" s="48"/>
      <c r="Y978" s="48"/>
      <c r="Z978" s="48"/>
      <c r="AA978" s="48"/>
      <c r="AB978" s="48"/>
      <c r="AC978" s="48"/>
      <c r="AD978" s="48"/>
      <c r="AE978" s="48"/>
      <c r="AF978" s="60"/>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56"/>
      <c r="BJ978" s="56"/>
      <c r="BK978" s="56"/>
      <c r="BL978" s="56"/>
      <c r="BM978" s="56"/>
      <c r="BN978" s="56"/>
      <c r="BO978" s="56"/>
      <c r="BP978" s="56"/>
      <c r="BQ978" s="56"/>
      <c r="BR978" s="56"/>
      <c r="BS978" s="56"/>
      <c r="BT978" s="56"/>
      <c r="BU978" s="56"/>
      <c r="BV978" s="56"/>
      <c r="BW978" s="56"/>
      <c r="BX978" s="56"/>
    </row>
    <row r="979">
      <c r="A979" s="48"/>
      <c r="B979" s="48"/>
      <c r="C979" s="48"/>
      <c r="D979" s="48"/>
      <c r="E979" s="48"/>
      <c r="F979" s="48"/>
      <c r="G979" s="48"/>
      <c r="H979" s="48"/>
      <c r="I979" s="48"/>
      <c r="J979" s="48"/>
      <c r="K979" s="64"/>
      <c r="L979" s="64"/>
      <c r="M979" s="48"/>
      <c r="N979" s="48"/>
      <c r="O979" s="48"/>
      <c r="P979" s="48"/>
      <c r="Q979" s="48"/>
      <c r="R979" s="48"/>
      <c r="S979" s="60"/>
      <c r="T979" s="48"/>
      <c r="U979" s="48"/>
      <c r="V979" s="48"/>
      <c r="W979" s="48"/>
      <c r="X979" s="48"/>
      <c r="Y979" s="48"/>
      <c r="Z979" s="48"/>
      <c r="AA979" s="48"/>
      <c r="AB979" s="48"/>
      <c r="AC979" s="48"/>
      <c r="AD979" s="48"/>
      <c r="AE979" s="48"/>
      <c r="AF979" s="60"/>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56"/>
      <c r="BJ979" s="56"/>
      <c r="BK979" s="56"/>
      <c r="BL979" s="56"/>
      <c r="BM979" s="56"/>
      <c r="BN979" s="56"/>
      <c r="BO979" s="56"/>
      <c r="BP979" s="56"/>
      <c r="BQ979" s="56"/>
      <c r="BR979" s="56"/>
      <c r="BS979" s="56"/>
      <c r="BT979" s="56"/>
      <c r="BU979" s="56"/>
      <c r="BV979" s="56"/>
      <c r="BW979" s="56"/>
      <c r="BX979" s="56"/>
    </row>
    <row r="980">
      <c r="A980" s="48"/>
      <c r="B980" s="48"/>
      <c r="C980" s="48"/>
      <c r="D980" s="48"/>
      <c r="E980" s="48"/>
      <c r="F980" s="48"/>
      <c r="G980" s="48"/>
      <c r="H980" s="48"/>
      <c r="I980" s="48"/>
      <c r="J980" s="48"/>
      <c r="K980" s="64"/>
      <c r="L980" s="64"/>
      <c r="M980" s="48"/>
      <c r="N980" s="48"/>
      <c r="O980" s="48"/>
      <c r="P980" s="48"/>
      <c r="Q980" s="48"/>
      <c r="R980" s="48"/>
      <c r="S980" s="60"/>
      <c r="T980" s="48"/>
      <c r="U980" s="48"/>
      <c r="V980" s="48"/>
      <c r="W980" s="48"/>
      <c r="X980" s="48"/>
      <c r="Y980" s="48"/>
      <c r="Z980" s="48"/>
      <c r="AA980" s="48"/>
      <c r="AB980" s="48"/>
      <c r="AC980" s="48"/>
      <c r="AD980" s="48"/>
      <c r="AE980" s="48"/>
      <c r="AF980" s="60"/>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56"/>
      <c r="BJ980" s="56"/>
      <c r="BK980" s="56"/>
      <c r="BL980" s="56"/>
      <c r="BM980" s="56"/>
      <c r="BN980" s="56"/>
      <c r="BO980" s="56"/>
      <c r="BP980" s="56"/>
      <c r="BQ980" s="56"/>
      <c r="BR980" s="56"/>
      <c r="BS980" s="56"/>
      <c r="BT980" s="56"/>
      <c r="BU980" s="56"/>
      <c r="BV980" s="56"/>
      <c r="BW980" s="56"/>
      <c r="BX980" s="56"/>
    </row>
  </sheetData>
  <mergeCells count="6">
    <mergeCell ref="F1:L1"/>
    <mergeCell ref="M1:AD1"/>
    <mergeCell ref="AH1:BA1"/>
    <mergeCell ref="BB1:BC1"/>
    <mergeCell ref="BD1:BE1"/>
    <mergeCell ref="BI1:BW1"/>
  </mergeCells>
  <conditionalFormatting sqref="AF3:AF15 AF17:AF24">
    <cfRule type="containsText" dxfId="6" priority="1" stopIfTrue="1" operator="containsText" text="Systemic / models">
      <formula>NOT(ISERROR(SEARCH(("Systemic / models"),(AF3))))</formula>
    </cfRule>
  </conditionalFormatting>
  <conditionalFormatting sqref="AF3:AF15 AF17:AF24">
    <cfRule type="containsText" dxfId="7" priority="2" stopIfTrue="1" operator="containsText" text="Retina">
      <formula>NOT(ISERROR(SEARCH(("Retina"),(AF3))))</formula>
    </cfRule>
  </conditionalFormatting>
  <conditionalFormatting sqref="AF3:AF15 AF17:AF24">
    <cfRule type="containsText" dxfId="8" priority="3" stopIfTrue="1" operator="containsText" text="Optic nerve / posterior">
      <formula>NOT(ISERROR(SEARCH(("Optic nerve / posterior"),(AF3))))</formula>
    </cfRule>
  </conditionalFormatting>
  <conditionalFormatting sqref="AF3:AF15 AF17:AF24">
    <cfRule type="containsText" dxfId="9" priority="4" stopIfTrue="1" operator="containsText" text="Anterior segment">
      <formula>NOT(ISERROR(SEARCH(("Anterior segment"),(AF3))))</formula>
    </cfRule>
  </conditionalFormatting>
  <conditionalFormatting sqref="AF3:AF15 AF17:AF24">
    <cfRule type="containsText" dxfId="6" priority="5" stopIfTrue="1" operator="containsText" text="Systemic / models">
      <formula>NOT(ISERROR(SEARCH(("Systemic / models"),(AF3))))</formula>
    </cfRule>
  </conditionalFormatting>
  <conditionalFormatting sqref="AF3:AF15 AF17:AF24">
    <cfRule type="containsText" dxfId="7" priority="6" stopIfTrue="1" operator="containsText" text="Retina">
      <formula>NOT(ISERROR(SEARCH(("Retina"),(AF3))))</formula>
    </cfRule>
  </conditionalFormatting>
  <conditionalFormatting sqref="AF3:AF15 AF17:AF24">
    <cfRule type="containsText" dxfId="8" priority="7" stopIfTrue="1" operator="containsText" text="Optic nerve / posterior">
      <formula>NOT(ISERROR(SEARCH(("Optic nerve / posterior"),(AF3))))</formula>
    </cfRule>
  </conditionalFormatting>
  <conditionalFormatting sqref="AF3:AF15 AF17:AF24">
    <cfRule type="containsText" dxfId="9" priority="8" stopIfTrue="1" operator="containsText" text="Anterior segment">
      <formula>NOT(ISERROR(SEARCH(("Anterior segment"),(AF3))))</formula>
    </cfRule>
  </conditionalFormatting>
  <dataValidations>
    <dataValidation type="list" allowBlank="1" showErrorMessage="1" sqref="N3:N41 N43:N980">
      <formula1>"Public,CC-BY,CC0,Restricted,Not specified"</formula1>
    </dataValidation>
    <dataValidation type="list" allowBlank="1" showErrorMessage="1" sqref="L3:L980">
      <formula1>"Original research,New data,Method/Technology,Review,Resource/Database,Clinical trial,Case report,Meta-analysis"</formula1>
    </dataValidation>
    <dataValidation type="list" allowBlank="1" showErrorMessage="1" sqref="O3:O33 O35 O37:O38 O42 O44:O980">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Center,GeneNetwork,Eye M430v2 (Sep08) RMA database ,European Bioimage Archive"</formula1>
    </dataValidation>
    <dataValidation type="list" allowBlank="1" showErrorMessage="1" sqref="AG34:AG38">
      <formula1>"Healthy,Normal Tension Glaucoma (NTG),Primary open-angle glaucoma (POAG),Primary angle-closure glaucoma (PACG),Other,General glaucoma,AMD, glaucoma, diabetic retinopathy, myopia, type 2 macular telangiectasia ,Disease,Glaucoma,Healthy + 1 glaucoma,Healthy"&amp;" donors,Healthy?,High intraocular pressure (HOP),none ,POAG,Primary open-angle glaucoma"</formula1>
    </dataValidation>
    <dataValidation type="list" allowBlank="1" showErrorMessage="1" sqref="BC40:BD54 AH54:AN55 AP54:AQ55 AV54:AY55 BA54:BA55 AT57:AT58 AT66 AQ57:AQ67 BC56:BD67 AT68 AT71:AT72 AT74 AT77:AT79 AT81 AT83:AT85 AH57:AN88 AP68:AQ88 AT87:AT88 AG89:AN89 AP89 AT94 AT96:AT98 AT100:AT101 AT104 AH90:AN109 AP90:AQ109 AV57:AY109 BA57:BA109">
      <formula1>"Yes,No"</formula1>
    </dataValidation>
    <dataValidation type="list" allowBlank="1" showErrorMessage="1" sqref="BE42 BE44:BE54 BE56:BE67">
      <formula1>"Yes,No"</formula1>
    </dataValidation>
    <dataValidation type="list" allowBlank="1" showErrorMessage="1" sqref="U3:U980">
      <formula1>"1 glaucoma 2 healthy,109,12 control 12 HOP,4 normal / 4 POAG,56 control, 54 POAG,all healthy,control / dexamethasone for 6 days,disease/control,Gene knockdown,Healthy,Healthy / AMD,N/A,N/A All are healthy in the eye,No,Patients (control / TGFβ),Treatment "&amp;"group,high intraocular pressure,NMDA-damaged"</formula1>
    </dataValidation>
    <dataValidation type="list" allowBlank="1" showErrorMessage="1" sqref="BE40:BE41 BE43">
      <formula1>"None,Resource,Biotechnology"</formula1>
    </dataValidation>
    <dataValidation type="list" allowBlank="1" showErrorMessage="1" sqref="R41 R43">
      <formula1>"single cell RNA,metabolomics,lipidomics,proteomics,toxicology,snATAC-seq,chemigenomics,Pharmacogenomics,SNP array,Hi-C,Hi-C, snATAC-seq,Microarray,single cell RNA, Hi-C,single cell RNA, snATAC-seq,Image"</formula1>
    </dataValidation>
    <dataValidation type="list" allowBlank="1" showErrorMessage="1" sqref="N42">
      <formula1>"Public,CC-BY,CC0,Restricted,Not specified,Creative Commons Attribution 4.0 International License"</formula1>
    </dataValidation>
    <dataValidation type="list" allowBlank="1" showErrorMessage="1" sqref="O40">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Center,Busselton Healthy Aging Study (BHAS),Kidskin Young Adult Myopia Study,Generation 2 (Gen2) of the Raine Study"</formula1>
    </dataValidation>
    <dataValidation type="list" allowBlank="1" sqref="AF3">
      <formula1>"Trabecular meshwork (TM),Schlemm’s canal,Other — Anterior segment,Optic nerve head (ONH),Optic nerve,RPE/Choroid,Other — Posterior segment,Other — Systemic / model,iPSC-derived RGCs / retinal organoids,Retina — Macula (incl. fovea),Retina — Peripheral,Ret"&amp;"ina — Whole/unspecified,Cornea,Sclera"</formula1>
    </dataValidation>
    <dataValidation type="list" allowBlank="1" showErrorMessage="1" sqref="J40">
      <formula1>" Invest Ophthalmol Vis Sci,""Exp Eye Res""[jour],bioRxiv,BMC,Cell,Cell Genomics,Cell Rep,Database,EMBO,Genome Biology,Human Molecular Genetics,Nature Communications,Neural Regeneration Research,Pharmaceutics,PNAS,PubMed,Sci Rep,Nature Genetics,Nature,Expe"&amp;"rimental Eye Research,American Journal of Ophthalmology"</formula1>
    </dataValidation>
    <dataValidation type="list" allowBlank="1" showErrorMessage="1" sqref="BC3:BD39">
      <formula1>"No,Yes,Resource,Yes"</formula1>
    </dataValidation>
    <dataValidation type="list" allowBlank="1" showErrorMessage="1" sqref="AG3:AG33 AG39:AG88 AG90:AG980">
      <formula1>"Healthy,Normal Tension Glaucoma (NTG),Primary open-angle glaucoma (POAG),Primary angle-closure glaucoma (PACG),Other,AMD, glaucoma, diabetic retinopathy, myopia, type 2 macular telangiectasia ,Disease,Glaucoma,Healthy + 1 glaucoma,Healthy donors,Healthy?,"&amp;"High intraocular pressure (HOP),none ,POAG,Primary open-angle glaucoma"</formula1>
    </dataValidation>
    <dataValidation type="list" allowBlank="1" showErrorMessage="1" sqref="AP57:AP67">
      <formula1>"Male,Female,NA"</formula1>
    </dataValidation>
    <dataValidation type="list" allowBlank="1" showErrorMessage="1" sqref="AS57:AS58 AS66 AS68 AS71:AS72 AS74 AS77:AS79 AS81 AS83:AS85 AS87:AS88 AS94 AS96:AS98 AS100:AS101 AS104">
      <formula1>"Clustering,Classification"</formula1>
    </dataValidation>
    <dataValidation type="list" allowBlank="1" showErrorMessage="1" sqref="C3:C980">
      <formula1>"yes,no"</formula1>
    </dataValidation>
    <dataValidation type="list" allowBlank="1" showErrorMessage="1" sqref="AR54:AR55 AR57:AR88 AQ89:AR89 AR90:AR109">
      <formula1>"Major class,Subclass"</formula1>
    </dataValidation>
    <dataValidation type="list" allowBlank="1" showErrorMessage="1" sqref="R3:R40 R42 R44:R980">
      <formula1>"single cell RNA,metabolomics,lipidomics,proteomics,toxicology,snATAC-seq,chemigenomics,Pharmacogenomics,SNP array,Hi-C,Hi-C, snATAC-seq,Microarray,single cell RNA, Hi-C,single cell RNA, snATAC-seq,Cacna2d1  Expression,gene network,morphological,Clinical T"&amp;"rial Metadata,GWAS Summary Statistics,Epidemiology,Image"</formula1>
    </dataValidation>
    <dataValidation type="list" allowBlank="1" showErrorMessage="1" sqref="J43">
      <formula1>" Invest Ophthalmol Vis Sci,""Exp Eye Res""[jour],bioRxiv,BMC,Cell,Cell Genomics,Cell Rep,Database,EMBO,Genome Biology,Human Molecular Genetics,Nature Communications,Neural Regeneration Research,Pharmaceutics,PNAS,PubMed,Sci Rep,Nature Genetics,Nature,Expe"&amp;"rimental Eye Research,Ophthalmology Science"</formula1>
    </dataValidation>
    <dataValidation type="list" allowBlank="1" sqref="AF4:AF15 AF17:AF295">
      <formula1>"Trabecular meshwork (TM),Schlemm’s canal,Other — Anterior segment,Optic nerve head (ONH),Optic nerve,RPE/Choroid,Other — Posterior segment,Retina — Macula (incl. fovea),Retina — Peripheral,Retina — Whole/unspecified,Other — Systemic / model,iPSC-derived R"&amp;"GCs / retinal organoids,Blood ,Cornea,Sclera,Iris,Lens,Ciliary body,Aqueous humour,Vitreous humour,Unknown,Other"</formula1>
    </dataValidation>
    <dataValidation type="list" allowBlank="1" showErrorMessage="1" sqref="J41">
      <formula1>" Invest Ophthalmol Vis Sci,""Exp Eye Res""[jour],bioRxiv,BMC,Cell,Cell Genomics,Cell Rep,Database,EMBO,Genome Biology,Human Molecular Genetics,Nature Communications,Neural Regeneration Research,Pharmaceutics,PNAS,PubMed,Sci Rep,Nature Genetics,Nature,Expe"&amp;"rimental Eye Research,Abstract,Eye"</formula1>
    </dataValidation>
    <dataValidation type="list" allowBlank="1" showErrorMessage="1" sqref="T3:T980">
      <formula1>"Human,Mouse,Rats,Model,Other ,Chick"</formula1>
    </dataValidation>
    <dataValidation type="list" allowBlank="1" showErrorMessage="1" sqref="O43">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Center,UKBB,Drishti_GS,EyePACS"</formula1>
    </dataValidation>
    <dataValidation type="list" allowBlank="1" showErrorMessage="1" sqref="P3:P980">
      <formula1>"Public,Request"</formula1>
    </dataValidation>
    <dataValidation type="list" allowBlank="1" showErrorMessage="1" sqref="J3:J38 J42 J44:J60 J61:K61 J62:J980">
      <formula1>" Invest Ophthalmol Vis Sci,""Exp Eye Res""[jour],bioRxiv,BMC,Cell,Cell Genomics,Cell Rep,Database,EMBO,Genome Biology,Human Molecular Genetics,Nature Communications,Neural Regeneration Research,Pharmaceutics,PNAS,PubMed,Sci Rep,Nature Genetics,Nature,Expe"&amp;"rimental Eye Research,Int J Mol Sci. ,PAIN,Briefings in Bioinformatics"</formula1>
    </dataValidation>
    <dataValidation type="list" allowBlank="1" showErrorMessage="1" sqref="O34">
      <formula1>"DrugBank, ClinicalTrial.gov, ChEMBL, BindingDB, KEGG, Pharmacodia, Therapeutic Target Database (TTD), PubMed and SciFinder,GEO,Glaucoma-TrEI,GTEx, MSigDB,N/A,UKB, Canadian Longitudinal Study on Aging (www.clsa-elcv.ca), Mass General Brigham Biobank, 23and"&amp;"Me,SwissProt (human),GO,STRING,SwissProt (human), GO, STRING"</formula1>
    </dataValidation>
    <dataValidation type="list" allowBlank="1" showErrorMessage="1" sqref="O36">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Center,GO,STRING"</formula1>
    </dataValidation>
    <dataValidation type="list" allowBlank="1" showErrorMessage="1" sqref="BE3:BE39">
      <formula1>"Resource,None,Biotechnology"</formula1>
    </dataValidation>
    <dataValidation type="list" allowBlank="1" showErrorMessage="1" sqref="O41">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Center,20 publicly accessible databases"</formula1>
    </dataValidation>
  </dataValidations>
  <hyperlinks>
    <hyperlink r:id="rId4" ref="I3"/>
    <hyperlink r:id="rId5" ref="I4"/>
    <hyperlink r:id="rId6" ref="I6"/>
    <hyperlink r:id="rId7" ref="I7"/>
    <hyperlink r:id="rId8" ref="I8"/>
    <hyperlink r:id="rId9" ref="I9"/>
    <hyperlink r:id="rId10" ref="I10"/>
    <hyperlink r:id="rId11" ref="M10"/>
    <hyperlink r:id="rId12" ref="I11"/>
    <hyperlink r:id="rId13" ref="I12"/>
    <hyperlink r:id="rId14" ref="I13"/>
    <hyperlink r:id="rId15" location="sec2-pharmaceutics-17-00325" ref="I16"/>
    <hyperlink r:id="rId16" ref="I17"/>
    <hyperlink r:id="rId17" ref="I18"/>
    <hyperlink r:id="rId18" ref="I19"/>
    <hyperlink r:id="rId19" ref="I20"/>
    <hyperlink r:id="rId20" ref="I21"/>
    <hyperlink r:id="rId21" ref="I22"/>
    <hyperlink r:id="rId22" ref="I23"/>
    <hyperlink r:id="rId23" ref="M23"/>
    <hyperlink r:id="rId24" ref="I24"/>
    <hyperlink r:id="rId25" ref="I26"/>
    <hyperlink r:id="rId26" ref="I34"/>
    <hyperlink r:id="rId27" ref="I35"/>
    <hyperlink r:id="rId28" ref="I38"/>
    <hyperlink r:id="rId29" ref="I39"/>
    <hyperlink r:id="rId30" ref="I40"/>
    <hyperlink r:id="rId31" ref="I41"/>
    <hyperlink r:id="rId32" ref="I42"/>
    <hyperlink r:id="rId33" ref="I43"/>
    <hyperlink r:id="rId34" ref="I46"/>
    <hyperlink r:id="rId35" ref="I47"/>
    <hyperlink r:id="rId36" ref="I48"/>
    <hyperlink r:id="rId37" ref="I49"/>
    <hyperlink r:id="rId38" ref="I66"/>
    <hyperlink r:id="rId39" ref="I68"/>
    <hyperlink r:id="rId40" ref="I70"/>
    <hyperlink r:id="rId41" ref="I75"/>
    <hyperlink r:id="rId42" ref="I76"/>
    <hyperlink r:id="rId43" ref="I78"/>
    <hyperlink r:id="rId44" ref="M78"/>
    <hyperlink r:id="rId45" ref="I79"/>
    <hyperlink r:id="rId46" ref="I87"/>
    <hyperlink r:id="rId47" ref="I89"/>
    <hyperlink r:id="rId48" ref="I91"/>
    <hyperlink r:id="rId49" ref="I93"/>
    <hyperlink r:id="rId50" ref="I95"/>
    <hyperlink r:id="rId51" ref="I100"/>
    <hyperlink r:id="rId52" ref="BG101"/>
  </hyperlinks>
  <drawing r:id="rId53"/>
  <legacy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33.88"/>
    <col customWidth="1" min="3" max="3" width="16.38"/>
    <col customWidth="1" min="4" max="4" width="24.0"/>
    <col customWidth="1" min="5" max="5" width="18.75"/>
    <col customWidth="1" min="6" max="6" width="47.0"/>
    <col customWidth="1" min="7" max="24" width="16.38"/>
  </cols>
  <sheetData>
    <row r="1">
      <c r="A1" s="3" t="s">
        <v>1</v>
      </c>
      <c r="B1" s="3" t="s">
        <v>25</v>
      </c>
      <c r="C1" s="3" t="s">
        <v>36</v>
      </c>
      <c r="D1" s="3" t="s">
        <v>40</v>
      </c>
      <c r="E1" s="3" t="s">
        <v>44</v>
      </c>
      <c r="F1" s="6" t="s">
        <v>49</v>
      </c>
    </row>
    <row r="2">
      <c r="A2" s="8" t="s">
        <v>65</v>
      </c>
      <c r="B2" s="8" t="s">
        <v>77</v>
      </c>
      <c r="C2" s="8" t="s">
        <v>79</v>
      </c>
      <c r="D2" s="8" t="s">
        <v>80</v>
      </c>
      <c r="E2" s="8" t="s">
        <v>80</v>
      </c>
    </row>
    <row r="3">
      <c r="A3" s="8" t="s">
        <v>82</v>
      </c>
      <c r="B3" s="8" t="s">
        <v>83</v>
      </c>
      <c r="C3" s="8" t="s">
        <v>79</v>
      </c>
      <c r="D3" s="8" t="s">
        <v>80</v>
      </c>
      <c r="E3" s="8" t="s">
        <v>80</v>
      </c>
    </row>
    <row r="4">
      <c r="A4" s="8" t="s">
        <v>85</v>
      </c>
      <c r="B4" s="8" t="s">
        <v>86</v>
      </c>
      <c r="C4" s="8" t="s">
        <v>79</v>
      </c>
      <c r="D4" s="8" t="s">
        <v>80</v>
      </c>
      <c r="E4" s="8" t="s">
        <v>80</v>
      </c>
    </row>
    <row r="5">
      <c r="A5" s="8" t="s">
        <v>88</v>
      </c>
      <c r="B5" s="8" t="s">
        <v>89</v>
      </c>
      <c r="C5" s="8" t="s">
        <v>79</v>
      </c>
      <c r="D5" s="8" t="s">
        <v>80</v>
      </c>
      <c r="E5" s="8" t="s">
        <v>80</v>
      </c>
    </row>
    <row r="6">
      <c r="A6" s="8" t="s">
        <v>91</v>
      </c>
      <c r="B6" s="8" t="s">
        <v>92</v>
      </c>
      <c r="C6" s="8" t="s">
        <v>79</v>
      </c>
      <c r="D6" s="8" t="s">
        <v>80</v>
      </c>
      <c r="E6" s="8" t="s">
        <v>80</v>
      </c>
    </row>
    <row r="7">
      <c r="A7" s="8" t="s">
        <v>95</v>
      </c>
      <c r="B7" s="8" t="s">
        <v>83</v>
      </c>
      <c r="C7" s="8" t="s">
        <v>79</v>
      </c>
      <c r="D7" s="8" t="s">
        <v>80</v>
      </c>
      <c r="E7" s="8" t="s">
        <v>80</v>
      </c>
    </row>
    <row r="8">
      <c r="A8" s="8" t="s">
        <v>100</v>
      </c>
      <c r="B8" s="8" t="s">
        <v>101</v>
      </c>
      <c r="C8" s="8" t="s">
        <v>79</v>
      </c>
      <c r="D8" s="8" t="s">
        <v>80</v>
      </c>
      <c r="E8" s="8" t="s">
        <v>80</v>
      </c>
    </row>
    <row r="9">
      <c r="A9" s="8" t="s">
        <v>103</v>
      </c>
      <c r="B9" s="8" t="s">
        <v>83</v>
      </c>
      <c r="C9" s="8" t="s">
        <v>79</v>
      </c>
      <c r="D9" s="8" t="s">
        <v>80</v>
      </c>
      <c r="E9" s="8" t="s">
        <v>80</v>
      </c>
    </row>
    <row r="10">
      <c r="A10" s="8" t="s">
        <v>105</v>
      </c>
      <c r="B10" s="8" t="s">
        <v>83</v>
      </c>
      <c r="C10" s="8" t="s">
        <v>79</v>
      </c>
      <c r="D10" s="8" t="s">
        <v>80</v>
      </c>
      <c r="E10" s="8" t="s">
        <v>80</v>
      </c>
    </row>
    <row r="11">
      <c r="A11" s="8" t="s">
        <v>107</v>
      </c>
      <c r="B11" s="8" t="s">
        <v>83</v>
      </c>
      <c r="C11" s="8" t="s">
        <v>79</v>
      </c>
      <c r="D11" s="8" t="s">
        <v>80</v>
      </c>
      <c r="E11" s="8" t="s">
        <v>80</v>
      </c>
    </row>
    <row r="12">
      <c r="A12" s="8" t="s">
        <v>108</v>
      </c>
      <c r="B12" s="8" t="s">
        <v>83</v>
      </c>
      <c r="C12" s="8" t="s">
        <v>79</v>
      </c>
      <c r="D12" s="8" t="s">
        <v>80</v>
      </c>
      <c r="E12" s="8" t="s">
        <v>80</v>
      </c>
    </row>
    <row r="13">
      <c r="A13" s="8" t="s">
        <v>109</v>
      </c>
      <c r="B13" s="8" t="s">
        <v>83</v>
      </c>
      <c r="C13" s="8" t="s">
        <v>79</v>
      </c>
      <c r="D13" s="8" t="s">
        <v>80</v>
      </c>
      <c r="E13" s="8" t="s">
        <v>80</v>
      </c>
    </row>
    <row r="14">
      <c r="A14" s="8" t="s">
        <v>111</v>
      </c>
      <c r="B14" s="8" t="s">
        <v>83</v>
      </c>
      <c r="C14" s="8" t="s">
        <v>79</v>
      </c>
      <c r="D14" s="8" t="s">
        <v>80</v>
      </c>
      <c r="E14" s="8" t="s">
        <v>80</v>
      </c>
    </row>
    <row r="15">
      <c r="A15" s="17" t="s">
        <v>114</v>
      </c>
      <c r="B15" s="19" t="s">
        <v>83</v>
      </c>
      <c r="C15" s="19" t="s">
        <v>79</v>
      </c>
      <c r="D15" s="19" t="s">
        <v>80</v>
      </c>
      <c r="E15" s="20" t="s">
        <v>80</v>
      </c>
    </row>
    <row r="16">
      <c r="A16" s="23" t="s">
        <v>114</v>
      </c>
      <c r="B16" s="26" t="s">
        <v>83</v>
      </c>
      <c r="C16" s="28" t="s">
        <v>158</v>
      </c>
      <c r="D16" s="26" t="s">
        <v>80</v>
      </c>
      <c r="E16" s="30" t="s">
        <v>80</v>
      </c>
    </row>
    <row r="17">
      <c r="A17" s="8" t="s">
        <v>181</v>
      </c>
      <c r="B17" s="8" t="s">
        <v>83</v>
      </c>
      <c r="C17" s="8" t="s">
        <v>79</v>
      </c>
      <c r="D17" s="8" t="s">
        <v>80</v>
      </c>
      <c r="E17" s="8" t="s">
        <v>80</v>
      </c>
    </row>
    <row r="18">
      <c r="A18" s="8" t="s">
        <v>188</v>
      </c>
      <c r="B18" s="8" t="s">
        <v>83</v>
      </c>
      <c r="C18" s="8" t="s">
        <v>79</v>
      </c>
      <c r="D18" s="32"/>
      <c r="E18" s="32"/>
      <c r="F18" s="8" t="s">
        <v>199</v>
      </c>
    </row>
    <row r="19">
      <c r="A19" s="17" t="s">
        <v>203</v>
      </c>
      <c r="B19" s="19" t="s">
        <v>204</v>
      </c>
      <c r="C19" s="19" t="s">
        <v>79</v>
      </c>
      <c r="D19" s="19" t="s">
        <v>80</v>
      </c>
      <c r="E19" s="20" t="s">
        <v>80</v>
      </c>
    </row>
    <row r="20">
      <c r="A20" s="23" t="s">
        <v>206</v>
      </c>
      <c r="B20" s="26" t="s">
        <v>83</v>
      </c>
      <c r="C20" s="28" t="s">
        <v>158</v>
      </c>
      <c r="D20" s="26" t="s">
        <v>80</v>
      </c>
      <c r="E20" s="30" t="s">
        <v>80</v>
      </c>
    </row>
    <row r="21">
      <c r="A21" s="8" t="s">
        <v>208</v>
      </c>
      <c r="B21" s="8" t="s">
        <v>101</v>
      </c>
      <c r="C21" s="8" t="s">
        <v>79</v>
      </c>
      <c r="D21" s="32"/>
      <c r="E21" s="32"/>
      <c r="F21" s="8" t="s">
        <v>210</v>
      </c>
    </row>
    <row r="22">
      <c r="A22" s="8" t="s">
        <v>212</v>
      </c>
      <c r="B22" s="8" t="s">
        <v>213</v>
      </c>
      <c r="C22" s="13" t="s">
        <v>158</v>
      </c>
      <c r="D22" s="32"/>
      <c r="E22" s="32"/>
      <c r="F22" s="8" t="s">
        <v>199</v>
      </c>
    </row>
    <row r="23">
      <c r="A23" s="17" t="s">
        <v>223</v>
      </c>
      <c r="B23" s="19" t="s">
        <v>83</v>
      </c>
      <c r="C23" s="19" t="s">
        <v>79</v>
      </c>
      <c r="D23" s="35"/>
      <c r="E23" s="35"/>
      <c r="F23" s="20" t="s">
        <v>236</v>
      </c>
    </row>
    <row r="24">
      <c r="A24" s="23" t="s">
        <v>223</v>
      </c>
      <c r="B24" s="26" t="s">
        <v>240</v>
      </c>
      <c r="C24" s="26" t="s">
        <v>79</v>
      </c>
      <c r="D24" s="36"/>
      <c r="E24" s="36"/>
      <c r="F24" s="30" t="s">
        <v>236</v>
      </c>
    </row>
    <row r="25">
      <c r="A25" s="8" t="s">
        <v>252</v>
      </c>
      <c r="B25" s="8" t="s">
        <v>83</v>
      </c>
      <c r="C25" s="8" t="s">
        <v>79</v>
      </c>
      <c r="D25" s="8" t="s">
        <v>80</v>
      </c>
      <c r="E25" s="8" t="s">
        <v>80</v>
      </c>
    </row>
    <row r="26">
      <c r="A26" s="8" t="s">
        <v>253</v>
      </c>
      <c r="B26" s="8" t="s">
        <v>204</v>
      </c>
      <c r="C26" s="13" t="s">
        <v>158</v>
      </c>
      <c r="D26" s="8" t="s">
        <v>80</v>
      </c>
      <c r="E26" s="8" t="s">
        <v>80</v>
      </c>
    </row>
    <row r="27">
      <c r="A27" s="8" t="s">
        <v>258</v>
      </c>
      <c r="B27" s="8" t="s">
        <v>83</v>
      </c>
      <c r="C27" s="8" t="s">
        <v>79</v>
      </c>
      <c r="D27" s="8" t="s">
        <v>80</v>
      </c>
      <c r="E27" s="8" t="s">
        <v>80</v>
      </c>
    </row>
    <row r="28">
      <c r="A28" s="8" t="s">
        <v>264</v>
      </c>
      <c r="B28" s="8" t="s">
        <v>83</v>
      </c>
      <c r="C28" s="8" t="s">
        <v>79</v>
      </c>
      <c r="D28" s="32"/>
      <c r="E28" s="32"/>
      <c r="F28" s="8" t="s">
        <v>199</v>
      </c>
    </row>
    <row r="29">
      <c r="A29" s="8" t="s">
        <v>267</v>
      </c>
      <c r="B29" s="8" t="s">
        <v>83</v>
      </c>
      <c r="C29" s="13" t="s">
        <v>158</v>
      </c>
      <c r="D29" s="8" t="s">
        <v>80</v>
      </c>
      <c r="E29" s="8" t="s">
        <v>80</v>
      </c>
    </row>
    <row r="30">
      <c r="A30" s="8" t="s">
        <v>273</v>
      </c>
      <c r="B30" s="8" t="s">
        <v>83</v>
      </c>
      <c r="C30" s="8" t="s">
        <v>79</v>
      </c>
      <c r="D30" s="8" t="s">
        <v>80</v>
      </c>
      <c r="E30" s="21" t="s">
        <v>75</v>
      </c>
      <c r="F30" s="8" t="s">
        <v>275</v>
      </c>
    </row>
    <row r="31">
      <c r="A31" s="8" t="s">
        <v>278</v>
      </c>
      <c r="B31" s="8" t="s">
        <v>83</v>
      </c>
      <c r="C31" s="8" t="s">
        <v>79</v>
      </c>
      <c r="D31" s="8" t="s">
        <v>80</v>
      </c>
      <c r="E31" s="8"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0.88"/>
    <col customWidth="1" min="3" max="3" width="16.0"/>
    <col customWidth="1" min="4" max="4" width="23.88"/>
    <col customWidth="1" min="5" max="5" width="115.63"/>
    <col customWidth="1" min="6" max="6" width="31.63"/>
    <col customWidth="1" min="7" max="7" width="20.13"/>
    <col customWidth="1" min="8" max="8" width="21.0"/>
    <col customWidth="1" min="11" max="11" width="10.38"/>
    <col customWidth="1" min="12" max="12" width="12.38"/>
    <col customWidth="1" min="16" max="17" width="14.13"/>
    <col customWidth="1" min="21" max="21" width="26.13"/>
    <col customWidth="1" min="22" max="22" width="27.63"/>
    <col customWidth="1" min="23" max="23" width="17.38"/>
    <col customWidth="1" min="24" max="24" width="30.13"/>
    <col customWidth="1" min="25" max="25" width="7.25"/>
    <col customWidth="1" min="26" max="26" width="8.5"/>
    <col customWidth="1" min="30" max="30" width="23.0"/>
    <col customWidth="1" min="31" max="32" width="19.13"/>
    <col customWidth="1" min="37" max="37" width="24.5"/>
    <col customWidth="1" min="48" max="52" width="15.25"/>
    <col customWidth="1" min="53" max="53" width="20.13"/>
  </cols>
  <sheetData>
    <row r="1">
      <c r="A1" s="2" t="s">
        <v>0</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c r="S1" s="2" t="s">
        <v>20</v>
      </c>
      <c r="T1" s="2" t="s">
        <v>21</v>
      </c>
      <c r="U1" s="2" t="s">
        <v>22</v>
      </c>
      <c r="V1" s="2" t="s">
        <v>23</v>
      </c>
      <c r="W1" s="2" t="s">
        <v>24</v>
      </c>
      <c r="X1" s="2" t="s">
        <v>25</v>
      </c>
      <c r="Y1" s="2" t="s">
        <v>26</v>
      </c>
      <c r="Z1" s="2" t="s">
        <v>27</v>
      </c>
      <c r="AA1" s="2" t="s">
        <v>28</v>
      </c>
      <c r="AB1" s="2" t="s">
        <v>29</v>
      </c>
      <c r="AC1" s="2" t="s">
        <v>30</v>
      </c>
      <c r="AD1" s="2" t="s">
        <v>31</v>
      </c>
      <c r="AE1" s="2" t="s">
        <v>32</v>
      </c>
      <c r="AF1" s="2" t="s">
        <v>33</v>
      </c>
      <c r="AG1" s="2" t="s">
        <v>34</v>
      </c>
      <c r="AH1" s="2" t="s">
        <v>35</v>
      </c>
      <c r="AI1" s="2" t="s">
        <v>37</v>
      </c>
      <c r="AJ1" s="2" t="s">
        <v>38</v>
      </c>
      <c r="AK1" s="2" t="s">
        <v>39</v>
      </c>
      <c r="AL1" s="2" t="s">
        <v>41</v>
      </c>
      <c r="AM1" s="2" t="s">
        <v>42</v>
      </c>
      <c r="AN1" s="2" t="s">
        <v>43</v>
      </c>
      <c r="AO1" s="2" t="s">
        <v>45</v>
      </c>
      <c r="AP1" s="2" t="s">
        <v>46</v>
      </c>
      <c r="AQ1" s="2" t="s">
        <v>47</v>
      </c>
      <c r="AR1" s="2" t="s">
        <v>48</v>
      </c>
      <c r="AS1" s="2" t="s">
        <v>50</v>
      </c>
      <c r="AT1" s="2" t="s">
        <v>51</v>
      </c>
      <c r="AU1" s="2" t="s">
        <v>52</v>
      </c>
      <c r="AV1" s="2" t="s">
        <v>53</v>
      </c>
      <c r="AW1" s="2" t="s">
        <v>54</v>
      </c>
      <c r="AX1" s="2" t="s">
        <v>55</v>
      </c>
      <c r="AY1" s="2" t="s">
        <v>56</v>
      </c>
      <c r="AZ1" s="2" t="s">
        <v>57</v>
      </c>
      <c r="BA1" s="2" t="s">
        <v>58</v>
      </c>
    </row>
    <row r="2">
      <c r="A2" s="8" t="s">
        <v>59</v>
      </c>
      <c r="B2" s="8" t="s">
        <v>66</v>
      </c>
      <c r="C2" s="8" t="s">
        <v>62</v>
      </c>
      <c r="D2" s="8" t="s">
        <v>67</v>
      </c>
      <c r="E2" s="8" t="s">
        <v>68</v>
      </c>
      <c r="F2" s="8" t="s">
        <v>69</v>
      </c>
      <c r="G2" s="10" t="s">
        <v>70</v>
      </c>
      <c r="H2" s="10" t="s">
        <v>72</v>
      </c>
      <c r="I2" s="8">
        <v>2019.0</v>
      </c>
      <c r="J2" s="13" t="s">
        <v>73</v>
      </c>
      <c r="K2" s="8">
        <v>2.0</v>
      </c>
      <c r="L2" s="8">
        <v>0.0</v>
      </c>
      <c r="M2" s="8">
        <v>2.0</v>
      </c>
      <c r="N2" s="8">
        <v>4.0</v>
      </c>
      <c r="O2" s="8">
        <v>0.0</v>
      </c>
      <c r="P2" s="8">
        <v>0.0</v>
      </c>
      <c r="Q2" s="8">
        <v>2.0</v>
      </c>
      <c r="R2" s="8">
        <v>2.0</v>
      </c>
      <c r="S2" s="8" t="s">
        <v>93</v>
      </c>
      <c r="T2" s="8">
        <v>32825.0</v>
      </c>
      <c r="U2" s="8" t="s">
        <v>96</v>
      </c>
      <c r="V2" s="8" t="s">
        <v>97</v>
      </c>
      <c r="W2" s="8" t="s">
        <v>98</v>
      </c>
      <c r="X2" s="8" t="s">
        <v>77</v>
      </c>
      <c r="Y2" s="8" t="s">
        <v>80</v>
      </c>
      <c r="Z2" s="8" t="s">
        <v>80</v>
      </c>
      <c r="AA2" s="8" t="s">
        <v>75</v>
      </c>
      <c r="AB2" s="8" t="s">
        <v>80</v>
      </c>
      <c r="AC2" s="8" t="s">
        <v>98</v>
      </c>
      <c r="AD2" s="15" t="s">
        <v>66</v>
      </c>
      <c r="AE2" s="8"/>
      <c r="AF2" s="8" t="s">
        <v>98</v>
      </c>
      <c r="AG2" s="8" t="s">
        <v>80</v>
      </c>
      <c r="AH2" s="8" t="s">
        <v>80</v>
      </c>
      <c r="AI2" s="8" t="s">
        <v>75</v>
      </c>
      <c r="AJ2" s="8" t="s">
        <v>80</v>
      </c>
      <c r="AK2" s="8" t="s">
        <v>98</v>
      </c>
      <c r="AL2" s="8" t="s">
        <v>80</v>
      </c>
      <c r="AM2" s="8" t="s">
        <v>75</v>
      </c>
      <c r="AN2" s="8" t="s">
        <v>75</v>
      </c>
      <c r="AO2" s="8" t="s">
        <v>75</v>
      </c>
      <c r="AP2" s="8" t="s">
        <v>75</v>
      </c>
      <c r="AQ2" s="8" t="s">
        <v>75</v>
      </c>
      <c r="AR2" s="8" t="s">
        <v>75</v>
      </c>
      <c r="AS2" s="8" t="s">
        <v>75</v>
      </c>
      <c r="AT2" s="8" t="s">
        <v>75</v>
      </c>
      <c r="AU2" s="8" t="s">
        <v>75</v>
      </c>
      <c r="AV2" s="8" t="s">
        <v>75</v>
      </c>
      <c r="AW2" s="8" t="s">
        <v>75</v>
      </c>
      <c r="AX2" s="8" t="s">
        <v>75</v>
      </c>
      <c r="AY2" s="8" t="s">
        <v>75</v>
      </c>
      <c r="AZ2" s="8" t="s">
        <v>75</v>
      </c>
      <c r="BA2" s="8" t="s">
        <v>75</v>
      </c>
    </row>
    <row r="3">
      <c r="A3" s="8" t="s">
        <v>112</v>
      </c>
      <c r="B3" s="8" t="s">
        <v>66</v>
      </c>
      <c r="C3" s="8" t="s">
        <v>110</v>
      </c>
      <c r="D3" s="8" t="s">
        <v>113</v>
      </c>
      <c r="E3" s="8" t="s">
        <v>115</v>
      </c>
      <c r="F3" s="8" t="s">
        <v>118</v>
      </c>
      <c r="G3" s="8" t="s">
        <v>119</v>
      </c>
      <c r="H3" s="8" t="s">
        <v>120</v>
      </c>
      <c r="I3" s="8">
        <v>2021.0</v>
      </c>
      <c r="J3" s="13" t="s">
        <v>73</v>
      </c>
      <c r="K3" s="8">
        <v>2.0</v>
      </c>
      <c r="L3" s="8">
        <v>0.0</v>
      </c>
      <c r="M3" s="8">
        <v>0.0</v>
      </c>
      <c r="N3" s="8">
        <v>2.0</v>
      </c>
      <c r="O3" s="8">
        <v>0.0</v>
      </c>
      <c r="P3" s="8">
        <v>0.0</v>
      </c>
      <c r="Q3" s="8">
        <v>1.0</v>
      </c>
      <c r="R3" s="8">
        <v>1.0</v>
      </c>
      <c r="S3" s="8" t="s">
        <v>93</v>
      </c>
      <c r="T3" s="8">
        <v>10024.0</v>
      </c>
      <c r="U3" s="8" t="s">
        <v>122</v>
      </c>
      <c r="V3" s="8" t="s">
        <v>75</v>
      </c>
      <c r="W3" s="8" t="s">
        <v>98</v>
      </c>
      <c r="X3" s="8" t="s">
        <v>83</v>
      </c>
      <c r="Y3" s="8" t="s">
        <v>80</v>
      </c>
      <c r="Z3" s="8" t="s">
        <v>80</v>
      </c>
      <c r="AA3" s="8" t="s">
        <v>75</v>
      </c>
      <c r="AB3" s="8" t="s">
        <v>75</v>
      </c>
      <c r="AC3" s="8" t="s">
        <v>75</v>
      </c>
      <c r="AD3" s="21" t="s">
        <v>75</v>
      </c>
      <c r="AE3" s="24" t="s">
        <v>80</v>
      </c>
      <c r="AF3" s="8" t="s">
        <v>98</v>
      </c>
      <c r="AG3" s="8" t="s">
        <v>98</v>
      </c>
      <c r="AH3" s="8" t="s">
        <v>80</v>
      </c>
      <c r="AI3" s="8" t="s">
        <v>80</v>
      </c>
      <c r="AJ3" s="8" t="s">
        <v>75</v>
      </c>
      <c r="AK3" s="8" t="s">
        <v>138</v>
      </c>
      <c r="AL3" s="8" t="s">
        <v>75</v>
      </c>
      <c r="AM3" s="8" t="s">
        <v>75</v>
      </c>
      <c r="AN3" s="8" t="s">
        <v>75</v>
      </c>
      <c r="AO3" s="8" t="s">
        <v>75</v>
      </c>
      <c r="AP3" s="8" t="s">
        <v>75</v>
      </c>
      <c r="AQ3" s="8" t="s">
        <v>75</v>
      </c>
      <c r="AR3" s="8" t="s">
        <v>75</v>
      </c>
      <c r="AS3" s="8" t="s">
        <v>75</v>
      </c>
      <c r="AT3" s="8" t="s">
        <v>75</v>
      </c>
      <c r="AU3" s="8" t="s">
        <v>75</v>
      </c>
      <c r="AV3" s="8" t="s">
        <v>75</v>
      </c>
      <c r="AW3" s="8" t="s">
        <v>75</v>
      </c>
      <c r="AX3" s="8" t="s">
        <v>75</v>
      </c>
      <c r="AY3" s="8" t="s">
        <v>75</v>
      </c>
      <c r="AZ3" s="8" t="s">
        <v>75</v>
      </c>
      <c r="BA3" s="8" t="s">
        <v>75</v>
      </c>
    </row>
    <row r="4">
      <c r="A4" s="8" t="s">
        <v>145</v>
      </c>
      <c r="B4" s="8" t="s">
        <v>147</v>
      </c>
      <c r="C4" s="8" t="s">
        <v>132</v>
      </c>
      <c r="D4" s="8" t="s">
        <v>149</v>
      </c>
      <c r="E4" s="8" t="s">
        <v>151</v>
      </c>
      <c r="F4" s="8" t="s">
        <v>153</v>
      </c>
      <c r="G4" s="10" t="s">
        <v>155</v>
      </c>
      <c r="H4" s="10" t="s">
        <v>156</v>
      </c>
      <c r="I4" s="8">
        <v>2023.0</v>
      </c>
      <c r="J4" s="13" t="s">
        <v>73</v>
      </c>
      <c r="K4" s="8">
        <v>0.0</v>
      </c>
      <c r="L4" s="8">
        <v>0.0</v>
      </c>
      <c r="M4" s="8">
        <v>2.0</v>
      </c>
      <c r="N4" s="8" t="s">
        <v>98</v>
      </c>
      <c r="O4" s="8" t="s">
        <v>98</v>
      </c>
      <c r="P4" s="8">
        <v>0.0</v>
      </c>
      <c r="Q4" s="8" t="s">
        <v>98</v>
      </c>
      <c r="R4" s="8" t="s">
        <v>98</v>
      </c>
      <c r="S4" s="8" t="s">
        <v>98</v>
      </c>
      <c r="T4" s="8">
        <v>11386.0</v>
      </c>
      <c r="U4" s="8" t="s">
        <v>159</v>
      </c>
      <c r="V4" s="8" t="s">
        <v>75</v>
      </c>
      <c r="W4" s="8" t="s">
        <v>98</v>
      </c>
      <c r="X4" s="8" t="s">
        <v>86</v>
      </c>
      <c r="Y4" s="8" t="s">
        <v>80</v>
      </c>
      <c r="Z4" s="8" t="s">
        <v>75</v>
      </c>
      <c r="AA4" s="8" t="s">
        <v>75</v>
      </c>
      <c r="AB4" s="8" t="s">
        <v>98</v>
      </c>
      <c r="AC4" s="8" t="s">
        <v>98</v>
      </c>
      <c r="AD4" s="13" t="s">
        <v>163</v>
      </c>
      <c r="AE4" s="8"/>
      <c r="AF4" s="8">
        <v>1029.0</v>
      </c>
      <c r="AG4" s="8" t="s">
        <v>98</v>
      </c>
      <c r="AH4" s="8" t="s">
        <v>98</v>
      </c>
      <c r="AI4" s="8" t="s">
        <v>98</v>
      </c>
      <c r="AJ4" s="8" t="s">
        <v>98</v>
      </c>
      <c r="AK4" s="8" t="s">
        <v>98</v>
      </c>
      <c r="AL4" s="8" t="s">
        <v>80</v>
      </c>
      <c r="AM4" s="8" t="s">
        <v>75</v>
      </c>
      <c r="AN4" s="8" t="s">
        <v>75</v>
      </c>
      <c r="AO4" s="8" t="s">
        <v>75</v>
      </c>
      <c r="AP4" s="8" t="s">
        <v>80</v>
      </c>
      <c r="AQ4" s="8" t="s">
        <v>80</v>
      </c>
      <c r="AR4" s="8" t="s">
        <v>75</v>
      </c>
      <c r="AS4" s="8" t="s">
        <v>75</v>
      </c>
      <c r="AT4" s="8" t="s">
        <v>75</v>
      </c>
      <c r="AU4" s="8" t="s">
        <v>80</v>
      </c>
      <c r="AV4" s="8" t="s">
        <v>75</v>
      </c>
      <c r="AW4" s="8" t="s">
        <v>75</v>
      </c>
      <c r="AX4" s="8" t="s">
        <v>75</v>
      </c>
      <c r="AY4" s="8" t="s">
        <v>75</v>
      </c>
      <c r="AZ4" s="8" t="s">
        <v>75</v>
      </c>
      <c r="BA4" s="8" t="s">
        <v>75</v>
      </c>
    </row>
    <row r="5" ht="16.5" customHeight="1">
      <c r="A5" s="8" t="s">
        <v>167</v>
      </c>
      <c r="B5" s="8" t="s">
        <v>66</v>
      </c>
      <c r="C5" s="8" t="s">
        <v>133</v>
      </c>
      <c r="D5" s="8" t="s">
        <v>168</v>
      </c>
      <c r="E5" s="8" t="s">
        <v>169</v>
      </c>
      <c r="F5" s="8" t="s">
        <v>170</v>
      </c>
      <c r="G5" s="8" t="s">
        <v>172</v>
      </c>
      <c r="H5" s="8" t="s">
        <v>173</v>
      </c>
      <c r="I5" s="8">
        <v>2021.0</v>
      </c>
      <c r="J5" s="13" t="s">
        <v>73</v>
      </c>
      <c r="K5" s="8">
        <v>2.0</v>
      </c>
      <c r="L5" s="8">
        <v>0.0</v>
      </c>
      <c r="M5" s="8">
        <v>1.0</v>
      </c>
      <c r="N5" s="8">
        <v>0.0</v>
      </c>
      <c r="O5" s="8">
        <v>0.0</v>
      </c>
      <c r="P5" s="8">
        <v>3.0</v>
      </c>
      <c r="Q5" s="8">
        <v>6.0</v>
      </c>
      <c r="R5" s="8">
        <v>6.0</v>
      </c>
      <c r="S5" s="8" t="s">
        <v>179</v>
      </c>
      <c r="T5" s="8">
        <v>26008.0</v>
      </c>
      <c r="U5" s="8" t="s">
        <v>180</v>
      </c>
      <c r="V5" s="8" t="s">
        <v>75</v>
      </c>
      <c r="W5" s="8" t="s">
        <v>98</v>
      </c>
      <c r="X5" s="8" t="s">
        <v>86</v>
      </c>
      <c r="Y5" s="8" t="s">
        <v>80</v>
      </c>
      <c r="Z5" s="8" t="s">
        <v>80</v>
      </c>
      <c r="AA5" s="8" t="s">
        <v>75</v>
      </c>
      <c r="AB5" s="8" t="s">
        <v>75</v>
      </c>
      <c r="AC5" s="8" t="s">
        <v>75</v>
      </c>
      <c r="AD5" s="15" t="s">
        <v>66</v>
      </c>
      <c r="AE5" s="8"/>
      <c r="AF5" s="8" t="s">
        <v>98</v>
      </c>
      <c r="AG5" s="8" t="s">
        <v>98</v>
      </c>
      <c r="AH5" s="8" t="s">
        <v>80</v>
      </c>
      <c r="AI5" s="8" t="s">
        <v>75</v>
      </c>
      <c r="AJ5" s="8" t="s">
        <v>80</v>
      </c>
      <c r="AK5" s="8" t="s">
        <v>98</v>
      </c>
      <c r="AL5" s="8" t="s">
        <v>80</v>
      </c>
      <c r="AM5" s="8" t="s">
        <v>75</v>
      </c>
      <c r="AN5" s="8" t="s">
        <v>75</v>
      </c>
      <c r="AO5" s="8" t="s">
        <v>80</v>
      </c>
      <c r="AP5" s="8" t="s">
        <v>75</v>
      </c>
      <c r="AQ5" s="8" t="s">
        <v>75</v>
      </c>
      <c r="AR5" s="8" t="s">
        <v>75</v>
      </c>
      <c r="AS5" s="8" t="s">
        <v>75</v>
      </c>
      <c r="AT5" s="8" t="s">
        <v>75</v>
      </c>
      <c r="AU5" s="8" t="s">
        <v>75</v>
      </c>
      <c r="AV5" s="8" t="s">
        <v>75</v>
      </c>
      <c r="AW5" s="8" t="s">
        <v>75</v>
      </c>
      <c r="AX5" s="8" t="s">
        <v>75</v>
      </c>
      <c r="AY5" s="8" t="s">
        <v>75</v>
      </c>
      <c r="AZ5" s="8" t="s">
        <v>75</v>
      </c>
      <c r="BA5" s="8" t="s">
        <v>75</v>
      </c>
    </row>
    <row r="6">
      <c r="A6" s="8" t="s">
        <v>196</v>
      </c>
      <c r="B6" s="8" t="s">
        <v>66</v>
      </c>
      <c r="C6" s="8" t="s">
        <v>162</v>
      </c>
      <c r="D6" s="8" t="s">
        <v>197</v>
      </c>
      <c r="E6" s="8" t="s">
        <v>198</v>
      </c>
      <c r="F6" s="8" t="s">
        <v>200</v>
      </c>
      <c r="G6" s="8" t="s">
        <v>201</v>
      </c>
      <c r="H6" s="8" t="s">
        <v>202</v>
      </c>
      <c r="I6" s="8">
        <v>2022.0</v>
      </c>
      <c r="J6" s="12" t="s">
        <v>165</v>
      </c>
      <c r="K6" s="8">
        <v>3.0</v>
      </c>
      <c r="L6" s="8">
        <v>0.0</v>
      </c>
      <c r="M6" s="8">
        <v>0.0</v>
      </c>
      <c r="N6" s="8">
        <v>3.0</v>
      </c>
      <c r="O6" s="8">
        <v>0.0</v>
      </c>
      <c r="P6" s="8">
        <v>0.0</v>
      </c>
      <c r="Q6" s="8">
        <v>33.0</v>
      </c>
      <c r="R6" s="8">
        <v>55.0</v>
      </c>
      <c r="S6" s="8" t="s">
        <v>205</v>
      </c>
      <c r="T6" s="8">
        <v>14563.0</v>
      </c>
      <c r="U6" s="8" t="s">
        <v>122</v>
      </c>
      <c r="V6" s="8" t="s">
        <v>75</v>
      </c>
      <c r="W6" s="8" t="s">
        <v>98</v>
      </c>
      <c r="X6" s="8" t="s">
        <v>89</v>
      </c>
      <c r="Y6" s="8" t="s">
        <v>80</v>
      </c>
      <c r="Z6" s="8" t="s">
        <v>80</v>
      </c>
      <c r="AA6" s="8" t="s">
        <v>75</v>
      </c>
      <c r="AB6" s="8" t="s">
        <v>80</v>
      </c>
      <c r="AC6" s="8" t="s">
        <v>98</v>
      </c>
      <c r="AD6" s="21" t="s">
        <v>75</v>
      </c>
      <c r="AE6" s="21" t="s">
        <v>75</v>
      </c>
      <c r="AF6" s="8" t="s">
        <v>98</v>
      </c>
      <c r="AG6" s="8" t="s">
        <v>98</v>
      </c>
      <c r="AH6" s="8" t="s">
        <v>80</v>
      </c>
      <c r="AI6" s="8" t="s">
        <v>98</v>
      </c>
      <c r="AJ6" s="8" t="s">
        <v>80</v>
      </c>
      <c r="AK6" s="8" t="s">
        <v>98</v>
      </c>
      <c r="AL6" s="8" t="s">
        <v>75</v>
      </c>
      <c r="AM6" s="8" t="s">
        <v>75</v>
      </c>
      <c r="AN6" s="8" t="s">
        <v>75</v>
      </c>
      <c r="AO6" s="8" t="s">
        <v>75</v>
      </c>
      <c r="AP6" s="8" t="s">
        <v>75</v>
      </c>
      <c r="AQ6" s="8" t="s">
        <v>75</v>
      </c>
      <c r="AR6" s="8" t="s">
        <v>75</v>
      </c>
      <c r="AS6" s="8" t="s">
        <v>75</v>
      </c>
      <c r="AT6" s="8" t="s">
        <v>75</v>
      </c>
      <c r="AU6" s="8" t="s">
        <v>75</v>
      </c>
      <c r="AV6" s="8" t="s">
        <v>75</v>
      </c>
      <c r="AW6" s="8" t="s">
        <v>75</v>
      </c>
      <c r="AX6" s="8" t="s">
        <v>75</v>
      </c>
      <c r="AY6" s="8" t="s">
        <v>75</v>
      </c>
      <c r="AZ6" s="8" t="s">
        <v>75</v>
      </c>
      <c r="BA6" s="8" t="s">
        <v>75</v>
      </c>
    </row>
    <row r="7">
      <c r="A7" s="8" t="s">
        <v>211</v>
      </c>
      <c r="B7" s="8" t="s">
        <v>66</v>
      </c>
      <c r="C7" s="8" t="s">
        <v>207</v>
      </c>
      <c r="D7" s="8" t="s">
        <v>214</v>
      </c>
      <c r="E7" s="8" t="s">
        <v>215</v>
      </c>
      <c r="F7" s="8" t="s">
        <v>216</v>
      </c>
      <c r="G7" s="8" t="s">
        <v>217</v>
      </c>
      <c r="H7" s="8" t="s">
        <v>218</v>
      </c>
      <c r="I7" s="8">
        <v>2023.0</v>
      </c>
      <c r="J7" s="13" t="s">
        <v>73</v>
      </c>
      <c r="K7" s="8">
        <v>1.0</v>
      </c>
      <c r="L7" s="8">
        <v>0.0</v>
      </c>
      <c r="M7" s="8">
        <v>1.0</v>
      </c>
      <c r="N7" s="8" t="s">
        <v>98</v>
      </c>
      <c r="O7" s="8" t="s">
        <v>98</v>
      </c>
      <c r="P7" s="8" t="s">
        <v>98</v>
      </c>
      <c r="Q7" s="8">
        <v>8.0</v>
      </c>
      <c r="R7" s="8">
        <v>10.0</v>
      </c>
      <c r="S7" s="8" t="s">
        <v>93</v>
      </c>
      <c r="T7" s="8">
        <v>4522.0</v>
      </c>
      <c r="U7" s="8" t="s">
        <v>96</v>
      </c>
      <c r="V7" s="8" t="s">
        <v>75</v>
      </c>
      <c r="W7" s="8" t="s">
        <v>98</v>
      </c>
      <c r="X7" s="8" t="s">
        <v>92</v>
      </c>
      <c r="Y7" s="8" t="s">
        <v>80</v>
      </c>
      <c r="Z7" s="8" t="s">
        <v>80</v>
      </c>
      <c r="AA7" s="8" t="s">
        <v>75</v>
      </c>
      <c r="AB7" s="8" t="s">
        <v>75</v>
      </c>
      <c r="AC7" s="8" t="s">
        <v>75</v>
      </c>
      <c r="AD7" s="21" t="s">
        <v>75</v>
      </c>
      <c r="AE7" s="21" t="s">
        <v>75</v>
      </c>
      <c r="AF7" s="8" t="s">
        <v>98</v>
      </c>
      <c r="AG7" s="8" t="s">
        <v>98</v>
      </c>
      <c r="AH7" s="8" t="s">
        <v>80</v>
      </c>
      <c r="AI7" s="8" t="s">
        <v>75</v>
      </c>
      <c r="AJ7" s="8" t="s">
        <v>75</v>
      </c>
      <c r="AK7" s="8" t="s">
        <v>231</v>
      </c>
      <c r="AL7" s="8" t="s">
        <v>80</v>
      </c>
      <c r="AM7" s="8" t="s">
        <v>75</v>
      </c>
      <c r="AN7" s="8" t="s">
        <v>75</v>
      </c>
      <c r="AO7" s="8" t="s">
        <v>75</v>
      </c>
      <c r="AP7" s="8" t="s">
        <v>75</v>
      </c>
      <c r="AQ7" s="8" t="s">
        <v>75</v>
      </c>
      <c r="AR7" s="8" t="s">
        <v>80</v>
      </c>
      <c r="AS7" s="8" t="s">
        <v>75</v>
      </c>
      <c r="AT7" s="8" t="s">
        <v>75</v>
      </c>
      <c r="AU7" s="8" t="s">
        <v>75</v>
      </c>
      <c r="AV7" s="8" t="s">
        <v>75</v>
      </c>
      <c r="AW7" s="8" t="s">
        <v>75</v>
      </c>
      <c r="AX7" s="8" t="s">
        <v>75</v>
      </c>
      <c r="AY7" s="8" t="s">
        <v>75</v>
      </c>
      <c r="AZ7" s="8" t="s">
        <v>75</v>
      </c>
      <c r="BA7" s="8" t="s">
        <v>75</v>
      </c>
    </row>
    <row r="8">
      <c r="A8" s="8" t="s">
        <v>241</v>
      </c>
      <c r="B8" s="8" t="s">
        <v>66</v>
      </c>
      <c r="C8" s="8" t="s">
        <v>243</v>
      </c>
      <c r="D8" s="8" t="s">
        <v>244</v>
      </c>
      <c r="E8" s="8" t="s">
        <v>246</v>
      </c>
      <c r="F8" s="8" t="s">
        <v>247</v>
      </c>
      <c r="G8" s="8" t="s">
        <v>248</v>
      </c>
      <c r="H8" s="8" t="s">
        <v>249</v>
      </c>
      <c r="I8" s="8">
        <v>2023.0</v>
      </c>
      <c r="J8" s="12" t="s">
        <v>165</v>
      </c>
      <c r="K8" s="8">
        <v>0.0</v>
      </c>
      <c r="L8" s="8">
        <v>0.0</v>
      </c>
      <c r="M8" s="8">
        <v>1.0</v>
      </c>
      <c r="N8" s="8" t="s">
        <v>98</v>
      </c>
      <c r="O8" s="8" t="s">
        <v>98</v>
      </c>
      <c r="P8" s="8" t="s">
        <v>98</v>
      </c>
      <c r="Q8" s="8" t="s">
        <v>98</v>
      </c>
      <c r="R8" s="8" t="s">
        <v>98</v>
      </c>
      <c r="S8" s="8" t="s">
        <v>98</v>
      </c>
      <c r="T8" s="8">
        <v>11158.0</v>
      </c>
      <c r="U8" s="8" t="s">
        <v>251</v>
      </c>
      <c r="V8" s="8" t="s">
        <v>75</v>
      </c>
      <c r="W8" s="8" t="s">
        <v>98</v>
      </c>
      <c r="X8" s="8" t="s">
        <v>83</v>
      </c>
      <c r="Y8" s="8" t="s">
        <v>80</v>
      </c>
      <c r="Z8" s="8" t="s">
        <v>80</v>
      </c>
      <c r="AA8" s="8" t="s">
        <v>75</v>
      </c>
      <c r="AB8" s="8" t="s">
        <v>98</v>
      </c>
      <c r="AC8" s="8" t="s">
        <v>98</v>
      </c>
      <c r="AD8" s="13" t="s">
        <v>163</v>
      </c>
      <c r="AE8" s="8"/>
      <c r="AF8" s="8" t="s">
        <v>98</v>
      </c>
      <c r="AG8" s="8" t="s">
        <v>98</v>
      </c>
      <c r="AH8" s="8" t="s">
        <v>98</v>
      </c>
      <c r="AI8" s="8" t="s">
        <v>98</v>
      </c>
      <c r="AJ8" s="8" t="s">
        <v>98</v>
      </c>
      <c r="AK8" s="8" t="s">
        <v>98</v>
      </c>
      <c r="AL8" s="8" t="s">
        <v>80</v>
      </c>
      <c r="AM8" s="8" t="s">
        <v>75</v>
      </c>
      <c r="AN8" s="8" t="s">
        <v>75</v>
      </c>
      <c r="AO8" s="8" t="s">
        <v>75</v>
      </c>
      <c r="AP8" s="8" t="s">
        <v>75</v>
      </c>
      <c r="AQ8" s="8" t="s">
        <v>75</v>
      </c>
      <c r="AR8" s="8" t="s">
        <v>75</v>
      </c>
      <c r="AS8" s="8" t="s">
        <v>75</v>
      </c>
      <c r="AT8" s="8" t="s">
        <v>75</v>
      </c>
      <c r="AU8" s="8" t="s">
        <v>75</v>
      </c>
      <c r="AV8" s="8" t="s">
        <v>75</v>
      </c>
      <c r="AW8" s="8" t="s">
        <v>75</v>
      </c>
      <c r="AX8" s="8" t="s">
        <v>75</v>
      </c>
      <c r="AY8" s="8" t="s">
        <v>75</v>
      </c>
      <c r="AZ8" s="8" t="s">
        <v>75</v>
      </c>
      <c r="BA8" s="8" t="s">
        <v>75</v>
      </c>
    </row>
    <row r="9">
      <c r="A9" s="8" t="s">
        <v>254</v>
      </c>
      <c r="B9" s="8" t="s">
        <v>66</v>
      </c>
      <c r="C9" s="8" t="s">
        <v>255</v>
      </c>
      <c r="D9" s="8" t="s">
        <v>256</v>
      </c>
      <c r="E9" s="8" t="s">
        <v>257</v>
      </c>
      <c r="F9" s="8" t="s">
        <v>170</v>
      </c>
      <c r="G9" s="10" t="s">
        <v>259</v>
      </c>
      <c r="H9" s="10" t="s">
        <v>260</v>
      </c>
      <c r="I9" s="8">
        <v>2024.0</v>
      </c>
      <c r="J9" s="13" t="s">
        <v>73</v>
      </c>
      <c r="K9" s="8" t="s">
        <v>98</v>
      </c>
      <c r="L9" s="8" t="s">
        <v>98</v>
      </c>
      <c r="M9" s="8" t="s">
        <v>98</v>
      </c>
      <c r="N9" s="8" t="s">
        <v>98</v>
      </c>
      <c r="O9" s="8" t="s">
        <v>98</v>
      </c>
      <c r="P9" s="8" t="s">
        <v>98</v>
      </c>
      <c r="Q9" s="8">
        <v>18.0</v>
      </c>
      <c r="R9" s="8">
        <v>18.0</v>
      </c>
      <c r="S9" s="8" t="s">
        <v>179</v>
      </c>
      <c r="T9" s="8">
        <v>41177.0</v>
      </c>
      <c r="U9" s="8" t="s">
        <v>266</v>
      </c>
      <c r="V9" s="8" t="s">
        <v>75</v>
      </c>
      <c r="W9" s="8" t="s">
        <v>98</v>
      </c>
      <c r="X9" s="8" t="s">
        <v>98</v>
      </c>
      <c r="Y9" s="8" t="s">
        <v>80</v>
      </c>
      <c r="Z9" s="8" t="s">
        <v>80</v>
      </c>
      <c r="AA9" s="8" t="s">
        <v>75</v>
      </c>
      <c r="AB9" s="8" t="s">
        <v>75</v>
      </c>
      <c r="AC9" s="8" t="s">
        <v>75</v>
      </c>
      <c r="AD9" s="21" t="s">
        <v>75</v>
      </c>
      <c r="AE9" s="21" t="s">
        <v>75</v>
      </c>
      <c r="AF9" s="8" t="s">
        <v>98</v>
      </c>
      <c r="AG9" s="8" t="s">
        <v>98</v>
      </c>
      <c r="AH9" s="8" t="s">
        <v>80</v>
      </c>
      <c r="AI9" s="8" t="s">
        <v>80</v>
      </c>
      <c r="AJ9" s="8" t="s">
        <v>98</v>
      </c>
      <c r="AK9" s="8" t="s">
        <v>98</v>
      </c>
      <c r="AL9" s="8" t="s">
        <v>80</v>
      </c>
      <c r="AM9" s="8" t="s">
        <v>75</v>
      </c>
      <c r="AN9" s="8" t="s">
        <v>75</v>
      </c>
      <c r="AO9" s="8" t="s">
        <v>75</v>
      </c>
      <c r="AP9" s="8" t="s">
        <v>75</v>
      </c>
      <c r="AQ9" s="8" t="s">
        <v>75</v>
      </c>
      <c r="AR9" s="8" t="s">
        <v>75</v>
      </c>
      <c r="AS9" s="8" t="s">
        <v>75</v>
      </c>
      <c r="AT9" s="8" t="s">
        <v>75</v>
      </c>
      <c r="AU9" s="8" t="s">
        <v>75</v>
      </c>
      <c r="AV9" s="8" t="s">
        <v>75</v>
      </c>
      <c r="AW9" s="8" t="s">
        <v>75</v>
      </c>
      <c r="AX9" s="8" t="s">
        <v>80</v>
      </c>
      <c r="AY9" s="8" t="s">
        <v>75</v>
      </c>
      <c r="AZ9" s="8" t="s">
        <v>75</v>
      </c>
      <c r="BA9" s="8" t="s">
        <v>75</v>
      </c>
    </row>
    <row r="10">
      <c r="A10" s="8" t="s">
        <v>268</v>
      </c>
      <c r="B10" s="8" t="s">
        <v>66</v>
      </c>
      <c r="C10" s="8" t="s">
        <v>269</v>
      </c>
      <c r="D10" s="8" t="s">
        <v>270</v>
      </c>
      <c r="E10" s="8" t="s">
        <v>271</v>
      </c>
      <c r="F10" s="8" t="s">
        <v>247</v>
      </c>
      <c r="G10" s="8" t="s">
        <v>272</v>
      </c>
      <c r="H10" s="8" t="s">
        <v>274</v>
      </c>
      <c r="I10" s="8">
        <v>2024.0</v>
      </c>
      <c r="J10" s="13" t="s">
        <v>73</v>
      </c>
      <c r="K10" s="8">
        <v>3.0</v>
      </c>
      <c r="L10" s="8">
        <v>0.0</v>
      </c>
      <c r="M10" s="8">
        <v>0.0</v>
      </c>
      <c r="N10" s="8">
        <v>6.0</v>
      </c>
      <c r="O10" s="8">
        <v>12.0</v>
      </c>
      <c r="P10" s="8">
        <v>0.0</v>
      </c>
      <c r="Q10" s="8">
        <v>3.0</v>
      </c>
      <c r="R10" s="8">
        <v>3.0</v>
      </c>
      <c r="S10" s="8" t="s">
        <v>93</v>
      </c>
      <c r="T10" s="8">
        <v>9272.0</v>
      </c>
      <c r="U10" s="8" t="s">
        <v>276</v>
      </c>
      <c r="V10" s="8" t="s">
        <v>75</v>
      </c>
      <c r="W10" s="8" t="s">
        <v>98</v>
      </c>
      <c r="X10" s="8" t="s">
        <v>83</v>
      </c>
      <c r="Y10" s="8" t="s">
        <v>80</v>
      </c>
      <c r="Z10" s="8" t="s">
        <v>80</v>
      </c>
      <c r="AA10" s="8" t="s">
        <v>75</v>
      </c>
      <c r="AB10" s="8" t="s">
        <v>75</v>
      </c>
      <c r="AC10" s="8" t="s">
        <v>75</v>
      </c>
      <c r="AD10" s="21" t="s">
        <v>75</v>
      </c>
      <c r="AE10" s="21" t="s">
        <v>75</v>
      </c>
      <c r="AF10" s="8" t="s">
        <v>98</v>
      </c>
      <c r="AG10" s="8" t="s">
        <v>98</v>
      </c>
      <c r="AH10" s="8" t="s">
        <v>80</v>
      </c>
      <c r="AI10" s="8" t="s">
        <v>75</v>
      </c>
      <c r="AJ10" s="8" t="s">
        <v>75</v>
      </c>
      <c r="AK10" s="8" t="s">
        <v>279</v>
      </c>
      <c r="AL10" s="8" t="s">
        <v>75</v>
      </c>
      <c r="AM10" s="8" t="s">
        <v>75</v>
      </c>
      <c r="AN10" s="8" t="s">
        <v>75</v>
      </c>
      <c r="AO10" s="8" t="s">
        <v>75</v>
      </c>
      <c r="AP10" s="8" t="s">
        <v>75</v>
      </c>
      <c r="AQ10" s="8" t="s">
        <v>75</v>
      </c>
      <c r="AR10" s="8" t="s">
        <v>75</v>
      </c>
      <c r="AS10" s="8" t="s">
        <v>75</v>
      </c>
      <c r="AT10" s="8" t="s">
        <v>75</v>
      </c>
      <c r="AU10" s="8" t="s">
        <v>75</v>
      </c>
      <c r="AV10" s="8" t="s">
        <v>75</v>
      </c>
      <c r="AW10" s="8" t="s">
        <v>75</v>
      </c>
      <c r="AX10" s="8" t="s">
        <v>75</v>
      </c>
      <c r="AY10" s="8" t="s">
        <v>75</v>
      </c>
      <c r="AZ10" s="8" t="s">
        <v>75</v>
      </c>
      <c r="BA10" s="8" t="s">
        <v>75</v>
      </c>
    </row>
    <row r="11">
      <c r="A11" s="43" t="s">
        <v>280</v>
      </c>
      <c r="B11" s="43" t="s">
        <v>66</v>
      </c>
      <c r="C11" s="43" t="s">
        <v>281</v>
      </c>
      <c r="D11" s="43" t="s">
        <v>282</v>
      </c>
      <c r="E11" s="43" t="s">
        <v>283</v>
      </c>
      <c r="F11" s="43" t="s">
        <v>284</v>
      </c>
      <c r="G11" s="43" t="s">
        <v>285</v>
      </c>
      <c r="H11" s="43" t="s">
        <v>286</v>
      </c>
      <c r="I11" s="43">
        <v>2025.0</v>
      </c>
      <c r="J11" s="45" t="s">
        <v>165</v>
      </c>
      <c r="K11" s="43">
        <v>13.0</v>
      </c>
      <c r="L11" s="43">
        <v>4.0</v>
      </c>
      <c r="M11" s="43">
        <v>0.0</v>
      </c>
      <c r="N11" s="43" t="s">
        <v>98</v>
      </c>
      <c r="O11" s="43" t="s">
        <v>98</v>
      </c>
      <c r="P11" s="43" t="s">
        <v>98</v>
      </c>
      <c r="Q11" s="43" t="s">
        <v>98</v>
      </c>
      <c r="R11" s="43" t="s">
        <v>98</v>
      </c>
      <c r="S11" s="43" t="s">
        <v>98</v>
      </c>
      <c r="T11" s="43">
        <v>88543.0</v>
      </c>
      <c r="U11" s="43" t="s">
        <v>287</v>
      </c>
      <c r="V11" s="43" t="s">
        <v>288</v>
      </c>
      <c r="W11" s="43" t="s">
        <v>98</v>
      </c>
      <c r="X11" s="43" t="s">
        <v>83</v>
      </c>
      <c r="Y11" s="43" t="s">
        <v>80</v>
      </c>
      <c r="Z11" s="43" t="s">
        <v>80</v>
      </c>
      <c r="AA11" s="43" t="s">
        <v>75</v>
      </c>
      <c r="AB11" s="43" t="s">
        <v>80</v>
      </c>
      <c r="AC11" s="43" t="s">
        <v>80</v>
      </c>
      <c r="AD11" s="46" t="s">
        <v>75</v>
      </c>
      <c r="AE11" s="24" t="s">
        <v>80</v>
      </c>
      <c r="AF11" s="43" t="s">
        <v>98</v>
      </c>
      <c r="AG11" s="43" t="s">
        <v>80</v>
      </c>
      <c r="AH11" s="43" t="s">
        <v>80</v>
      </c>
      <c r="AI11" s="43" t="s">
        <v>75</v>
      </c>
      <c r="AJ11" s="43" t="s">
        <v>80</v>
      </c>
      <c r="AK11" s="43" t="s">
        <v>289</v>
      </c>
      <c r="AL11" s="43" t="s">
        <v>75</v>
      </c>
      <c r="AM11" s="43" t="s">
        <v>75</v>
      </c>
      <c r="AN11" s="43" t="s">
        <v>75</v>
      </c>
      <c r="AO11" s="43" t="s">
        <v>75</v>
      </c>
      <c r="AP11" s="43" t="s">
        <v>75</v>
      </c>
      <c r="AQ11" s="43" t="s">
        <v>75</v>
      </c>
      <c r="AR11" s="43" t="s">
        <v>75</v>
      </c>
      <c r="AS11" s="43" t="s">
        <v>75</v>
      </c>
      <c r="AT11" s="8" t="s">
        <v>75</v>
      </c>
      <c r="AU11" s="43" t="s">
        <v>75</v>
      </c>
      <c r="AV11" s="43" t="s">
        <v>75</v>
      </c>
      <c r="AW11" s="8" t="s">
        <v>75</v>
      </c>
      <c r="AX11" s="43" t="s">
        <v>75</v>
      </c>
      <c r="AY11" s="43" t="s">
        <v>75</v>
      </c>
      <c r="AZ11" s="43" t="s">
        <v>75</v>
      </c>
      <c r="BA11" s="8" t="s">
        <v>75</v>
      </c>
    </row>
    <row r="12">
      <c r="A12" s="8" t="s">
        <v>290</v>
      </c>
      <c r="B12" s="8" t="s">
        <v>291</v>
      </c>
      <c r="C12" s="8">
        <v>1.71148E7</v>
      </c>
      <c r="D12" s="8" t="s">
        <v>292</v>
      </c>
      <c r="E12" s="8" t="s">
        <v>293</v>
      </c>
      <c r="F12" s="8" t="s">
        <v>294</v>
      </c>
      <c r="G12" s="8" t="s">
        <v>295</v>
      </c>
      <c r="H12" s="8" t="s">
        <v>296</v>
      </c>
      <c r="I12" s="8">
        <v>2025.0</v>
      </c>
      <c r="J12" s="12" t="s">
        <v>165</v>
      </c>
      <c r="K12" s="8">
        <v>107.0</v>
      </c>
      <c r="L12" s="8">
        <v>98.0</v>
      </c>
      <c r="M12" s="8">
        <v>0.0</v>
      </c>
      <c r="N12" s="8">
        <v>115.0</v>
      </c>
      <c r="O12" s="8">
        <v>90.0</v>
      </c>
      <c r="P12" s="8">
        <v>0.0</v>
      </c>
      <c r="Q12" s="8">
        <v>28.0</v>
      </c>
      <c r="R12" s="8">
        <v>88.0</v>
      </c>
      <c r="S12" s="8" t="s">
        <v>205</v>
      </c>
      <c r="T12" s="8">
        <v>1416923.0</v>
      </c>
      <c r="U12" s="8" t="s">
        <v>297</v>
      </c>
      <c r="V12" s="8" t="s">
        <v>288</v>
      </c>
      <c r="W12" s="8" t="s">
        <v>298</v>
      </c>
      <c r="X12" s="8" t="s">
        <v>83</v>
      </c>
      <c r="Y12" s="8" t="s">
        <v>80</v>
      </c>
      <c r="Z12" s="8" t="s">
        <v>80</v>
      </c>
      <c r="AA12" s="8" t="s">
        <v>75</v>
      </c>
      <c r="AB12" s="8" t="s">
        <v>80</v>
      </c>
      <c r="AC12" s="8" t="s">
        <v>98</v>
      </c>
      <c r="AD12" s="21" t="s">
        <v>75</v>
      </c>
      <c r="AE12" s="21" t="s">
        <v>75</v>
      </c>
      <c r="AF12" s="8">
        <v>0.0</v>
      </c>
      <c r="AG12" s="8" t="s">
        <v>80</v>
      </c>
      <c r="AH12" s="8" t="s">
        <v>75</v>
      </c>
      <c r="AI12" s="8" t="s">
        <v>75</v>
      </c>
      <c r="AJ12" s="8" t="s">
        <v>75</v>
      </c>
      <c r="AK12" s="8" t="s">
        <v>300</v>
      </c>
      <c r="AL12" s="8" t="s">
        <v>75</v>
      </c>
      <c r="AM12" s="8" t="s">
        <v>80</v>
      </c>
      <c r="AN12" s="8" t="s">
        <v>75</v>
      </c>
      <c r="AO12" s="8" t="s">
        <v>75</v>
      </c>
      <c r="AP12" s="8" t="s">
        <v>75</v>
      </c>
      <c r="AQ12" s="8" t="s">
        <v>75</v>
      </c>
      <c r="AR12" s="8" t="s">
        <v>75</v>
      </c>
      <c r="AS12" s="8" t="s">
        <v>75</v>
      </c>
      <c r="AT12" s="8" t="s">
        <v>75</v>
      </c>
      <c r="AU12" s="8" t="s">
        <v>75</v>
      </c>
      <c r="AV12" s="8" t="s">
        <v>75</v>
      </c>
      <c r="AW12" s="8" t="s">
        <v>75</v>
      </c>
      <c r="AX12" s="8" t="s">
        <v>75</v>
      </c>
      <c r="AY12" s="8" t="s">
        <v>75</v>
      </c>
      <c r="AZ12" s="8" t="s">
        <v>75</v>
      </c>
      <c r="BA12" s="8" t="s">
        <v>75</v>
      </c>
    </row>
    <row r="13">
      <c r="A13" s="8" t="s">
        <v>302</v>
      </c>
      <c r="B13" s="8" t="s">
        <v>66</v>
      </c>
      <c r="C13" s="8" t="s">
        <v>303</v>
      </c>
      <c r="D13" s="8" t="s">
        <v>304</v>
      </c>
      <c r="E13" s="8" t="s">
        <v>305</v>
      </c>
      <c r="F13" s="8" t="s">
        <v>247</v>
      </c>
      <c r="G13" s="8" t="s">
        <v>272</v>
      </c>
      <c r="H13" s="8" t="s">
        <v>274</v>
      </c>
      <c r="I13" s="8">
        <v>2026.0</v>
      </c>
      <c r="J13" s="13" t="s">
        <v>73</v>
      </c>
      <c r="K13" s="8">
        <v>17.0</v>
      </c>
      <c r="L13" s="8">
        <v>0.0</v>
      </c>
      <c r="M13" s="8">
        <v>0.0</v>
      </c>
      <c r="N13" s="8">
        <v>0.0</v>
      </c>
      <c r="O13" s="8">
        <v>0.0</v>
      </c>
      <c r="P13" s="8">
        <v>17.0</v>
      </c>
      <c r="Q13" s="8">
        <v>2.5</v>
      </c>
      <c r="R13" s="8">
        <v>60.0</v>
      </c>
      <c r="S13" s="8" t="s">
        <v>306</v>
      </c>
      <c r="T13" s="8">
        <v>130000.0</v>
      </c>
      <c r="U13" s="8" t="s">
        <v>307</v>
      </c>
      <c r="V13" s="8" t="s">
        <v>75</v>
      </c>
      <c r="W13" s="8" t="s">
        <v>98</v>
      </c>
      <c r="X13" s="8" t="s">
        <v>86</v>
      </c>
      <c r="Y13" s="8" t="s">
        <v>80</v>
      </c>
      <c r="Z13" s="8" t="s">
        <v>80</v>
      </c>
      <c r="AA13" s="8" t="s">
        <v>75</v>
      </c>
      <c r="AB13" s="8" t="s">
        <v>75</v>
      </c>
      <c r="AC13" s="8" t="s">
        <v>75</v>
      </c>
      <c r="AD13" s="47" t="s">
        <v>309</v>
      </c>
      <c r="AE13" s="8"/>
      <c r="AF13" s="8" t="s">
        <v>98</v>
      </c>
      <c r="AG13" s="8" t="s">
        <v>98</v>
      </c>
      <c r="AH13" s="8" t="s">
        <v>80</v>
      </c>
      <c r="AI13" s="8" t="s">
        <v>75</v>
      </c>
      <c r="AJ13" s="8" t="s">
        <v>80</v>
      </c>
      <c r="AK13" s="8" t="s">
        <v>98</v>
      </c>
      <c r="AL13" s="8" t="s">
        <v>75</v>
      </c>
      <c r="AM13" s="8" t="s">
        <v>75</v>
      </c>
      <c r="AN13" s="8" t="s">
        <v>75</v>
      </c>
      <c r="AO13" s="8" t="s">
        <v>75</v>
      </c>
      <c r="AP13" s="8" t="s">
        <v>75</v>
      </c>
      <c r="AQ13" s="8" t="s">
        <v>75</v>
      </c>
      <c r="AR13" s="8" t="s">
        <v>75</v>
      </c>
      <c r="AS13" s="8" t="s">
        <v>75</v>
      </c>
      <c r="AT13" s="8" t="s">
        <v>75</v>
      </c>
      <c r="AU13" s="8" t="s">
        <v>75</v>
      </c>
      <c r="AV13" s="8" t="s">
        <v>75</v>
      </c>
      <c r="AW13" s="8" t="s">
        <v>75</v>
      </c>
      <c r="AX13" s="8" t="s">
        <v>75</v>
      </c>
      <c r="AY13" s="8" t="s">
        <v>75</v>
      </c>
      <c r="AZ13" s="8" t="s">
        <v>75</v>
      </c>
      <c r="BA13" s="8" t="s">
        <v>75</v>
      </c>
    </row>
    <row r="14">
      <c r="A14" s="8" t="s">
        <v>312</v>
      </c>
      <c r="B14" s="8" t="s">
        <v>66</v>
      </c>
      <c r="C14" s="8" t="s">
        <v>313</v>
      </c>
      <c r="D14" s="8" t="s">
        <v>314</v>
      </c>
      <c r="E14" s="8" t="s">
        <v>315</v>
      </c>
      <c r="F14" s="8" t="s">
        <v>316</v>
      </c>
      <c r="G14" s="8" t="s">
        <v>318</v>
      </c>
      <c r="H14" s="8" t="s">
        <v>319</v>
      </c>
      <c r="I14" s="8">
        <v>2024.0</v>
      </c>
      <c r="J14" s="13" t="s">
        <v>73</v>
      </c>
      <c r="K14" s="8">
        <v>1.0</v>
      </c>
      <c r="L14" s="8">
        <v>0.0</v>
      </c>
      <c r="M14" s="8">
        <v>1.0</v>
      </c>
      <c r="N14" s="8" t="s">
        <v>98</v>
      </c>
      <c r="O14" s="8" t="s">
        <v>98</v>
      </c>
      <c r="P14" s="8" t="s">
        <v>98</v>
      </c>
      <c r="Q14" s="8">
        <v>8.0</v>
      </c>
      <c r="R14" s="8">
        <v>8.0</v>
      </c>
      <c r="S14" s="8" t="s">
        <v>179</v>
      </c>
      <c r="T14" s="8">
        <v>11670.0</v>
      </c>
      <c r="U14" s="8" t="s">
        <v>96</v>
      </c>
      <c r="V14" s="8" t="s">
        <v>75</v>
      </c>
      <c r="W14" s="8" t="s">
        <v>98</v>
      </c>
      <c r="X14" s="8" t="s">
        <v>83</v>
      </c>
      <c r="Y14" s="8" t="s">
        <v>80</v>
      </c>
      <c r="Z14" s="8" t="s">
        <v>80</v>
      </c>
      <c r="AA14" s="8" t="s">
        <v>75</v>
      </c>
      <c r="AB14" s="8" t="s">
        <v>75</v>
      </c>
      <c r="AC14" s="8" t="s">
        <v>75</v>
      </c>
      <c r="AD14" s="21" t="s">
        <v>75</v>
      </c>
      <c r="AE14" s="24" t="s">
        <v>80</v>
      </c>
      <c r="AF14" s="8" t="s">
        <v>75</v>
      </c>
      <c r="AG14" s="8" t="s">
        <v>80</v>
      </c>
      <c r="AH14" s="8" t="s">
        <v>80</v>
      </c>
      <c r="AI14" s="8" t="s">
        <v>75</v>
      </c>
      <c r="AJ14" s="8" t="s">
        <v>98</v>
      </c>
      <c r="AK14" s="8" t="s">
        <v>98</v>
      </c>
      <c r="AL14" s="8" t="s">
        <v>80</v>
      </c>
      <c r="AM14" s="8" t="s">
        <v>75</v>
      </c>
      <c r="AN14" s="8" t="s">
        <v>75</v>
      </c>
      <c r="AO14" s="8" t="s">
        <v>75</v>
      </c>
      <c r="AP14" s="8" t="s">
        <v>75</v>
      </c>
      <c r="AQ14" s="8" t="s">
        <v>75</v>
      </c>
      <c r="AR14" s="8" t="s">
        <v>75</v>
      </c>
      <c r="AS14" s="8" t="s">
        <v>75</v>
      </c>
      <c r="AT14" s="8" t="s">
        <v>75</v>
      </c>
      <c r="AU14" s="8" t="s">
        <v>75</v>
      </c>
      <c r="AV14" s="8" t="s">
        <v>75</v>
      </c>
      <c r="AW14" s="8" t="s">
        <v>75</v>
      </c>
      <c r="AX14" s="8" t="s">
        <v>75</v>
      </c>
      <c r="AY14" s="8" t="s">
        <v>80</v>
      </c>
      <c r="AZ14" s="8" t="s">
        <v>75</v>
      </c>
      <c r="BA14" s="8" t="s">
        <v>75</v>
      </c>
    </row>
    <row r="15">
      <c r="A15" s="8" t="s">
        <v>331</v>
      </c>
      <c r="B15" s="8" t="s">
        <v>66</v>
      </c>
      <c r="C15" s="8" t="s">
        <v>332</v>
      </c>
      <c r="D15" s="8" t="s">
        <v>333</v>
      </c>
      <c r="E15" s="8" t="s">
        <v>334</v>
      </c>
      <c r="F15" s="8" t="s">
        <v>335</v>
      </c>
      <c r="G15" s="10" t="s">
        <v>336</v>
      </c>
      <c r="H15" s="10" t="s">
        <v>337</v>
      </c>
      <c r="I15" s="8">
        <v>2022.0</v>
      </c>
      <c r="J15" s="13" t="s">
        <v>73</v>
      </c>
      <c r="K15" s="8">
        <v>6.0</v>
      </c>
      <c r="L15" s="8">
        <v>0.0</v>
      </c>
      <c r="M15" s="8">
        <v>6.0</v>
      </c>
      <c r="N15" s="8" t="s">
        <v>98</v>
      </c>
      <c r="O15" s="8" t="s">
        <v>98</v>
      </c>
      <c r="P15" s="8" t="s">
        <v>98</v>
      </c>
      <c r="Q15" s="8">
        <v>12.0</v>
      </c>
      <c r="R15" s="8">
        <v>12.0</v>
      </c>
      <c r="S15" s="8" t="s">
        <v>93</v>
      </c>
      <c r="T15" s="8">
        <v>62479.0</v>
      </c>
      <c r="U15" s="8" t="s">
        <v>96</v>
      </c>
      <c r="V15" s="8" t="s">
        <v>75</v>
      </c>
      <c r="W15" s="8" t="s">
        <v>98</v>
      </c>
      <c r="X15" s="8" t="s">
        <v>83</v>
      </c>
      <c r="Y15" s="8" t="s">
        <v>80</v>
      </c>
      <c r="Z15" s="8" t="s">
        <v>80</v>
      </c>
      <c r="AA15" s="8" t="s">
        <v>75</v>
      </c>
      <c r="AB15" s="8" t="s">
        <v>80</v>
      </c>
      <c r="AC15" s="8" t="s">
        <v>98</v>
      </c>
      <c r="AD15" s="21" t="s">
        <v>75</v>
      </c>
      <c r="AE15" s="21" t="s">
        <v>75</v>
      </c>
      <c r="AF15" s="8" t="s">
        <v>75</v>
      </c>
      <c r="AG15" s="8" t="s">
        <v>80</v>
      </c>
      <c r="AH15" s="8" t="s">
        <v>80</v>
      </c>
      <c r="AI15" s="8" t="s">
        <v>75</v>
      </c>
      <c r="AJ15" s="8" t="s">
        <v>98</v>
      </c>
      <c r="AK15" s="8" t="s">
        <v>98</v>
      </c>
      <c r="AL15" s="8" t="s">
        <v>80</v>
      </c>
      <c r="AM15" s="8" t="s">
        <v>75</v>
      </c>
      <c r="AN15" s="8" t="s">
        <v>80</v>
      </c>
      <c r="AO15" s="8" t="s">
        <v>75</v>
      </c>
      <c r="AP15" s="8" t="s">
        <v>75</v>
      </c>
      <c r="AQ15" s="8" t="s">
        <v>75</v>
      </c>
      <c r="AR15" s="8" t="s">
        <v>75</v>
      </c>
      <c r="AS15" s="8" t="s">
        <v>75</v>
      </c>
      <c r="AT15" s="8" t="s">
        <v>75</v>
      </c>
      <c r="AU15" s="8" t="s">
        <v>75</v>
      </c>
      <c r="AV15" s="8" t="s">
        <v>75</v>
      </c>
      <c r="AW15" s="8" t="s">
        <v>75</v>
      </c>
      <c r="AX15" s="8" t="s">
        <v>75</v>
      </c>
      <c r="AY15" s="8" t="s">
        <v>75</v>
      </c>
      <c r="AZ15" s="8" t="s">
        <v>75</v>
      </c>
      <c r="BA15" s="8" t="s">
        <v>75</v>
      </c>
    </row>
    <row r="16">
      <c r="A16" s="8" t="s">
        <v>338</v>
      </c>
      <c r="B16" s="8" t="s">
        <v>66</v>
      </c>
      <c r="C16" s="8" t="s">
        <v>339</v>
      </c>
      <c r="D16" s="8" t="s">
        <v>340</v>
      </c>
      <c r="E16" s="8" t="s">
        <v>341</v>
      </c>
      <c r="F16" s="8" t="s">
        <v>335</v>
      </c>
      <c r="G16" s="10" t="s">
        <v>343</v>
      </c>
      <c r="H16" s="10" t="s">
        <v>344</v>
      </c>
      <c r="I16" s="10">
        <v>2022.0</v>
      </c>
      <c r="J16" s="13" t="s">
        <v>73</v>
      </c>
      <c r="K16" s="8">
        <v>1.0</v>
      </c>
      <c r="L16" s="8">
        <v>0.0</v>
      </c>
      <c r="M16" s="8">
        <v>4.0</v>
      </c>
      <c r="N16" s="8" t="s">
        <v>98</v>
      </c>
      <c r="O16" s="8" t="s">
        <v>98</v>
      </c>
      <c r="P16" s="8" t="s">
        <v>98</v>
      </c>
      <c r="Q16" s="8">
        <v>12.0</v>
      </c>
      <c r="R16" s="8">
        <v>12.0</v>
      </c>
      <c r="S16" s="8" t="s">
        <v>306</v>
      </c>
      <c r="T16" s="8">
        <v>25640.0</v>
      </c>
      <c r="U16" s="8" t="s">
        <v>96</v>
      </c>
      <c r="V16" s="8" t="s">
        <v>75</v>
      </c>
      <c r="W16" s="8" t="s">
        <v>98</v>
      </c>
      <c r="X16" s="8" t="s">
        <v>83</v>
      </c>
      <c r="Y16" s="8" t="s">
        <v>80</v>
      </c>
      <c r="Z16" s="8" t="s">
        <v>80</v>
      </c>
      <c r="AA16" s="8" t="s">
        <v>75</v>
      </c>
      <c r="AB16" s="8" t="s">
        <v>75</v>
      </c>
      <c r="AC16" s="8" t="s">
        <v>75</v>
      </c>
      <c r="AD16" s="15" t="s">
        <v>66</v>
      </c>
      <c r="AE16" s="8"/>
      <c r="AF16" s="8" t="s">
        <v>75</v>
      </c>
      <c r="AG16" s="8" t="s">
        <v>80</v>
      </c>
      <c r="AH16" s="8" t="s">
        <v>75</v>
      </c>
      <c r="AI16" s="8" t="s">
        <v>75</v>
      </c>
      <c r="AJ16" s="8" t="s">
        <v>98</v>
      </c>
      <c r="AK16" s="8" t="s">
        <v>98</v>
      </c>
      <c r="AL16" s="8" t="s">
        <v>80</v>
      </c>
      <c r="AM16" s="8" t="s">
        <v>75</v>
      </c>
      <c r="AN16" s="8" t="s">
        <v>75</v>
      </c>
      <c r="AO16" s="8" t="s">
        <v>75</v>
      </c>
      <c r="AP16" s="8" t="s">
        <v>80</v>
      </c>
      <c r="AQ16" s="8" t="s">
        <v>75</v>
      </c>
      <c r="AR16" s="8" t="s">
        <v>75</v>
      </c>
      <c r="AS16" s="8" t="s">
        <v>80</v>
      </c>
      <c r="AT16" s="8" t="s">
        <v>75</v>
      </c>
      <c r="AU16" s="8" t="s">
        <v>75</v>
      </c>
      <c r="AV16" s="8" t="s">
        <v>80</v>
      </c>
      <c r="AW16" s="8" t="s">
        <v>75</v>
      </c>
      <c r="AX16" s="8" t="s">
        <v>75</v>
      </c>
      <c r="AY16" s="8" t="s">
        <v>75</v>
      </c>
      <c r="AZ16" s="8" t="s">
        <v>75</v>
      </c>
      <c r="BA16" s="8" t="s">
        <v>75</v>
      </c>
    </row>
    <row r="17">
      <c r="A17" s="8" t="s">
        <v>347</v>
      </c>
      <c r="B17" s="8" t="s">
        <v>66</v>
      </c>
      <c r="C17" s="8" t="s">
        <v>348</v>
      </c>
      <c r="D17" s="8" t="s">
        <v>349</v>
      </c>
      <c r="E17" s="8" t="s">
        <v>350</v>
      </c>
      <c r="F17" s="8" t="s">
        <v>170</v>
      </c>
      <c r="G17" s="10" t="s">
        <v>351</v>
      </c>
      <c r="H17" s="10" t="s">
        <v>352</v>
      </c>
      <c r="I17" s="10">
        <v>2024.0</v>
      </c>
      <c r="J17" s="13" t="s">
        <v>73</v>
      </c>
      <c r="K17" s="8">
        <v>2.0</v>
      </c>
      <c r="L17" s="8">
        <v>0.0</v>
      </c>
      <c r="M17" s="8">
        <v>5.0</v>
      </c>
      <c r="N17" s="8" t="s">
        <v>98</v>
      </c>
      <c r="O17" s="8" t="s">
        <v>98</v>
      </c>
      <c r="P17" s="8" t="s">
        <v>98</v>
      </c>
      <c r="Q17" s="8">
        <v>2.0</v>
      </c>
      <c r="R17" s="8">
        <v>3.0</v>
      </c>
      <c r="S17" s="8" t="s">
        <v>93</v>
      </c>
      <c r="T17" s="8">
        <v>56531.0</v>
      </c>
      <c r="U17" s="8" t="s">
        <v>96</v>
      </c>
      <c r="V17" s="8" t="s">
        <v>75</v>
      </c>
      <c r="W17" s="8" t="s">
        <v>98</v>
      </c>
      <c r="X17" s="8" t="s">
        <v>83</v>
      </c>
      <c r="Y17" s="8" t="s">
        <v>80</v>
      </c>
      <c r="Z17" s="8" t="s">
        <v>80</v>
      </c>
      <c r="AA17" s="8" t="s">
        <v>75</v>
      </c>
      <c r="AB17" s="8" t="s">
        <v>80</v>
      </c>
      <c r="AC17" s="8" t="s">
        <v>75</v>
      </c>
      <c r="AD17" s="21" t="s">
        <v>75</v>
      </c>
      <c r="AE17" s="24" t="s">
        <v>80</v>
      </c>
      <c r="AF17" s="8" t="s">
        <v>75</v>
      </c>
      <c r="AG17" s="8" t="s">
        <v>80</v>
      </c>
      <c r="AH17" s="8" t="s">
        <v>80</v>
      </c>
      <c r="AI17" s="8" t="s">
        <v>75</v>
      </c>
      <c r="AJ17" s="8" t="s">
        <v>75</v>
      </c>
      <c r="AK17" s="8" t="s">
        <v>353</v>
      </c>
      <c r="AL17" s="8" t="s">
        <v>80</v>
      </c>
      <c r="AM17" s="8" t="s">
        <v>75</v>
      </c>
      <c r="AN17" s="8" t="s">
        <v>75</v>
      </c>
      <c r="AO17" s="8" t="s">
        <v>75</v>
      </c>
      <c r="AP17" s="8" t="s">
        <v>75</v>
      </c>
      <c r="AQ17" s="8" t="s">
        <v>75</v>
      </c>
      <c r="AR17" s="8" t="s">
        <v>75</v>
      </c>
      <c r="AS17" s="8" t="s">
        <v>75</v>
      </c>
      <c r="AT17" s="8" t="s">
        <v>75</v>
      </c>
      <c r="AU17" s="8" t="s">
        <v>75</v>
      </c>
      <c r="AV17" s="8" t="s">
        <v>75</v>
      </c>
      <c r="AW17" s="8" t="s">
        <v>75</v>
      </c>
      <c r="AX17" s="8" t="s">
        <v>75</v>
      </c>
      <c r="AY17" s="8" t="s">
        <v>75</v>
      </c>
      <c r="AZ17" s="8" t="s">
        <v>80</v>
      </c>
      <c r="BA17" s="8" t="s">
        <v>75</v>
      </c>
    </row>
    <row r="18">
      <c r="A18" s="8" t="s">
        <v>354</v>
      </c>
      <c r="B18" s="8" t="s">
        <v>66</v>
      </c>
      <c r="C18" s="8" t="s">
        <v>355</v>
      </c>
      <c r="D18" s="8" t="s">
        <v>356</v>
      </c>
      <c r="E18" s="8" t="s">
        <v>357</v>
      </c>
      <c r="F18" s="8" t="s">
        <v>358</v>
      </c>
      <c r="G18" s="10" t="s">
        <v>359</v>
      </c>
      <c r="H18" s="10" t="s">
        <v>360</v>
      </c>
      <c r="I18" s="10">
        <v>2024.0</v>
      </c>
      <c r="J18" s="13" t="s">
        <v>73</v>
      </c>
      <c r="K18" s="10">
        <v>2.0</v>
      </c>
      <c r="L18" s="10">
        <v>0.0</v>
      </c>
      <c r="M18" s="10">
        <v>4.0</v>
      </c>
      <c r="N18" s="8" t="s">
        <v>98</v>
      </c>
      <c r="O18" s="8" t="s">
        <v>98</v>
      </c>
      <c r="P18" s="8" t="s">
        <v>98</v>
      </c>
      <c r="Q18" s="8">
        <v>8.0</v>
      </c>
      <c r="R18" s="8">
        <v>8.0</v>
      </c>
      <c r="S18" s="8" t="s">
        <v>179</v>
      </c>
      <c r="T18" s="8">
        <v>115536.0</v>
      </c>
      <c r="U18" s="8" t="s">
        <v>96</v>
      </c>
      <c r="V18" s="8" t="s">
        <v>75</v>
      </c>
      <c r="W18" s="8" t="s">
        <v>98</v>
      </c>
      <c r="X18" s="8" t="s">
        <v>83</v>
      </c>
      <c r="Y18" s="8" t="s">
        <v>80</v>
      </c>
      <c r="Z18" s="8" t="s">
        <v>80</v>
      </c>
      <c r="AA18" s="8" t="s">
        <v>75</v>
      </c>
      <c r="AB18" s="8" t="s">
        <v>80</v>
      </c>
      <c r="AC18" s="8" t="s">
        <v>75</v>
      </c>
      <c r="AD18" s="21" t="s">
        <v>75</v>
      </c>
      <c r="AE18" s="21" t="s">
        <v>75</v>
      </c>
      <c r="AF18" s="8" t="s">
        <v>98</v>
      </c>
      <c r="AG18" s="8" t="s">
        <v>80</v>
      </c>
      <c r="AH18" s="8" t="s">
        <v>80</v>
      </c>
      <c r="AI18" s="8" t="s">
        <v>75</v>
      </c>
      <c r="AJ18" s="8" t="s">
        <v>98</v>
      </c>
      <c r="AK18" s="8" t="s">
        <v>98</v>
      </c>
      <c r="AL18" s="8" t="s">
        <v>80</v>
      </c>
      <c r="AM18" s="8" t="s">
        <v>75</v>
      </c>
      <c r="AN18" s="8" t="s">
        <v>75</v>
      </c>
      <c r="AO18" s="8" t="s">
        <v>75</v>
      </c>
      <c r="AP18" s="8" t="s">
        <v>75</v>
      </c>
      <c r="AQ18" s="8" t="s">
        <v>75</v>
      </c>
      <c r="AR18" s="8" t="s">
        <v>75</v>
      </c>
      <c r="AS18" s="8" t="s">
        <v>75</v>
      </c>
      <c r="AT18" s="8" t="s">
        <v>75</v>
      </c>
      <c r="AU18" s="8" t="s">
        <v>75</v>
      </c>
      <c r="AV18" s="8" t="s">
        <v>75</v>
      </c>
      <c r="AW18" s="8" t="s">
        <v>75</v>
      </c>
      <c r="AX18" s="8" t="s">
        <v>75</v>
      </c>
      <c r="AY18" s="8" t="s">
        <v>75</v>
      </c>
      <c r="AZ18" s="8" t="s">
        <v>80</v>
      </c>
      <c r="BA18" s="8" t="s">
        <v>75</v>
      </c>
    </row>
    <row r="19">
      <c r="A19" s="8" t="s">
        <v>361</v>
      </c>
      <c r="B19" s="8" t="s">
        <v>66</v>
      </c>
      <c r="C19" s="8" t="s">
        <v>362</v>
      </c>
      <c r="D19" s="8" t="s">
        <v>363</v>
      </c>
      <c r="E19" s="8" t="s">
        <v>364</v>
      </c>
      <c r="F19" s="8" t="s">
        <v>365</v>
      </c>
      <c r="G19" s="10" t="s">
        <v>366</v>
      </c>
      <c r="H19" s="10" t="s">
        <v>367</v>
      </c>
      <c r="I19" s="10">
        <v>2020.0</v>
      </c>
      <c r="J19" s="12" t="s">
        <v>165</v>
      </c>
      <c r="K19" s="8">
        <v>7.0</v>
      </c>
      <c r="L19" s="8">
        <v>0.0</v>
      </c>
      <c r="M19" s="8">
        <v>0.0</v>
      </c>
      <c r="N19" s="8">
        <v>6.0</v>
      </c>
      <c r="O19" s="8">
        <v>1.0</v>
      </c>
      <c r="P19" s="8">
        <v>0.0</v>
      </c>
      <c r="Q19" s="8">
        <v>53.0</v>
      </c>
      <c r="R19" s="8">
        <v>78.0</v>
      </c>
      <c r="S19" s="8" t="s">
        <v>205</v>
      </c>
      <c r="T19" s="8">
        <v>84982.0</v>
      </c>
      <c r="U19" s="8" t="s">
        <v>96</v>
      </c>
      <c r="V19" s="8" t="s">
        <v>75</v>
      </c>
      <c r="W19" s="8" t="s">
        <v>98</v>
      </c>
      <c r="X19" s="8" t="s">
        <v>83</v>
      </c>
      <c r="Y19" s="8" t="s">
        <v>80</v>
      </c>
      <c r="Z19" s="8" t="s">
        <v>80</v>
      </c>
      <c r="AA19" s="8" t="s">
        <v>75</v>
      </c>
      <c r="AB19" s="8" t="s">
        <v>80</v>
      </c>
      <c r="AC19" s="8" t="s">
        <v>75</v>
      </c>
      <c r="AD19" s="47" t="s">
        <v>309</v>
      </c>
      <c r="AE19" s="8"/>
      <c r="AF19" s="8" t="s">
        <v>98</v>
      </c>
      <c r="AG19" s="8" t="s">
        <v>98</v>
      </c>
      <c r="AH19" s="8" t="s">
        <v>80</v>
      </c>
      <c r="AI19" s="8" t="s">
        <v>80</v>
      </c>
      <c r="AJ19" s="8" t="s">
        <v>98</v>
      </c>
      <c r="AK19" s="8" t="s">
        <v>98</v>
      </c>
      <c r="AL19" s="8" t="s">
        <v>75</v>
      </c>
      <c r="AM19" s="8" t="s">
        <v>75</v>
      </c>
      <c r="AN19" s="8" t="s">
        <v>75</v>
      </c>
      <c r="AO19" s="8" t="s">
        <v>75</v>
      </c>
      <c r="AP19" s="8" t="s">
        <v>75</v>
      </c>
      <c r="AQ19" s="8" t="s">
        <v>75</v>
      </c>
      <c r="AR19" s="8" t="s">
        <v>75</v>
      </c>
      <c r="AS19" s="8" t="s">
        <v>75</v>
      </c>
      <c r="AT19" s="8" t="s">
        <v>75</v>
      </c>
      <c r="AU19" s="8" t="s">
        <v>75</v>
      </c>
      <c r="AV19" s="8" t="s">
        <v>75</v>
      </c>
      <c r="AW19" s="8" t="s">
        <v>75</v>
      </c>
      <c r="AX19" s="8" t="s">
        <v>75</v>
      </c>
      <c r="AY19" s="8" t="s">
        <v>75</v>
      </c>
      <c r="AZ19" s="8" t="s">
        <v>75</v>
      </c>
      <c r="BA19" s="8" t="s">
        <v>75</v>
      </c>
    </row>
    <row r="20">
      <c r="A20" s="8" t="s">
        <v>371</v>
      </c>
      <c r="B20" s="8" t="s">
        <v>66</v>
      </c>
      <c r="C20" s="8" t="s">
        <v>373</v>
      </c>
      <c r="D20" s="8" t="s">
        <v>374</v>
      </c>
      <c r="E20" s="8" t="s">
        <v>375</v>
      </c>
      <c r="F20" s="8" t="s">
        <v>69</v>
      </c>
      <c r="G20" s="8" t="s">
        <v>376</v>
      </c>
      <c r="H20" s="10" t="s">
        <v>367</v>
      </c>
      <c r="I20" s="10">
        <v>2020.0</v>
      </c>
      <c r="J20" s="12" t="s">
        <v>165</v>
      </c>
      <c r="K20" s="8">
        <v>7.0</v>
      </c>
      <c r="L20" s="8">
        <v>0.0</v>
      </c>
      <c r="M20" s="8">
        <v>0.0</v>
      </c>
      <c r="N20" s="8">
        <v>6.0</v>
      </c>
      <c r="O20" s="8">
        <v>1.0</v>
      </c>
      <c r="P20" s="8">
        <v>0.0</v>
      </c>
      <c r="Q20" s="8">
        <v>53.0</v>
      </c>
      <c r="R20" s="8">
        <v>78.0</v>
      </c>
      <c r="S20" s="8" t="s">
        <v>205</v>
      </c>
      <c r="T20" s="8">
        <v>24023.0</v>
      </c>
      <c r="U20" s="8" t="s">
        <v>96</v>
      </c>
      <c r="V20" s="8" t="s">
        <v>75</v>
      </c>
      <c r="W20" s="8" t="s">
        <v>98</v>
      </c>
      <c r="X20" s="8" t="s">
        <v>204</v>
      </c>
      <c r="Y20" s="8" t="s">
        <v>80</v>
      </c>
      <c r="Z20" s="8" t="s">
        <v>80</v>
      </c>
      <c r="AA20" s="8" t="s">
        <v>75</v>
      </c>
      <c r="AB20" s="8" t="s">
        <v>80</v>
      </c>
      <c r="AC20" s="8" t="s">
        <v>80</v>
      </c>
      <c r="AD20" s="47" t="s">
        <v>309</v>
      </c>
      <c r="AE20" s="8"/>
      <c r="AF20" s="8" t="s">
        <v>98</v>
      </c>
      <c r="AG20" s="8" t="s">
        <v>98</v>
      </c>
      <c r="AH20" s="8" t="s">
        <v>80</v>
      </c>
      <c r="AI20" s="8" t="s">
        <v>80</v>
      </c>
      <c r="AJ20" s="8" t="s">
        <v>98</v>
      </c>
      <c r="AK20" s="8" t="s">
        <v>98</v>
      </c>
      <c r="AL20" s="8" t="s">
        <v>75</v>
      </c>
      <c r="AM20" s="8" t="s">
        <v>75</v>
      </c>
      <c r="AN20" s="8" t="s">
        <v>75</v>
      </c>
      <c r="AO20" s="8" t="s">
        <v>75</v>
      </c>
      <c r="AP20" s="8" t="s">
        <v>75</v>
      </c>
      <c r="AQ20" s="8" t="s">
        <v>75</v>
      </c>
      <c r="AR20" s="8" t="s">
        <v>75</v>
      </c>
      <c r="AS20" s="8" t="s">
        <v>75</v>
      </c>
      <c r="AT20" s="8" t="s">
        <v>75</v>
      </c>
      <c r="AU20" s="8" t="s">
        <v>75</v>
      </c>
      <c r="AV20" s="8" t="s">
        <v>75</v>
      </c>
      <c r="AW20" s="8" t="s">
        <v>75</v>
      </c>
      <c r="AX20" s="8" t="s">
        <v>75</v>
      </c>
      <c r="AY20" s="8" t="s">
        <v>75</v>
      </c>
      <c r="AZ20" s="8" t="s">
        <v>75</v>
      </c>
      <c r="BA20" s="8" t="s">
        <v>75</v>
      </c>
    </row>
    <row r="21" ht="15.0" customHeight="1">
      <c r="A21" s="8" t="s">
        <v>379</v>
      </c>
      <c r="B21" s="8" t="s">
        <v>66</v>
      </c>
      <c r="C21" s="8" t="s">
        <v>381</v>
      </c>
      <c r="D21" s="8" t="s">
        <v>382</v>
      </c>
      <c r="E21" s="8" t="s">
        <v>383</v>
      </c>
      <c r="F21" s="8" t="s">
        <v>384</v>
      </c>
      <c r="G21" s="10" t="s">
        <v>385</v>
      </c>
      <c r="H21" s="10" t="s">
        <v>386</v>
      </c>
      <c r="I21" s="10">
        <v>2022.0</v>
      </c>
      <c r="J21" s="12" t="s">
        <v>165</v>
      </c>
      <c r="K21" s="8">
        <v>4.0</v>
      </c>
      <c r="L21" s="8">
        <v>0.0</v>
      </c>
      <c r="M21" s="8">
        <v>0.0</v>
      </c>
      <c r="N21" s="8">
        <v>2.0</v>
      </c>
      <c r="O21" s="8">
        <v>2.0</v>
      </c>
      <c r="P21" s="8">
        <v>0.0</v>
      </c>
      <c r="Q21" s="8">
        <v>55.0</v>
      </c>
      <c r="R21" s="8">
        <v>87.0</v>
      </c>
      <c r="S21" s="8" t="s">
        <v>205</v>
      </c>
      <c r="T21" s="8">
        <v>51645.0</v>
      </c>
      <c r="U21" s="8" t="s">
        <v>96</v>
      </c>
      <c r="V21" s="8" t="s">
        <v>75</v>
      </c>
      <c r="W21" s="8" t="s">
        <v>98</v>
      </c>
      <c r="X21" s="8" t="s">
        <v>213</v>
      </c>
      <c r="Y21" s="8" t="s">
        <v>80</v>
      </c>
      <c r="Z21" s="8" t="s">
        <v>80</v>
      </c>
      <c r="AA21" s="8" t="s">
        <v>75</v>
      </c>
      <c r="AB21" s="8" t="s">
        <v>80</v>
      </c>
      <c r="AC21" s="8" t="s">
        <v>75</v>
      </c>
      <c r="AD21" s="47" t="s">
        <v>309</v>
      </c>
      <c r="AE21" s="8"/>
      <c r="AF21" s="8">
        <v>493.0</v>
      </c>
      <c r="AG21" s="8" t="s">
        <v>98</v>
      </c>
      <c r="AH21" s="8" t="s">
        <v>80</v>
      </c>
      <c r="AI21" s="8" t="s">
        <v>75</v>
      </c>
      <c r="AJ21" s="8" t="s">
        <v>98</v>
      </c>
      <c r="AK21" s="8" t="s">
        <v>98</v>
      </c>
      <c r="AL21" s="8" t="s">
        <v>75</v>
      </c>
      <c r="AM21" s="8" t="s">
        <v>80</v>
      </c>
      <c r="AN21" s="8" t="s">
        <v>75</v>
      </c>
      <c r="AO21" s="8" t="s">
        <v>75</v>
      </c>
      <c r="AP21" s="8" t="s">
        <v>75</v>
      </c>
      <c r="AQ21" s="8" t="s">
        <v>75</v>
      </c>
      <c r="AR21" s="8" t="s">
        <v>75</v>
      </c>
      <c r="AS21" s="8" t="s">
        <v>75</v>
      </c>
      <c r="AT21" s="8" t="s">
        <v>75</v>
      </c>
      <c r="AU21" s="8" t="s">
        <v>75</v>
      </c>
      <c r="AV21" s="8" t="s">
        <v>75</v>
      </c>
      <c r="AW21" s="8" t="s">
        <v>75</v>
      </c>
      <c r="AX21" s="8" t="s">
        <v>75</v>
      </c>
      <c r="AY21" s="8" t="s">
        <v>75</v>
      </c>
      <c r="AZ21" s="8" t="s">
        <v>75</v>
      </c>
      <c r="BA21" s="8" t="s">
        <v>75</v>
      </c>
    </row>
    <row r="22">
      <c r="A22" s="8" t="s">
        <v>394</v>
      </c>
      <c r="B22" s="8" t="s">
        <v>395</v>
      </c>
      <c r="C22" s="8" t="s">
        <v>396</v>
      </c>
      <c r="D22" s="8" t="s">
        <v>397</v>
      </c>
      <c r="E22" s="8" t="s">
        <v>399</v>
      </c>
      <c r="F22" s="8" t="s">
        <v>400</v>
      </c>
      <c r="G22" s="8" t="s">
        <v>401</v>
      </c>
      <c r="H22" s="8" t="s">
        <v>402</v>
      </c>
      <c r="I22" s="8">
        <v>2019.0</v>
      </c>
      <c r="J22" s="12" t="s">
        <v>165</v>
      </c>
      <c r="K22" s="8">
        <v>0.0</v>
      </c>
      <c r="L22" s="8">
        <v>0.0</v>
      </c>
      <c r="M22" s="8">
        <v>0.0</v>
      </c>
      <c r="N22" s="8">
        <v>1.0</v>
      </c>
      <c r="O22" s="8">
        <v>2.0</v>
      </c>
      <c r="P22" s="8">
        <v>0.0</v>
      </c>
      <c r="Q22" s="8">
        <v>42.0</v>
      </c>
      <c r="R22" s="8">
        <v>80.0</v>
      </c>
      <c r="S22" s="8" t="s">
        <v>205</v>
      </c>
      <c r="T22" s="8">
        <v>20009.0</v>
      </c>
      <c r="U22" s="8" t="s">
        <v>96</v>
      </c>
      <c r="V22" s="8" t="s">
        <v>75</v>
      </c>
      <c r="W22" s="8" t="s">
        <v>98</v>
      </c>
      <c r="X22" s="8" t="s">
        <v>204</v>
      </c>
      <c r="Y22" s="8" t="s">
        <v>80</v>
      </c>
      <c r="Z22" s="8" t="s">
        <v>80</v>
      </c>
      <c r="AA22" s="8" t="s">
        <v>75</v>
      </c>
      <c r="AB22" s="8" t="s">
        <v>80</v>
      </c>
      <c r="AC22" s="8" t="s">
        <v>80</v>
      </c>
      <c r="AD22" s="13" t="s">
        <v>163</v>
      </c>
      <c r="AE22" s="8"/>
      <c r="AF22" s="8">
        <v>315.0</v>
      </c>
      <c r="AG22" s="8" t="s">
        <v>98</v>
      </c>
      <c r="AH22" s="8" t="s">
        <v>80</v>
      </c>
      <c r="AI22" s="8" t="s">
        <v>80</v>
      </c>
      <c r="AJ22" s="8" t="s">
        <v>98</v>
      </c>
      <c r="AK22" s="8" t="s">
        <v>98</v>
      </c>
      <c r="AL22" s="8" t="s">
        <v>75</v>
      </c>
      <c r="AM22" s="8" t="s">
        <v>75</v>
      </c>
      <c r="AN22" s="8" t="s">
        <v>75</v>
      </c>
      <c r="AO22" s="8" t="s">
        <v>75</v>
      </c>
      <c r="AP22" s="8" t="s">
        <v>75</v>
      </c>
      <c r="AQ22" s="8" t="s">
        <v>75</v>
      </c>
      <c r="AR22" s="8" t="s">
        <v>75</v>
      </c>
      <c r="AS22" s="8" t="s">
        <v>75</v>
      </c>
      <c r="AT22" s="8" t="s">
        <v>75</v>
      </c>
      <c r="AU22" s="8" t="s">
        <v>75</v>
      </c>
      <c r="AV22" s="8" t="s">
        <v>75</v>
      </c>
      <c r="AW22" s="8" t="s">
        <v>75</v>
      </c>
      <c r="AX22" s="8" t="s">
        <v>75</v>
      </c>
      <c r="AY22" s="8" t="s">
        <v>75</v>
      </c>
      <c r="AZ22" s="8" t="s">
        <v>75</v>
      </c>
      <c r="BA22" s="8" t="s">
        <v>75</v>
      </c>
    </row>
    <row r="23" ht="15.0" customHeight="1">
      <c r="A23" s="8" t="s">
        <v>418</v>
      </c>
      <c r="B23" s="8" t="s">
        <v>66</v>
      </c>
      <c r="C23" s="8" t="s">
        <v>419</v>
      </c>
      <c r="D23" s="8" t="s">
        <v>420</v>
      </c>
      <c r="E23" s="10" t="s">
        <v>421</v>
      </c>
      <c r="F23" s="8" t="s">
        <v>170</v>
      </c>
      <c r="G23" s="10" t="s">
        <v>424</v>
      </c>
      <c r="H23" s="10" t="s">
        <v>426</v>
      </c>
      <c r="I23" s="10">
        <v>2019.0</v>
      </c>
      <c r="J23" s="12" t="s">
        <v>165</v>
      </c>
      <c r="K23" s="8">
        <v>3.0</v>
      </c>
      <c r="L23" s="8">
        <v>0.0</v>
      </c>
      <c r="M23" s="8">
        <v>0.0</v>
      </c>
      <c r="N23" s="8">
        <v>3.0</v>
      </c>
      <c r="O23" s="8">
        <v>0.0</v>
      </c>
      <c r="P23" s="8">
        <v>0.0</v>
      </c>
      <c r="Q23" s="8">
        <v>68.0</v>
      </c>
      <c r="R23" s="8">
        <v>86.0</v>
      </c>
      <c r="S23" s="8" t="s">
        <v>205</v>
      </c>
      <c r="T23" s="8">
        <v>10005.0</v>
      </c>
      <c r="U23" s="8" t="s">
        <v>96</v>
      </c>
      <c r="V23" s="8" t="s">
        <v>75</v>
      </c>
      <c r="W23" s="8" t="s">
        <v>98</v>
      </c>
      <c r="X23" s="8" t="s">
        <v>83</v>
      </c>
      <c r="Y23" s="8" t="s">
        <v>80</v>
      </c>
      <c r="Z23" s="8" t="s">
        <v>80</v>
      </c>
      <c r="AA23" s="8" t="s">
        <v>75</v>
      </c>
      <c r="AB23" s="8" t="s">
        <v>80</v>
      </c>
      <c r="AC23" s="8" t="s">
        <v>75</v>
      </c>
      <c r="AD23" s="15" t="s">
        <v>66</v>
      </c>
      <c r="AE23" s="8"/>
      <c r="AF23" s="8">
        <v>2778.0</v>
      </c>
      <c r="AG23" s="8" t="s">
        <v>98</v>
      </c>
      <c r="AH23" s="8" t="s">
        <v>80</v>
      </c>
      <c r="AI23" s="8" t="s">
        <v>75</v>
      </c>
      <c r="AJ23" s="8" t="s">
        <v>98</v>
      </c>
      <c r="AK23" s="8" t="s">
        <v>98</v>
      </c>
      <c r="AL23" s="8" t="s">
        <v>75</v>
      </c>
      <c r="AM23" s="8" t="s">
        <v>75</v>
      </c>
      <c r="AN23" s="8" t="s">
        <v>75</v>
      </c>
      <c r="AO23" s="8" t="s">
        <v>75</v>
      </c>
      <c r="AP23" s="8" t="s">
        <v>75</v>
      </c>
      <c r="AQ23" s="8" t="s">
        <v>75</v>
      </c>
      <c r="AR23" s="8" t="s">
        <v>75</v>
      </c>
      <c r="AS23" s="8" t="s">
        <v>75</v>
      </c>
      <c r="AT23" s="8" t="s">
        <v>75</v>
      </c>
      <c r="AU23" s="8" t="s">
        <v>75</v>
      </c>
      <c r="AV23" s="8" t="s">
        <v>75</v>
      </c>
      <c r="AW23" s="8" t="s">
        <v>75</v>
      </c>
      <c r="AX23" s="8" t="s">
        <v>75</v>
      </c>
      <c r="AY23" s="8" t="s">
        <v>75</v>
      </c>
      <c r="AZ23" s="8" t="s">
        <v>75</v>
      </c>
      <c r="BA23" s="8" t="s">
        <v>75</v>
      </c>
    </row>
    <row r="24">
      <c r="A24" s="8" t="s">
        <v>442</v>
      </c>
      <c r="B24" s="8" t="s">
        <v>444</v>
      </c>
      <c r="C24" s="8" t="s">
        <v>446</v>
      </c>
      <c r="D24" s="10" t="s">
        <v>447</v>
      </c>
      <c r="E24" s="10" t="s">
        <v>448</v>
      </c>
      <c r="F24" s="8" t="s">
        <v>384</v>
      </c>
      <c r="G24" s="10" t="s">
        <v>450</v>
      </c>
      <c r="H24" s="10" t="s">
        <v>452</v>
      </c>
      <c r="I24" s="10">
        <v>2022.0</v>
      </c>
      <c r="J24" s="12" t="s">
        <v>165</v>
      </c>
      <c r="K24" s="8">
        <v>56.0</v>
      </c>
      <c r="L24" s="8">
        <v>54.0</v>
      </c>
      <c r="M24" s="8">
        <v>0.0</v>
      </c>
      <c r="N24" s="8">
        <v>42.0</v>
      </c>
      <c r="O24" s="8">
        <v>68.0</v>
      </c>
      <c r="P24" s="8">
        <v>0.0</v>
      </c>
      <c r="Q24" s="8">
        <v>31.0</v>
      </c>
      <c r="R24" s="8">
        <v>96.0</v>
      </c>
      <c r="S24" s="8" t="s">
        <v>205</v>
      </c>
      <c r="T24" s="8">
        <v>247520.0</v>
      </c>
      <c r="U24" s="8" t="s">
        <v>457</v>
      </c>
      <c r="V24" s="8" t="s">
        <v>288</v>
      </c>
      <c r="W24" s="8" t="s">
        <v>298</v>
      </c>
      <c r="X24" s="8" t="s">
        <v>83</v>
      </c>
      <c r="Y24" s="8" t="s">
        <v>80</v>
      </c>
      <c r="Z24" s="8" t="s">
        <v>80</v>
      </c>
      <c r="AA24" s="8" t="s">
        <v>75</v>
      </c>
      <c r="AB24" s="8" t="s">
        <v>80</v>
      </c>
      <c r="AC24" s="8" t="s">
        <v>75</v>
      </c>
      <c r="AD24" s="57" t="s">
        <v>463</v>
      </c>
      <c r="AE24" s="8"/>
      <c r="AF24" s="8" t="s">
        <v>98</v>
      </c>
      <c r="AG24" s="8" t="s">
        <v>80</v>
      </c>
      <c r="AH24" s="8" t="s">
        <v>80</v>
      </c>
      <c r="AI24" s="8" t="s">
        <v>75</v>
      </c>
      <c r="AJ24" s="8" t="s">
        <v>75</v>
      </c>
      <c r="AK24" s="8" t="s">
        <v>471</v>
      </c>
      <c r="AL24" s="8" t="s">
        <v>75</v>
      </c>
      <c r="AM24" s="8" t="s">
        <v>75</v>
      </c>
      <c r="AN24" s="8" t="s">
        <v>75</v>
      </c>
      <c r="AO24" s="8" t="s">
        <v>75</v>
      </c>
      <c r="AP24" s="8" t="s">
        <v>75</v>
      </c>
      <c r="AQ24" s="8" t="s">
        <v>75</v>
      </c>
      <c r="AR24" s="8" t="s">
        <v>75</v>
      </c>
      <c r="AS24" s="8" t="s">
        <v>75</v>
      </c>
      <c r="AT24" s="8" t="s">
        <v>75</v>
      </c>
      <c r="AU24" s="8" t="s">
        <v>75</v>
      </c>
      <c r="AV24" s="8" t="s">
        <v>75</v>
      </c>
      <c r="AW24" s="8" t="s">
        <v>75</v>
      </c>
      <c r="AX24" s="8" t="s">
        <v>75</v>
      </c>
      <c r="AY24" s="8" t="s">
        <v>75</v>
      </c>
      <c r="AZ24" s="8" t="s">
        <v>75</v>
      </c>
      <c r="BA24" s="8" t="s">
        <v>75</v>
      </c>
    </row>
    <row r="25">
      <c r="A25" s="8" t="s">
        <v>477</v>
      </c>
      <c r="B25" s="8" t="s">
        <v>478</v>
      </c>
      <c r="C25" s="8" t="s">
        <v>480</v>
      </c>
      <c r="D25" s="8" t="s">
        <v>481</v>
      </c>
      <c r="E25" s="8" t="s">
        <v>482</v>
      </c>
      <c r="F25" s="8" t="s">
        <v>79</v>
      </c>
      <c r="G25" s="10" t="s">
        <v>483</v>
      </c>
      <c r="H25" s="10" t="s">
        <v>484</v>
      </c>
      <c r="I25" s="10">
        <v>2020.0</v>
      </c>
      <c r="J25" s="12" t="s">
        <v>165</v>
      </c>
      <c r="K25" s="8">
        <v>4.0</v>
      </c>
      <c r="L25" s="8">
        <v>0.0</v>
      </c>
      <c r="M25" s="8">
        <v>0.0</v>
      </c>
      <c r="N25" s="8">
        <v>2.0</v>
      </c>
      <c r="O25" s="8">
        <v>2.0</v>
      </c>
      <c r="P25" s="8">
        <v>0.0</v>
      </c>
      <c r="Q25" s="8">
        <v>50.0</v>
      </c>
      <c r="R25" s="8">
        <v>80.0</v>
      </c>
      <c r="S25" s="8" t="s">
        <v>205</v>
      </c>
      <c r="T25" s="8">
        <v>285441.0</v>
      </c>
      <c r="U25" s="8" t="s">
        <v>457</v>
      </c>
      <c r="V25" s="8" t="s">
        <v>75</v>
      </c>
      <c r="W25" s="8" t="s">
        <v>98</v>
      </c>
      <c r="X25" s="8" t="s">
        <v>83</v>
      </c>
      <c r="Y25" s="8" t="s">
        <v>80</v>
      </c>
      <c r="Z25" s="8" t="s">
        <v>80</v>
      </c>
      <c r="AA25" s="8" t="s">
        <v>75</v>
      </c>
      <c r="AB25" s="8" t="s">
        <v>80</v>
      </c>
      <c r="AC25" s="8" t="s">
        <v>75</v>
      </c>
      <c r="AD25" s="21" t="s">
        <v>75</v>
      </c>
      <c r="AE25" s="21" t="s">
        <v>75</v>
      </c>
      <c r="AF25" s="8">
        <v>6121.0</v>
      </c>
      <c r="AG25" s="8" t="s">
        <v>98</v>
      </c>
      <c r="AH25" s="8" t="s">
        <v>80</v>
      </c>
      <c r="AI25" s="8" t="s">
        <v>75</v>
      </c>
      <c r="AJ25" s="8" t="s">
        <v>98</v>
      </c>
      <c r="AK25" s="8" t="s">
        <v>98</v>
      </c>
      <c r="AL25" s="8" t="s">
        <v>75</v>
      </c>
      <c r="AM25" s="8" t="s">
        <v>75</v>
      </c>
      <c r="AN25" s="8" t="s">
        <v>75</v>
      </c>
      <c r="AO25" s="8" t="s">
        <v>75</v>
      </c>
      <c r="AP25" s="8" t="s">
        <v>75</v>
      </c>
      <c r="AQ25" s="8" t="s">
        <v>75</v>
      </c>
      <c r="AR25" s="8" t="s">
        <v>75</v>
      </c>
      <c r="AS25" s="8" t="s">
        <v>75</v>
      </c>
      <c r="AT25" s="8" t="s">
        <v>75</v>
      </c>
      <c r="AU25" s="8" t="s">
        <v>75</v>
      </c>
      <c r="AV25" s="8" t="s">
        <v>75</v>
      </c>
      <c r="AW25" s="8" t="s">
        <v>75</v>
      </c>
      <c r="AX25" s="8" t="s">
        <v>75</v>
      </c>
      <c r="AY25" s="8" t="s">
        <v>75</v>
      </c>
      <c r="AZ25" s="8" t="s">
        <v>75</v>
      </c>
      <c r="BA25" s="8" t="s">
        <v>75</v>
      </c>
    </row>
    <row r="26">
      <c r="A26" s="8" t="s">
        <v>501</v>
      </c>
      <c r="B26" s="8" t="s">
        <v>66</v>
      </c>
      <c r="C26" s="8" t="s">
        <v>502</v>
      </c>
      <c r="D26" s="61" t="s">
        <v>503</v>
      </c>
      <c r="E26" s="8" t="s">
        <v>506</v>
      </c>
      <c r="F26" s="8" t="s">
        <v>508</v>
      </c>
      <c r="G26" s="10" t="s">
        <v>509</v>
      </c>
      <c r="H26" s="10" t="s">
        <v>510</v>
      </c>
      <c r="I26" s="10">
        <v>2023.0</v>
      </c>
      <c r="J26" s="15" t="s">
        <v>511</v>
      </c>
      <c r="K26" s="8">
        <v>3.0</v>
      </c>
      <c r="L26" s="8">
        <v>3.0</v>
      </c>
      <c r="M26" s="8">
        <v>0.0</v>
      </c>
      <c r="N26" s="8">
        <v>0.0</v>
      </c>
      <c r="O26" s="8">
        <v>6.0</v>
      </c>
      <c r="P26" s="8">
        <v>0.0</v>
      </c>
      <c r="Q26" s="8">
        <v>16.0</v>
      </c>
      <c r="R26" s="8">
        <v>18.0</v>
      </c>
      <c r="S26" s="8" t="s">
        <v>205</v>
      </c>
      <c r="T26" s="8">
        <v>17652.0</v>
      </c>
      <c r="U26" s="8" t="s">
        <v>287</v>
      </c>
      <c r="V26" s="8" t="s">
        <v>288</v>
      </c>
      <c r="W26" s="8" t="s">
        <v>298</v>
      </c>
      <c r="X26" s="8" t="s">
        <v>83</v>
      </c>
      <c r="Y26" s="8" t="s">
        <v>80</v>
      </c>
      <c r="Z26" s="8" t="s">
        <v>80</v>
      </c>
      <c r="AA26" s="8" t="s">
        <v>75</v>
      </c>
      <c r="AB26" s="8" t="s">
        <v>75</v>
      </c>
      <c r="AC26" s="8" t="s">
        <v>75</v>
      </c>
      <c r="AD26" s="21" t="s">
        <v>75</v>
      </c>
      <c r="AE26" s="24" t="s">
        <v>80</v>
      </c>
      <c r="AF26" s="8" t="s">
        <v>98</v>
      </c>
      <c r="AG26" s="8" t="s">
        <v>80</v>
      </c>
      <c r="AH26" s="8" t="s">
        <v>80</v>
      </c>
      <c r="AI26" s="8" t="s">
        <v>75</v>
      </c>
      <c r="AJ26" s="8" t="s">
        <v>98</v>
      </c>
      <c r="AK26" s="8" t="s">
        <v>98</v>
      </c>
      <c r="AL26" s="8" t="s">
        <v>75</v>
      </c>
      <c r="AM26" s="8" t="s">
        <v>75</v>
      </c>
      <c r="AN26" s="8" t="s">
        <v>75</v>
      </c>
      <c r="AO26" s="8" t="s">
        <v>75</v>
      </c>
      <c r="AP26" s="8" t="s">
        <v>75</v>
      </c>
      <c r="AQ26" s="8" t="s">
        <v>75</v>
      </c>
      <c r="AR26" s="8" t="s">
        <v>75</v>
      </c>
      <c r="AS26" s="8" t="s">
        <v>75</v>
      </c>
      <c r="AT26" s="8" t="s">
        <v>75</v>
      </c>
      <c r="AU26" s="8" t="s">
        <v>75</v>
      </c>
      <c r="AV26" s="8" t="s">
        <v>75</v>
      </c>
      <c r="AW26" s="8" t="s">
        <v>75</v>
      </c>
      <c r="AX26" s="8" t="s">
        <v>75</v>
      </c>
      <c r="AY26" s="8" t="s">
        <v>75</v>
      </c>
      <c r="AZ26" s="8" t="s">
        <v>75</v>
      </c>
      <c r="BA26" s="8" t="s">
        <v>75</v>
      </c>
    </row>
    <row r="27">
      <c r="A27" s="8" t="s">
        <v>522</v>
      </c>
      <c r="B27" s="8" t="s">
        <v>66</v>
      </c>
      <c r="C27" s="8" t="s">
        <v>523</v>
      </c>
      <c r="D27" s="8" t="s">
        <v>525</v>
      </c>
      <c r="E27" s="8" t="s">
        <v>527</v>
      </c>
      <c r="F27" s="8" t="s">
        <v>365</v>
      </c>
      <c r="G27" s="10" t="s">
        <v>528</v>
      </c>
      <c r="H27" s="10" t="s">
        <v>529</v>
      </c>
      <c r="I27" s="10">
        <v>2024.0</v>
      </c>
      <c r="J27" s="62" t="s">
        <v>532</v>
      </c>
      <c r="K27" s="8">
        <v>2.0</v>
      </c>
      <c r="L27" s="8">
        <v>0.0</v>
      </c>
      <c r="M27" s="8">
        <v>2.0</v>
      </c>
      <c r="N27" s="8" t="s">
        <v>98</v>
      </c>
      <c r="O27" s="8" t="s">
        <v>98</v>
      </c>
      <c r="P27" s="8" t="s">
        <v>98</v>
      </c>
      <c r="Q27" s="8">
        <v>5.0</v>
      </c>
      <c r="R27" s="8">
        <v>5.0</v>
      </c>
      <c r="S27" s="8" t="s">
        <v>306</v>
      </c>
      <c r="T27" s="8">
        <v>22889.0</v>
      </c>
      <c r="U27" s="8" t="s">
        <v>536</v>
      </c>
      <c r="V27" s="8" t="s">
        <v>75</v>
      </c>
      <c r="W27" s="8" t="s">
        <v>98</v>
      </c>
      <c r="X27" s="8" t="s">
        <v>83</v>
      </c>
      <c r="Y27" s="8" t="s">
        <v>80</v>
      </c>
      <c r="Z27" s="8" t="s">
        <v>80</v>
      </c>
      <c r="AA27" s="8" t="s">
        <v>75</v>
      </c>
      <c r="AB27" s="8" t="s">
        <v>75</v>
      </c>
      <c r="AC27" s="8" t="s">
        <v>80</v>
      </c>
      <c r="AD27" s="21" t="s">
        <v>75</v>
      </c>
      <c r="AE27" s="21" t="s">
        <v>75</v>
      </c>
      <c r="AF27" s="8" t="s">
        <v>98</v>
      </c>
      <c r="AG27" s="8" t="s">
        <v>80</v>
      </c>
      <c r="AH27" s="8" t="s">
        <v>75</v>
      </c>
      <c r="AI27" s="8" t="s">
        <v>75</v>
      </c>
      <c r="AJ27" s="8" t="s">
        <v>98</v>
      </c>
      <c r="AK27" s="8" t="s">
        <v>98</v>
      </c>
      <c r="AL27" s="8" t="s">
        <v>75</v>
      </c>
      <c r="AM27" s="8" t="s">
        <v>75</v>
      </c>
      <c r="AN27" s="8" t="s">
        <v>75</v>
      </c>
      <c r="AO27" s="8" t="s">
        <v>75</v>
      </c>
      <c r="AP27" s="8" t="s">
        <v>75</v>
      </c>
      <c r="AQ27" s="8" t="s">
        <v>75</v>
      </c>
      <c r="AR27" s="8" t="s">
        <v>75</v>
      </c>
      <c r="AS27" s="8" t="s">
        <v>75</v>
      </c>
      <c r="AT27" s="8" t="s">
        <v>75</v>
      </c>
      <c r="AU27" s="8" t="s">
        <v>75</v>
      </c>
      <c r="AV27" s="8" t="s">
        <v>75</v>
      </c>
      <c r="AW27" s="8" t="s">
        <v>80</v>
      </c>
      <c r="AX27" s="8" t="s">
        <v>75</v>
      </c>
      <c r="AY27" s="8" t="s">
        <v>75</v>
      </c>
      <c r="AZ27" s="8" t="s">
        <v>75</v>
      </c>
      <c r="BA27" s="8" t="s">
        <v>75</v>
      </c>
    </row>
    <row r="28">
      <c r="A28" s="8" t="s">
        <v>554</v>
      </c>
      <c r="B28" s="8" t="s">
        <v>66</v>
      </c>
      <c r="C28" s="8" t="s">
        <v>555</v>
      </c>
      <c r="D28" s="8" t="s">
        <v>556</v>
      </c>
      <c r="E28" s="8" t="s">
        <v>557</v>
      </c>
      <c r="F28" s="8" t="s">
        <v>559</v>
      </c>
      <c r="G28" s="10" t="s">
        <v>560</v>
      </c>
      <c r="H28" s="10" t="s">
        <v>561</v>
      </c>
      <c r="I28" s="10">
        <v>2025.0</v>
      </c>
      <c r="J28" s="62" t="s">
        <v>532</v>
      </c>
      <c r="K28" s="8">
        <v>6.0</v>
      </c>
      <c r="L28" s="8">
        <v>0.0</v>
      </c>
      <c r="M28" s="8">
        <v>7.0</v>
      </c>
      <c r="N28" s="8" t="s">
        <v>98</v>
      </c>
      <c r="O28" s="8" t="s">
        <v>98</v>
      </c>
      <c r="P28" s="8" t="s">
        <v>98</v>
      </c>
      <c r="Q28" s="8">
        <v>3.0</v>
      </c>
      <c r="R28" s="8">
        <v>6.0</v>
      </c>
      <c r="S28" s="8" t="s">
        <v>93</v>
      </c>
      <c r="T28" s="8">
        <v>17769.0</v>
      </c>
      <c r="U28" s="8" t="s">
        <v>96</v>
      </c>
      <c r="V28" s="8" t="s">
        <v>75</v>
      </c>
      <c r="W28" s="8" t="s">
        <v>98</v>
      </c>
      <c r="X28" s="8" t="s">
        <v>204</v>
      </c>
      <c r="Y28" s="8" t="s">
        <v>80</v>
      </c>
      <c r="Z28" s="8" t="s">
        <v>80</v>
      </c>
      <c r="AA28" s="8" t="s">
        <v>75</v>
      </c>
      <c r="AB28" s="8" t="s">
        <v>75</v>
      </c>
      <c r="AC28" s="8" t="s">
        <v>75</v>
      </c>
      <c r="AD28" s="63" t="s">
        <v>569</v>
      </c>
      <c r="AE28" s="8"/>
      <c r="AF28" s="8">
        <v>17769.0</v>
      </c>
      <c r="AG28" s="8" t="s">
        <v>80</v>
      </c>
      <c r="AH28" s="8" t="s">
        <v>80</v>
      </c>
      <c r="AI28" s="8" t="s">
        <v>75</v>
      </c>
      <c r="AJ28" s="8" t="s">
        <v>98</v>
      </c>
      <c r="AK28" s="8" t="s">
        <v>98</v>
      </c>
      <c r="AL28" s="8" t="s">
        <v>80</v>
      </c>
      <c r="AM28" s="8" t="s">
        <v>75</v>
      </c>
      <c r="AN28" s="8" t="s">
        <v>75</v>
      </c>
      <c r="AO28" s="8" t="s">
        <v>75</v>
      </c>
      <c r="AP28" s="8" t="s">
        <v>75</v>
      </c>
      <c r="AQ28" s="8" t="s">
        <v>75</v>
      </c>
      <c r="AR28" s="8" t="s">
        <v>75</v>
      </c>
      <c r="AS28" s="8" t="s">
        <v>75</v>
      </c>
      <c r="AT28" s="8" t="s">
        <v>75</v>
      </c>
      <c r="AU28" s="8" t="s">
        <v>75</v>
      </c>
      <c r="AV28" s="8" t="s">
        <v>75</v>
      </c>
      <c r="AW28" s="8" t="s">
        <v>75</v>
      </c>
      <c r="AX28" s="8" t="s">
        <v>75</v>
      </c>
      <c r="AY28" s="8" t="s">
        <v>75</v>
      </c>
      <c r="AZ28" s="8" t="s">
        <v>75</v>
      </c>
      <c r="BA28" s="8" t="s">
        <v>80</v>
      </c>
    </row>
    <row r="29">
      <c r="A29" s="8" t="s">
        <v>586</v>
      </c>
      <c r="B29" s="8" t="s">
        <v>66</v>
      </c>
      <c r="C29" s="8" t="s">
        <v>588</v>
      </c>
      <c r="D29" s="8" t="s">
        <v>590</v>
      </c>
      <c r="E29" s="8" t="s">
        <v>591</v>
      </c>
      <c r="F29" s="8" t="s">
        <v>118</v>
      </c>
      <c r="G29" s="10" t="s">
        <v>592</v>
      </c>
      <c r="H29" s="10" t="s">
        <v>593</v>
      </c>
      <c r="I29" s="10">
        <v>2024.0</v>
      </c>
      <c r="J29" s="13" t="s">
        <v>73</v>
      </c>
      <c r="K29" s="8">
        <v>4.0</v>
      </c>
      <c r="L29" s="8">
        <v>0.0</v>
      </c>
      <c r="M29" s="8">
        <v>4.0</v>
      </c>
      <c r="N29" s="8" t="s">
        <v>98</v>
      </c>
      <c r="O29" s="8" t="s">
        <v>98</v>
      </c>
      <c r="P29" s="8" t="s">
        <v>98</v>
      </c>
      <c r="Q29" s="8">
        <v>4.0</v>
      </c>
      <c r="R29" s="8">
        <v>5.0</v>
      </c>
      <c r="S29" s="8" t="s">
        <v>179</v>
      </c>
      <c r="T29" s="8">
        <v>4617.0</v>
      </c>
      <c r="U29" s="8" t="s">
        <v>96</v>
      </c>
      <c r="V29" s="8" t="s">
        <v>75</v>
      </c>
      <c r="W29" s="8" t="s">
        <v>98</v>
      </c>
      <c r="X29" s="8" t="s">
        <v>83</v>
      </c>
      <c r="Y29" s="8" t="s">
        <v>80</v>
      </c>
      <c r="Z29" s="8" t="s">
        <v>80</v>
      </c>
      <c r="AA29" s="8" t="s">
        <v>75</v>
      </c>
      <c r="AB29" s="8" t="s">
        <v>75</v>
      </c>
      <c r="AC29" s="8" t="s">
        <v>80</v>
      </c>
      <c r="AD29" s="63" t="s">
        <v>569</v>
      </c>
      <c r="AE29" s="8"/>
      <c r="AF29" s="8">
        <v>4617.0</v>
      </c>
      <c r="AG29" s="8" t="s">
        <v>80</v>
      </c>
      <c r="AH29" s="8" t="s">
        <v>80</v>
      </c>
      <c r="AI29" s="8" t="s">
        <v>75</v>
      </c>
      <c r="AJ29" s="8" t="s">
        <v>98</v>
      </c>
      <c r="AK29" s="8" t="s">
        <v>98</v>
      </c>
      <c r="AL29" s="8" t="s">
        <v>80</v>
      </c>
      <c r="AM29" s="8" t="s">
        <v>75</v>
      </c>
      <c r="AN29" s="8" t="s">
        <v>75</v>
      </c>
      <c r="AO29" s="8" t="s">
        <v>75</v>
      </c>
      <c r="AP29" s="8" t="s">
        <v>75</v>
      </c>
      <c r="AQ29" s="8" t="s">
        <v>75</v>
      </c>
      <c r="AR29" s="8" t="s">
        <v>75</v>
      </c>
      <c r="AS29" s="8" t="s">
        <v>75</v>
      </c>
      <c r="AT29" s="8" t="s">
        <v>75</v>
      </c>
      <c r="AU29" s="8" t="s">
        <v>75</v>
      </c>
      <c r="AV29" s="8" t="s">
        <v>75</v>
      </c>
      <c r="AW29" s="8" t="s">
        <v>75</v>
      </c>
      <c r="AX29" s="8" t="s">
        <v>75</v>
      </c>
      <c r="AY29" s="8" t="s">
        <v>75</v>
      </c>
      <c r="AZ29" s="8" t="s">
        <v>80</v>
      </c>
      <c r="BA29" s="8" t="s">
        <v>75</v>
      </c>
    </row>
    <row r="30">
      <c r="A30" s="8" t="s">
        <v>606</v>
      </c>
      <c r="B30" s="8" t="s">
        <v>66</v>
      </c>
      <c r="C30" s="8" t="s">
        <v>608</v>
      </c>
      <c r="D30" s="8" t="s">
        <v>609</v>
      </c>
      <c r="E30" s="8" t="s">
        <v>610</v>
      </c>
      <c r="F30" s="8" t="s">
        <v>216</v>
      </c>
      <c r="G30" s="10" t="s">
        <v>611</v>
      </c>
      <c r="H30" s="10" t="s">
        <v>612</v>
      </c>
      <c r="I30" s="8">
        <v>2020.0</v>
      </c>
      <c r="J30" s="12" t="s">
        <v>165</v>
      </c>
      <c r="K30" s="8">
        <v>4.0</v>
      </c>
      <c r="L30" s="8">
        <v>0.0</v>
      </c>
      <c r="M30" s="8">
        <v>0.0</v>
      </c>
      <c r="N30" s="8">
        <v>3.0</v>
      </c>
      <c r="O30" s="8">
        <v>1.0</v>
      </c>
      <c r="P30" s="8">
        <v>0.0</v>
      </c>
      <c r="Q30" s="8">
        <v>65.0</v>
      </c>
      <c r="R30" s="8">
        <v>79.0</v>
      </c>
      <c r="S30" s="8" t="s">
        <v>205</v>
      </c>
      <c r="T30" s="8">
        <v>100055.0</v>
      </c>
      <c r="U30" s="8" t="s">
        <v>96</v>
      </c>
      <c r="V30" s="8" t="s">
        <v>75</v>
      </c>
      <c r="W30" s="8" t="s">
        <v>98</v>
      </c>
      <c r="X30" s="8" t="s">
        <v>83</v>
      </c>
      <c r="Y30" s="8" t="s">
        <v>75</v>
      </c>
      <c r="Z30" s="8" t="s">
        <v>80</v>
      </c>
      <c r="AA30" s="8" t="s">
        <v>75</v>
      </c>
      <c r="AB30" s="8" t="s">
        <v>80</v>
      </c>
      <c r="AC30" s="8" t="s">
        <v>80</v>
      </c>
      <c r="AD30" s="15" t="s">
        <v>66</v>
      </c>
      <c r="AE30" s="8"/>
      <c r="AF30" s="8">
        <v>2433.0</v>
      </c>
      <c r="AG30" s="8" t="s">
        <v>98</v>
      </c>
      <c r="AH30" s="8" t="s">
        <v>80</v>
      </c>
      <c r="AI30" s="8" t="s">
        <v>75</v>
      </c>
      <c r="AJ30" s="8" t="s">
        <v>80</v>
      </c>
      <c r="AK30" s="8" t="s">
        <v>98</v>
      </c>
      <c r="AL30" s="8" t="s">
        <v>75</v>
      </c>
      <c r="AM30" s="8" t="s">
        <v>80</v>
      </c>
      <c r="AN30" s="8" t="s">
        <v>75</v>
      </c>
      <c r="AO30" s="8" t="s">
        <v>75</v>
      </c>
      <c r="AP30" s="8" t="s">
        <v>75</v>
      </c>
      <c r="AQ30" s="8" t="s">
        <v>75</v>
      </c>
      <c r="AR30" s="8" t="s">
        <v>75</v>
      </c>
      <c r="AS30" s="8" t="s">
        <v>75</v>
      </c>
      <c r="AT30" s="8" t="s">
        <v>75</v>
      </c>
      <c r="AU30" s="8" t="s">
        <v>75</v>
      </c>
      <c r="AV30" s="8" t="s">
        <v>75</v>
      </c>
      <c r="AW30" s="8" t="s">
        <v>75</v>
      </c>
      <c r="AX30" s="8" t="s">
        <v>75</v>
      </c>
      <c r="AY30" s="8" t="s">
        <v>75</v>
      </c>
      <c r="AZ30" s="8" t="s">
        <v>75</v>
      </c>
      <c r="BA30" s="8" t="s">
        <v>75</v>
      </c>
    </row>
    <row r="31">
      <c r="A31" s="8" t="s">
        <v>626</v>
      </c>
      <c r="B31" s="8" t="s">
        <v>66</v>
      </c>
      <c r="C31" s="8" t="s">
        <v>628</v>
      </c>
      <c r="D31" s="8" t="s">
        <v>420</v>
      </c>
      <c r="E31" s="8" t="s">
        <v>421</v>
      </c>
      <c r="F31" s="8" t="s">
        <v>170</v>
      </c>
      <c r="G31" s="10" t="s">
        <v>424</v>
      </c>
      <c r="H31" s="10" t="s">
        <v>426</v>
      </c>
      <c r="I31" s="8">
        <v>2019.0</v>
      </c>
      <c r="J31" s="12" t="s">
        <v>165</v>
      </c>
      <c r="K31" s="8">
        <v>6.0</v>
      </c>
      <c r="L31" s="8">
        <v>0.0</v>
      </c>
      <c r="M31" s="8">
        <v>0.0</v>
      </c>
      <c r="N31" s="8" t="s">
        <v>98</v>
      </c>
      <c r="O31" s="8" t="s">
        <v>98</v>
      </c>
      <c r="P31" s="8" t="s">
        <v>98</v>
      </c>
      <c r="Q31" s="8" t="s">
        <v>98</v>
      </c>
      <c r="R31" s="8" t="s">
        <v>98</v>
      </c>
      <c r="S31" s="8" t="s">
        <v>98</v>
      </c>
      <c r="T31" s="8">
        <v>3248.0</v>
      </c>
      <c r="U31" s="8" t="s">
        <v>96</v>
      </c>
      <c r="V31" s="8" t="s">
        <v>75</v>
      </c>
      <c r="W31" s="8" t="s">
        <v>98</v>
      </c>
      <c r="X31" s="8" t="s">
        <v>638</v>
      </c>
      <c r="Y31" s="8" t="s">
        <v>80</v>
      </c>
      <c r="Z31" s="8" t="s">
        <v>80</v>
      </c>
      <c r="AA31" s="8" t="s">
        <v>75</v>
      </c>
      <c r="AB31" s="8" t="s">
        <v>75</v>
      </c>
      <c r="AC31" s="8" t="s">
        <v>75</v>
      </c>
      <c r="AD31" s="15" t="s">
        <v>66</v>
      </c>
      <c r="AE31" s="8"/>
      <c r="AF31" s="8">
        <v>920.0</v>
      </c>
      <c r="AG31" s="8" t="s">
        <v>98</v>
      </c>
      <c r="AH31" s="8" t="s">
        <v>80</v>
      </c>
      <c r="AI31" s="8" t="s">
        <v>75</v>
      </c>
      <c r="AJ31" s="8" t="s">
        <v>80</v>
      </c>
      <c r="AK31" s="8" t="s">
        <v>98</v>
      </c>
      <c r="AL31" s="8" t="s">
        <v>75</v>
      </c>
      <c r="AM31" s="8" t="s">
        <v>75</v>
      </c>
      <c r="AN31" s="8" t="s">
        <v>75</v>
      </c>
      <c r="AO31" s="8" t="s">
        <v>75</v>
      </c>
      <c r="AP31" s="8" t="s">
        <v>75</v>
      </c>
      <c r="AQ31" s="8" t="s">
        <v>75</v>
      </c>
      <c r="AR31" s="8" t="s">
        <v>75</v>
      </c>
      <c r="AS31" s="8" t="s">
        <v>75</v>
      </c>
      <c r="AT31" s="8" t="s">
        <v>75</v>
      </c>
      <c r="AU31" s="8" t="s">
        <v>75</v>
      </c>
      <c r="AV31" s="8" t="s">
        <v>75</v>
      </c>
      <c r="AW31" s="8" t="s">
        <v>75</v>
      </c>
      <c r="AX31" s="8" t="s">
        <v>75</v>
      </c>
      <c r="AY31" s="8" t="s">
        <v>75</v>
      </c>
      <c r="AZ31" s="8" t="s">
        <v>75</v>
      </c>
      <c r="BA31" s="8" t="s">
        <v>75</v>
      </c>
    </row>
    <row r="32">
      <c r="A32" s="8" t="s">
        <v>647</v>
      </c>
      <c r="B32" s="8" t="s">
        <v>66</v>
      </c>
      <c r="C32" s="8" t="s">
        <v>648</v>
      </c>
      <c r="D32" s="8" t="s">
        <v>649</v>
      </c>
      <c r="E32" s="8" t="s">
        <v>651</v>
      </c>
      <c r="F32" s="8" t="s">
        <v>652</v>
      </c>
      <c r="G32" s="10" t="s">
        <v>653</v>
      </c>
      <c r="H32" s="10" t="s">
        <v>655</v>
      </c>
      <c r="I32" s="8">
        <v>2022.0</v>
      </c>
      <c r="J32" s="12" t="s">
        <v>165</v>
      </c>
      <c r="K32" s="8">
        <v>2.0</v>
      </c>
      <c r="L32" s="8">
        <v>0.0</v>
      </c>
      <c r="M32" s="8">
        <v>0.0</v>
      </c>
      <c r="N32" s="8">
        <v>2.0</v>
      </c>
      <c r="O32" s="8">
        <v>0.0</v>
      </c>
      <c r="P32" s="8">
        <v>0.0</v>
      </c>
      <c r="Q32" s="8">
        <v>78.0</v>
      </c>
      <c r="R32" s="8">
        <v>90.0</v>
      </c>
      <c r="S32" s="8" t="s">
        <v>205</v>
      </c>
      <c r="T32" s="8">
        <v>92385.0</v>
      </c>
      <c r="U32" s="8" t="s">
        <v>96</v>
      </c>
      <c r="V32" s="8" t="s">
        <v>75</v>
      </c>
      <c r="W32" s="8" t="s">
        <v>98</v>
      </c>
      <c r="X32" s="8" t="s">
        <v>204</v>
      </c>
      <c r="Y32" s="8" t="s">
        <v>80</v>
      </c>
      <c r="Z32" s="8" t="s">
        <v>80</v>
      </c>
      <c r="AA32" s="8" t="s">
        <v>75</v>
      </c>
      <c r="AB32" s="8" t="s">
        <v>80</v>
      </c>
      <c r="AC32" s="8" t="s">
        <v>80</v>
      </c>
      <c r="AD32" s="15" t="s">
        <v>66</v>
      </c>
      <c r="AE32" s="8"/>
      <c r="AF32" s="8">
        <v>583.0</v>
      </c>
      <c r="AG32" s="8" t="s">
        <v>98</v>
      </c>
      <c r="AH32" s="8" t="s">
        <v>80</v>
      </c>
      <c r="AI32" s="8" t="s">
        <v>80</v>
      </c>
      <c r="AJ32" s="8" t="s">
        <v>80</v>
      </c>
      <c r="AK32" s="8" t="s">
        <v>98</v>
      </c>
      <c r="AL32" s="8" t="s">
        <v>75</v>
      </c>
      <c r="AM32" s="8" t="s">
        <v>75</v>
      </c>
      <c r="AN32" s="8" t="s">
        <v>75</v>
      </c>
      <c r="AO32" s="8" t="s">
        <v>75</v>
      </c>
      <c r="AP32" s="8" t="s">
        <v>75</v>
      </c>
      <c r="AQ32" s="8" t="s">
        <v>75</v>
      </c>
      <c r="AR32" s="8" t="s">
        <v>75</v>
      </c>
      <c r="AS32" s="8" t="s">
        <v>75</v>
      </c>
      <c r="AT32" s="8" t="s">
        <v>75</v>
      </c>
      <c r="AU32" s="8" t="s">
        <v>75</v>
      </c>
      <c r="AV32" s="8" t="s">
        <v>75</v>
      </c>
      <c r="AW32" s="8" t="s">
        <v>75</v>
      </c>
      <c r="AX32" s="8" t="s">
        <v>75</v>
      </c>
      <c r="AY32" s="8" t="s">
        <v>75</v>
      </c>
      <c r="AZ32" s="8" t="s">
        <v>75</v>
      </c>
      <c r="BA32" s="8" t="s">
        <v>75</v>
      </c>
    </row>
    <row r="33">
      <c r="A33" s="8" t="s">
        <v>670</v>
      </c>
      <c r="B33" s="8" t="s">
        <v>66</v>
      </c>
      <c r="C33" s="8" t="s">
        <v>672</v>
      </c>
      <c r="D33" s="8" t="s">
        <v>649</v>
      </c>
      <c r="E33" s="8" t="s">
        <v>651</v>
      </c>
      <c r="F33" s="8" t="s">
        <v>652</v>
      </c>
      <c r="G33" s="10" t="s">
        <v>653</v>
      </c>
      <c r="H33" s="10" t="s">
        <v>655</v>
      </c>
      <c r="I33" s="8">
        <v>2022.0</v>
      </c>
      <c r="J33" s="12" t="s">
        <v>165</v>
      </c>
      <c r="K33" s="8">
        <v>1.0</v>
      </c>
      <c r="L33" s="8">
        <v>2.0</v>
      </c>
      <c r="M33" s="8">
        <v>0.0</v>
      </c>
      <c r="N33" s="8">
        <v>2.0</v>
      </c>
      <c r="O33" s="8">
        <v>1.0</v>
      </c>
      <c r="P33" s="8">
        <v>0.0</v>
      </c>
      <c r="Q33" s="8">
        <v>58.0</v>
      </c>
      <c r="R33" s="8">
        <v>89.0</v>
      </c>
      <c r="S33" s="8" t="s">
        <v>205</v>
      </c>
      <c r="T33" s="8">
        <v>100853.0</v>
      </c>
      <c r="U33" s="8" t="s">
        <v>96</v>
      </c>
      <c r="V33" s="8" t="s">
        <v>679</v>
      </c>
      <c r="W33" s="8" t="s">
        <v>98</v>
      </c>
      <c r="X33" s="8" t="s">
        <v>204</v>
      </c>
      <c r="Y33" s="8" t="s">
        <v>80</v>
      </c>
      <c r="Z33" s="8" t="s">
        <v>80</v>
      </c>
      <c r="AA33" s="8" t="s">
        <v>75</v>
      </c>
      <c r="AB33" s="8" t="s">
        <v>80</v>
      </c>
      <c r="AC33" s="8" t="s">
        <v>80</v>
      </c>
      <c r="AD33" s="21" t="s">
        <v>75</v>
      </c>
      <c r="AE33" s="21" t="s">
        <v>75</v>
      </c>
      <c r="AF33" s="8" t="s">
        <v>98</v>
      </c>
      <c r="AG33" s="8" t="s">
        <v>80</v>
      </c>
      <c r="AH33" s="8" t="s">
        <v>80</v>
      </c>
      <c r="AI33" s="8" t="s">
        <v>80</v>
      </c>
      <c r="AJ33" s="8" t="s">
        <v>80</v>
      </c>
      <c r="AK33" s="8" t="s">
        <v>98</v>
      </c>
      <c r="AL33" s="8" t="s">
        <v>75</v>
      </c>
      <c r="AM33" s="8" t="s">
        <v>75</v>
      </c>
      <c r="AN33" s="8" t="s">
        <v>75</v>
      </c>
      <c r="AO33" s="8" t="s">
        <v>75</v>
      </c>
      <c r="AP33" s="8" t="s">
        <v>75</v>
      </c>
      <c r="AQ33" s="8" t="s">
        <v>75</v>
      </c>
      <c r="AR33" s="8" t="s">
        <v>75</v>
      </c>
      <c r="AS33" s="8" t="s">
        <v>75</v>
      </c>
      <c r="AT33" s="8" t="s">
        <v>75</v>
      </c>
      <c r="AU33" s="8" t="s">
        <v>75</v>
      </c>
      <c r="AV33" s="8" t="s">
        <v>75</v>
      </c>
      <c r="AW33" s="8" t="s">
        <v>75</v>
      </c>
      <c r="AX33" s="8" t="s">
        <v>75</v>
      </c>
      <c r="AY33" s="8" t="s">
        <v>75</v>
      </c>
      <c r="AZ33" s="8" t="s">
        <v>75</v>
      </c>
      <c r="BA33" s="8" t="s">
        <v>75</v>
      </c>
    </row>
    <row r="34">
      <c r="A34" s="8" t="s">
        <v>661</v>
      </c>
      <c r="B34" s="8" t="s">
        <v>66</v>
      </c>
      <c r="C34" s="8" t="s">
        <v>688</v>
      </c>
      <c r="D34" s="8" t="s">
        <v>690</v>
      </c>
      <c r="E34" s="8" t="s">
        <v>691</v>
      </c>
      <c r="F34" s="8" t="s">
        <v>69</v>
      </c>
      <c r="G34" s="10" t="s">
        <v>692</v>
      </c>
      <c r="H34" s="10" t="s">
        <v>367</v>
      </c>
      <c r="I34" s="8">
        <v>2022.0</v>
      </c>
      <c r="J34" s="12" t="s">
        <v>165</v>
      </c>
      <c r="K34" s="8">
        <v>6.0</v>
      </c>
      <c r="L34" s="8">
        <v>0.0</v>
      </c>
      <c r="M34" s="8">
        <v>0.0</v>
      </c>
      <c r="N34" s="8">
        <v>4.0</v>
      </c>
      <c r="O34" s="8">
        <v>2.0</v>
      </c>
      <c r="P34" s="8">
        <v>0.0</v>
      </c>
      <c r="Q34" s="8">
        <v>30.0</v>
      </c>
      <c r="R34" s="8">
        <v>78.0</v>
      </c>
      <c r="S34" s="8" t="s">
        <v>205</v>
      </c>
      <c r="T34" s="8">
        <v>195248.0</v>
      </c>
      <c r="U34" s="8" t="s">
        <v>276</v>
      </c>
      <c r="V34" s="8" t="s">
        <v>75</v>
      </c>
      <c r="W34" s="8" t="s">
        <v>98</v>
      </c>
      <c r="X34" s="8" t="s">
        <v>83</v>
      </c>
      <c r="Y34" s="8" t="s">
        <v>80</v>
      </c>
      <c r="Z34" s="8" t="s">
        <v>80</v>
      </c>
      <c r="AA34" s="8" t="s">
        <v>75</v>
      </c>
      <c r="AB34" s="8" t="s">
        <v>80</v>
      </c>
      <c r="AC34" s="8" t="s">
        <v>80</v>
      </c>
      <c r="AD34" s="47" t="s">
        <v>309</v>
      </c>
      <c r="AE34" s="8"/>
      <c r="AF34" s="8">
        <v>0.0</v>
      </c>
      <c r="AG34" s="8" t="s">
        <v>98</v>
      </c>
      <c r="AH34" s="8" t="s">
        <v>80</v>
      </c>
      <c r="AI34" s="8" t="s">
        <v>80</v>
      </c>
      <c r="AJ34" s="8" t="s">
        <v>80</v>
      </c>
      <c r="AK34" s="8" t="s">
        <v>98</v>
      </c>
      <c r="AL34" s="8" t="s">
        <v>75</v>
      </c>
      <c r="AM34" s="8" t="s">
        <v>75</v>
      </c>
      <c r="AN34" s="8" t="s">
        <v>75</v>
      </c>
      <c r="AO34" s="8" t="s">
        <v>75</v>
      </c>
      <c r="AP34" s="8" t="s">
        <v>75</v>
      </c>
      <c r="AQ34" s="8" t="s">
        <v>75</v>
      </c>
      <c r="AR34" s="8" t="s">
        <v>75</v>
      </c>
      <c r="AS34" s="8" t="s">
        <v>75</v>
      </c>
      <c r="AT34" s="8" t="s">
        <v>75</v>
      </c>
      <c r="AU34" s="8" t="s">
        <v>75</v>
      </c>
      <c r="AV34" s="8" t="s">
        <v>75</v>
      </c>
      <c r="AW34" s="8" t="s">
        <v>75</v>
      </c>
      <c r="AX34" s="8" t="s">
        <v>75</v>
      </c>
      <c r="AY34" s="8" t="s">
        <v>75</v>
      </c>
      <c r="AZ34" s="8" t="s">
        <v>75</v>
      </c>
      <c r="BA34" s="8" t="s">
        <v>75</v>
      </c>
    </row>
    <row r="35">
      <c r="A35" s="8" t="s">
        <v>707</v>
      </c>
      <c r="B35" s="8" t="s">
        <v>66</v>
      </c>
      <c r="C35" s="8" t="s">
        <v>709</v>
      </c>
      <c r="D35" s="8" t="s">
        <v>712</v>
      </c>
      <c r="E35" s="8" t="s">
        <v>713</v>
      </c>
      <c r="F35" s="8" t="s">
        <v>384</v>
      </c>
      <c r="G35" s="10" t="s">
        <v>715</v>
      </c>
      <c r="H35" s="10" t="s">
        <v>717</v>
      </c>
      <c r="I35" s="8">
        <v>2023.0</v>
      </c>
      <c r="J35" s="12" t="s">
        <v>165</v>
      </c>
      <c r="K35" s="8">
        <v>6.0</v>
      </c>
      <c r="L35" s="8">
        <v>0.0</v>
      </c>
      <c r="M35" s="8">
        <v>0.0</v>
      </c>
      <c r="N35" s="8">
        <v>4.0</v>
      </c>
      <c r="O35" s="8">
        <v>2.0</v>
      </c>
      <c r="P35" s="8">
        <v>0.0</v>
      </c>
      <c r="Q35" s="8">
        <v>65.0</v>
      </c>
      <c r="R35" s="8">
        <v>84.0</v>
      </c>
      <c r="S35" s="8" t="s">
        <v>205</v>
      </c>
      <c r="T35" s="8">
        <v>244474.0</v>
      </c>
      <c r="U35" s="8" t="s">
        <v>96</v>
      </c>
      <c r="V35" s="8" t="s">
        <v>75</v>
      </c>
      <c r="W35" s="8" t="s">
        <v>98</v>
      </c>
      <c r="X35" s="8" t="s">
        <v>83</v>
      </c>
      <c r="Y35" s="8" t="s">
        <v>80</v>
      </c>
      <c r="Z35" s="8" t="s">
        <v>80</v>
      </c>
      <c r="AA35" s="8" t="s">
        <v>75</v>
      </c>
      <c r="AB35" s="8" t="s">
        <v>80</v>
      </c>
      <c r="AC35" s="8" t="s">
        <v>80</v>
      </c>
      <c r="AD35" s="47" t="s">
        <v>309</v>
      </c>
      <c r="AE35" s="8"/>
      <c r="AF35" s="8">
        <v>0.0</v>
      </c>
      <c r="AG35" s="8" t="s">
        <v>98</v>
      </c>
      <c r="AH35" s="8" t="s">
        <v>80</v>
      </c>
      <c r="AI35" s="8" t="s">
        <v>80</v>
      </c>
      <c r="AJ35" s="8" t="s">
        <v>75</v>
      </c>
      <c r="AK35" s="8" t="s">
        <v>726</v>
      </c>
      <c r="AL35" s="8" t="s">
        <v>75</v>
      </c>
      <c r="AM35" s="8" t="s">
        <v>75</v>
      </c>
      <c r="AN35" s="8" t="s">
        <v>75</v>
      </c>
      <c r="AO35" s="8" t="s">
        <v>75</v>
      </c>
      <c r="AP35" s="8" t="s">
        <v>75</v>
      </c>
      <c r="AQ35" s="8" t="s">
        <v>75</v>
      </c>
      <c r="AR35" s="8" t="s">
        <v>75</v>
      </c>
      <c r="AS35" s="8" t="s">
        <v>75</v>
      </c>
      <c r="AT35" s="8" t="s">
        <v>75</v>
      </c>
      <c r="AU35" s="8" t="s">
        <v>75</v>
      </c>
      <c r="AV35" s="8" t="s">
        <v>75</v>
      </c>
      <c r="AW35" s="8" t="s">
        <v>75</v>
      </c>
      <c r="AX35" s="8" t="s">
        <v>75</v>
      </c>
      <c r="AY35" s="8" t="s">
        <v>75</v>
      </c>
      <c r="AZ35" s="8" t="s">
        <v>75</v>
      </c>
      <c r="BA35" s="8" t="s">
        <v>75</v>
      </c>
    </row>
    <row r="36">
      <c r="A36" s="8" t="s">
        <v>731</v>
      </c>
      <c r="B36" s="8" t="s">
        <v>66</v>
      </c>
      <c r="C36" s="8" t="s">
        <v>346</v>
      </c>
      <c r="D36" s="8" t="s">
        <v>738</v>
      </c>
      <c r="E36" s="8" t="s">
        <v>323</v>
      </c>
      <c r="F36" s="8" t="s">
        <v>69</v>
      </c>
      <c r="G36" s="10" t="s">
        <v>325</v>
      </c>
      <c r="H36" s="10" t="s">
        <v>367</v>
      </c>
      <c r="I36" s="8">
        <v>2023.0</v>
      </c>
      <c r="J36" s="12" t="s">
        <v>165</v>
      </c>
      <c r="K36" s="8">
        <v>19.0</v>
      </c>
      <c r="L36" s="8">
        <v>0.0</v>
      </c>
      <c r="M36" s="8">
        <v>0.0</v>
      </c>
      <c r="N36" s="8">
        <v>12.0</v>
      </c>
      <c r="O36" s="8">
        <v>7.0</v>
      </c>
      <c r="P36" s="8">
        <v>0.0</v>
      </c>
      <c r="Q36" s="8">
        <v>33.0</v>
      </c>
      <c r="R36" s="8">
        <v>77.0</v>
      </c>
      <c r="S36" s="8" t="s">
        <v>205</v>
      </c>
      <c r="T36" s="8">
        <v>139978.0</v>
      </c>
      <c r="U36" s="8" t="s">
        <v>744</v>
      </c>
      <c r="V36" s="8" t="s">
        <v>75</v>
      </c>
      <c r="W36" s="8" t="s">
        <v>98</v>
      </c>
      <c r="X36" s="8" t="s">
        <v>83</v>
      </c>
      <c r="Y36" s="8" t="s">
        <v>80</v>
      </c>
      <c r="Z36" s="8" t="s">
        <v>80</v>
      </c>
      <c r="AA36" s="8" t="s">
        <v>75</v>
      </c>
      <c r="AB36" s="8" t="s">
        <v>80</v>
      </c>
      <c r="AC36" s="8" t="s">
        <v>80</v>
      </c>
      <c r="AD36" s="15" t="s">
        <v>66</v>
      </c>
      <c r="AE36" s="8"/>
      <c r="AF36" s="8">
        <v>0.0</v>
      </c>
      <c r="AG36" s="8" t="s">
        <v>98</v>
      </c>
      <c r="AH36" s="8" t="s">
        <v>80</v>
      </c>
      <c r="AI36" s="8" t="s">
        <v>80</v>
      </c>
      <c r="AJ36" s="8" t="s">
        <v>80</v>
      </c>
      <c r="AK36" s="8" t="s">
        <v>98</v>
      </c>
      <c r="AL36" s="8" t="s">
        <v>75</v>
      </c>
      <c r="AM36" s="8" t="s">
        <v>75</v>
      </c>
      <c r="AN36" s="8" t="s">
        <v>75</v>
      </c>
      <c r="AO36" s="8" t="s">
        <v>75</v>
      </c>
      <c r="AP36" s="8" t="s">
        <v>75</v>
      </c>
      <c r="AQ36" s="8" t="s">
        <v>75</v>
      </c>
      <c r="AR36" s="8" t="s">
        <v>75</v>
      </c>
      <c r="AS36" s="8" t="s">
        <v>75</v>
      </c>
      <c r="AT36" s="8" t="s">
        <v>75</v>
      </c>
      <c r="AU36" s="8" t="s">
        <v>75</v>
      </c>
      <c r="AV36" s="8" t="s">
        <v>75</v>
      </c>
      <c r="AW36" s="8" t="s">
        <v>75</v>
      </c>
      <c r="AX36" s="8" t="s">
        <v>75</v>
      </c>
      <c r="AY36" s="8" t="s">
        <v>75</v>
      </c>
      <c r="AZ36" s="8" t="s">
        <v>75</v>
      </c>
      <c r="BA36" s="8" t="s">
        <v>75</v>
      </c>
    </row>
    <row r="37">
      <c r="A37" s="8" t="s">
        <v>757</v>
      </c>
      <c r="B37" s="8" t="s">
        <v>66</v>
      </c>
      <c r="C37" s="8" t="s">
        <v>372</v>
      </c>
      <c r="D37" s="8" t="s">
        <v>349</v>
      </c>
      <c r="E37" s="8" t="s">
        <v>350</v>
      </c>
      <c r="F37" s="8" t="s">
        <v>170</v>
      </c>
      <c r="G37" s="10" t="s">
        <v>351</v>
      </c>
      <c r="H37" s="10" t="s">
        <v>352</v>
      </c>
      <c r="I37" s="10">
        <v>2024.0</v>
      </c>
      <c r="J37" s="13" t="s">
        <v>73</v>
      </c>
      <c r="K37" s="8">
        <v>1.0</v>
      </c>
      <c r="L37" s="8">
        <v>0.0</v>
      </c>
      <c r="M37" s="8">
        <v>1.0</v>
      </c>
      <c r="N37" s="8">
        <v>0.0</v>
      </c>
      <c r="O37" s="8">
        <v>0.0</v>
      </c>
      <c r="P37" s="8">
        <v>2.0</v>
      </c>
      <c r="Q37" s="8">
        <v>2.0</v>
      </c>
      <c r="R37" s="8">
        <v>3.0</v>
      </c>
      <c r="S37" s="8" t="s">
        <v>93</v>
      </c>
      <c r="T37" s="8">
        <v>17531.0</v>
      </c>
      <c r="U37" s="8" t="s">
        <v>96</v>
      </c>
      <c r="V37" s="8" t="s">
        <v>75</v>
      </c>
      <c r="W37" s="8" t="s">
        <v>98</v>
      </c>
      <c r="X37" s="8" t="s">
        <v>83</v>
      </c>
      <c r="Y37" s="8" t="s">
        <v>80</v>
      </c>
      <c r="Z37" s="8" t="s">
        <v>80</v>
      </c>
      <c r="AA37" s="8" t="s">
        <v>75</v>
      </c>
      <c r="AB37" s="8" t="s">
        <v>75</v>
      </c>
      <c r="AC37" s="8" t="s">
        <v>75</v>
      </c>
      <c r="AD37" s="63" t="s">
        <v>569</v>
      </c>
      <c r="AE37" s="8"/>
      <c r="AF37" s="8">
        <v>17531.0</v>
      </c>
      <c r="AG37" s="8" t="s">
        <v>80</v>
      </c>
      <c r="AH37" s="8" t="s">
        <v>80</v>
      </c>
      <c r="AI37" s="8" t="s">
        <v>75</v>
      </c>
      <c r="AJ37" s="8" t="s">
        <v>80</v>
      </c>
      <c r="AK37" s="8" t="s">
        <v>98</v>
      </c>
      <c r="AL37" s="8" t="s">
        <v>80</v>
      </c>
      <c r="AM37" s="8" t="s">
        <v>75</v>
      </c>
      <c r="AN37" s="8" t="s">
        <v>75</v>
      </c>
      <c r="AO37" s="8" t="s">
        <v>75</v>
      </c>
      <c r="AP37" s="8" t="s">
        <v>75</v>
      </c>
      <c r="AQ37" s="8" t="s">
        <v>75</v>
      </c>
      <c r="AR37" s="8" t="s">
        <v>75</v>
      </c>
      <c r="AS37" s="8" t="s">
        <v>75</v>
      </c>
      <c r="AT37" s="8" t="s">
        <v>80</v>
      </c>
      <c r="AU37" s="8" t="s">
        <v>75</v>
      </c>
      <c r="AV37" s="8" t="s">
        <v>75</v>
      </c>
      <c r="AW37" s="8" t="s">
        <v>75</v>
      </c>
      <c r="AX37" s="8" t="s">
        <v>75</v>
      </c>
      <c r="AY37" s="8" t="s">
        <v>75</v>
      </c>
      <c r="AZ37" s="8" t="s">
        <v>80</v>
      </c>
      <c r="BA37" s="8" t="s">
        <v>75</v>
      </c>
    </row>
    <row r="38">
      <c r="A38" s="8" t="s">
        <v>769</v>
      </c>
      <c r="B38" s="8" t="s">
        <v>66</v>
      </c>
      <c r="C38" s="8" t="s">
        <v>778</v>
      </c>
      <c r="D38" s="8" t="s">
        <v>349</v>
      </c>
      <c r="E38" s="8" t="s">
        <v>350</v>
      </c>
      <c r="F38" s="8" t="s">
        <v>170</v>
      </c>
      <c r="G38" s="10" t="s">
        <v>351</v>
      </c>
      <c r="H38" s="10" t="s">
        <v>352</v>
      </c>
      <c r="I38" s="10">
        <v>2024.0</v>
      </c>
      <c r="J38" s="13" t="s">
        <v>73</v>
      </c>
      <c r="K38" s="8">
        <v>0.0</v>
      </c>
      <c r="L38" s="8">
        <v>0.0</v>
      </c>
      <c r="M38" s="8">
        <v>1.0</v>
      </c>
      <c r="N38" s="8">
        <v>0.0</v>
      </c>
      <c r="O38" s="8">
        <v>0.0</v>
      </c>
      <c r="P38" s="8">
        <v>1.0</v>
      </c>
      <c r="Q38" s="8">
        <v>2.0</v>
      </c>
      <c r="R38" s="8">
        <v>3.0</v>
      </c>
      <c r="S38" s="8" t="s">
        <v>93</v>
      </c>
      <c r="T38" s="8">
        <v>50480.0</v>
      </c>
      <c r="U38" s="8" t="s">
        <v>96</v>
      </c>
      <c r="V38" s="8" t="s">
        <v>75</v>
      </c>
      <c r="W38" s="8" t="s">
        <v>98</v>
      </c>
      <c r="X38" s="8" t="s">
        <v>213</v>
      </c>
      <c r="Y38" s="8" t="s">
        <v>80</v>
      </c>
      <c r="Z38" s="8" t="s">
        <v>80</v>
      </c>
      <c r="AA38" s="8" t="s">
        <v>75</v>
      </c>
      <c r="AB38" s="8" t="s">
        <v>75</v>
      </c>
      <c r="AC38" s="8" t="s">
        <v>75</v>
      </c>
      <c r="AD38" s="47" t="s">
        <v>309</v>
      </c>
      <c r="AE38" s="8"/>
      <c r="AF38" s="8">
        <v>492.0</v>
      </c>
      <c r="AG38" s="8" t="s">
        <v>98</v>
      </c>
      <c r="AH38" s="8" t="s">
        <v>80</v>
      </c>
      <c r="AI38" s="8" t="s">
        <v>75</v>
      </c>
      <c r="AJ38" s="8" t="s">
        <v>80</v>
      </c>
      <c r="AK38" s="8" t="s">
        <v>98</v>
      </c>
      <c r="AL38" s="8" t="s">
        <v>75</v>
      </c>
      <c r="AM38" s="8" t="s">
        <v>75</v>
      </c>
      <c r="AN38" s="8" t="s">
        <v>75</v>
      </c>
      <c r="AO38" s="8" t="s">
        <v>75</v>
      </c>
      <c r="AP38" s="8" t="s">
        <v>75</v>
      </c>
      <c r="AQ38" s="8" t="s">
        <v>75</v>
      </c>
      <c r="AR38" s="8" t="s">
        <v>75</v>
      </c>
      <c r="AS38" s="8" t="s">
        <v>75</v>
      </c>
      <c r="AT38" s="8" t="s">
        <v>75</v>
      </c>
      <c r="AU38" s="8" t="s">
        <v>75</v>
      </c>
      <c r="AV38" s="8" t="s">
        <v>75</v>
      </c>
      <c r="AW38" s="8" t="s">
        <v>75</v>
      </c>
      <c r="AX38" s="8" t="s">
        <v>75</v>
      </c>
      <c r="AY38" s="8" t="s">
        <v>75</v>
      </c>
      <c r="AZ38" s="8" t="s">
        <v>75</v>
      </c>
      <c r="BA38" s="8" t="s">
        <v>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0.13"/>
    <col customWidth="1" min="3" max="3" width="26.38"/>
  </cols>
  <sheetData>
    <row r="1">
      <c r="A1" s="4" t="s">
        <v>2</v>
      </c>
      <c r="B1" s="4" t="s">
        <v>60</v>
      </c>
      <c r="C1" s="4" t="s">
        <v>61</v>
      </c>
      <c r="D1" s="4" t="s">
        <v>25</v>
      </c>
      <c r="E1" s="4" t="s">
        <v>11</v>
      </c>
    </row>
    <row r="2">
      <c r="A2" s="12" t="s">
        <v>62</v>
      </c>
      <c r="B2" s="12" t="s">
        <v>75</v>
      </c>
      <c r="C2" s="12" t="s">
        <v>76</v>
      </c>
      <c r="D2" s="12" t="s">
        <v>78</v>
      </c>
      <c r="E2" s="12" t="s">
        <v>73</v>
      </c>
    </row>
    <row r="3">
      <c r="A3" s="12" t="s">
        <v>62</v>
      </c>
      <c r="B3" s="12" t="s">
        <v>75</v>
      </c>
      <c r="C3" s="12" t="s">
        <v>81</v>
      </c>
      <c r="D3" s="12" t="s">
        <v>78</v>
      </c>
      <c r="E3" s="12" t="s">
        <v>73</v>
      </c>
    </row>
    <row r="4">
      <c r="A4" s="12" t="s">
        <v>62</v>
      </c>
      <c r="B4" s="12" t="s">
        <v>75</v>
      </c>
      <c r="C4" s="12" t="s">
        <v>84</v>
      </c>
      <c r="D4" s="12" t="s">
        <v>78</v>
      </c>
      <c r="E4" s="12" t="s">
        <v>73</v>
      </c>
    </row>
    <row r="5">
      <c r="A5" s="12" t="s">
        <v>62</v>
      </c>
      <c r="B5" s="12" t="s">
        <v>75</v>
      </c>
      <c r="C5" s="12" t="s">
        <v>87</v>
      </c>
      <c r="D5" s="12" t="s">
        <v>78</v>
      </c>
      <c r="E5" s="12" t="s">
        <v>73</v>
      </c>
    </row>
    <row r="6">
      <c r="A6" s="12" t="s">
        <v>62</v>
      </c>
      <c r="B6" s="12" t="s">
        <v>75</v>
      </c>
      <c r="C6" s="12" t="s">
        <v>90</v>
      </c>
      <c r="D6" s="12" t="s">
        <v>78</v>
      </c>
      <c r="E6" s="12" t="s">
        <v>73</v>
      </c>
    </row>
    <row r="7">
      <c r="A7" s="12" t="s">
        <v>62</v>
      </c>
      <c r="B7" s="12" t="s">
        <v>75</v>
      </c>
      <c r="C7" s="12" t="s">
        <v>94</v>
      </c>
      <c r="D7" s="12" t="s">
        <v>78</v>
      </c>
      <c r="E7" s="12" t="s">
        <v>73</v>
      </c>
    </row>
    <row r="8">
      <c r="A8" s="12" t="s">
        <v>62</v>
      </c>
      <c r="B8" s="12" t="s">
        <v>75</v>
      </c>
      <c r="C8" s="12" t="s">
        <v>99</v>
      </c>
      <c r="D8" s="12" t="s">
        <v>78</v>
      </c>
      <c r="E8" s="12" t="s">
        <v>73</v>
      </c>
    </row>
    <row r="9">
      <c r="A9" s="12" t="s">
        <v>62</v>
      </c>
      <c r="B9" s="12" t="s">
        <v>75</v>
      </c>
      <c r="C9" s="12" t="s">
        <v>102</v>
      </c>
      <c r="D9" s="12" t="s">
        <v>78</v>
      </c>
      <c r="E9" s="12" t="s">
        <v>73</v>
      </c>
    </row>
    <row r="10">
      <c r="A10" s="12" t="s">
        <v>62</v>
      </c>
      <c r="B10" s="12" t="s">
        <v>75</v>
      </c>
      <c r="C10" s="12" t="s">
        <v>104</v>
      </c>
      <c r="D10" s="12" t="s">
        <v>78</v>
      </c>
      <c r="E10" s="12" t="s">
        <v>73</v>
      </c>
    </row>
    <row r="11">
      <c r="A11" s="12" t="s">
        <v>62</v>
      </c>
      <c r="B11" s="12" t="s">
        <v>75</v>
      </c>
      <c r="C11" s="12" t="s">
        <v>106</v>
      </c>
      <c r="D11" s="12" t="s">
        <v>78</v>
      </c>
      <c r="E11" s="12" t="s">
        <v>73</v>
      </c>
    </row>
    <row r="12">
      <c r="A12" s="13" t="s">
        <v>110</v>
      </c>
      <c r="B12" s="13" t="s">
        <v>75</v>
      </c>
      <c r="C12" s="13" t="s">
        <v>94</v>
      </c>
      <c r="D12" s="13" t="s">
        <v>78</v>
      </c>
      <c r="E12" s="13" t="s">
        <v>73</v>
      </c>
    </row>
    <row r="13">
      <c r="A13" s="13" t="s">
        <v>110</v>
      </c>
      <c r="B13" s="13" t="s">
        <v>75</v>
      </c>
      <c r="C13" s="13" t="s">
        <v>116</v>
      </c>
      <c r="D13" s="13" t="s">
        <v>78</v>
      </c>
      <c r="E13" s="13" t="s">
        <v>73</v>
      </c>
    </row>
    <row r="14">
      <c r="A14" s="13" t="s">
        <v>110</v>
      </c>
      <c r="B14" s="13" t="s">
        <v>75</v>
      </c>
      <c r="C14" s="13" t="s">
        <v>117</v>
      </c>
      <c r="D14" s="13" t="s">
        <v>78</v>
      </c>
      <c r="E14" s="13" t="s">
        <v>73</v>
      </c>
    </row>
    <row r="15">
      <c r="A15" s="13" t="s">
        <v>110</v>
      </c>
      <c r="B15" s="13" t="s">
        <v>75</v>
      </c>
      <c r="C15" s="13" t="s">
        <v>121</v>
      </c>
      <c r="D15" s="13" t="s">
        <v>78</v>
      </c>
      <c r="E15" s="13" t="s">
        <v>73</v>
      </c>
    </row>
    <row r="16">
      <c r="A16" s="13" t="s">
        <v>110</v>
      </c>
      <c r="B16" s="13" t="s">
        <v>75</v>
      </c>
      <c r="C16" s="13" t="s">
        <v>123</v>
      </c>
      <c r="D16" s="13" t="s">
        <v>78</v>
      </c>
      <c r="E16" s="13" t="s">
        <v>73</v>
      </c>
    </row>
    <row r="17">
      <c r="A17" s="13" t="s">
        <v>110</v>
      </c>
      <c r="B17" s="13" t="s">
        <v>75</v>
      </c>
      <c r="C17" s="13" t="s">
        <v>124</v>
      </c>
      <c r="D17" s="13" t="s">
        <v>78</v>
      </c>
      <c r="E17" s="13" t="s">
        <v>73</v>
      </c>
    </row>
    <row r="18">
      <c r="A18" s="13" t="s">
        <v>110</v>
      </c>
      <c r="B18" s="13" t="s">
        <v>75</v>
      </c>
      <c r="C18" s="13" t="s">
        <v>125</v>
      </c>
      <c r="D18" s="13" t="s">
        <v>78</v>
      </c>
      <c r="E18" s="13" t="s">
        <v>73</v>
      </c>
    </row>
    <row r="19">
      <c r="A19" s="13" t="s">
        <v>110</v>
      </c>
      <c r="B19" s="13" t="s">
        <v>75</v>
      </c>
      <c r="C19" s="13" t="s">
        <v>90</v>
      </c>
      <c r="D19" s="13" t="s">
        <v>78</v>
      </c>
      <c r="E19" s="13" t="s">
        <v>73</v>
      </c>
    </row>
    <row r="20">
      <c r="A20" s="13" t="s">
        <v>110</v>
      </c>
      <c r="B20" s="13" t="s">
        <v>75</v>
      </c>
      <c r="C20" s="13" t="s">
        <v>126</v>
      </c>
      <c r="D20" s="13" t="s">
        <v>78</v>
      </c>
      <c r="E20" s="13" t="s">
        <v>73</v>
      </c>
    </row>
    <row r="21">
      <c r="A21" s="13" t="s">
        <v>110</v>
      </c>
      <c r="B21" s="13" t="s">
        <v>75</v>
      </c>
      <c r="C21" s="13" t="s">
        <v>87</v>
      </c>
      <c r="D21" s="13" t="s">
        <v>78</v>
      </c>
      <c r="E21" s="13" t="s">
        <v>73</v>
      </c>
    </row>
    <row r="22">
      <c r="A22" s="13" t="s">
        <v>110</v>
      </c>
      <c r="B22" s="13" t="s">
        <v>75</v>
      </c>
      <c r="C22" s="13" t="s">
        <v>127</v>
      </c>
      <c r="D22" s="13" t="s">
        <v>78</v>
      </c>
      <c r="E22" s="13" t="s">
        <v>73</v>
      </c>
    </row>
    <row r="23">
      <c r="A23" s="13" t="s">
        <v>110</v>
      </c>
      <c r="B23" s="13" t="s">
        <v>75</v>
      </c>
      <c r="C23" s="13" t="s">
        <v>128</v>
      </c>
      <c r="D23" s="13" t="s">
        <v>78</v>
      </c>
      <c r="E23" s="13" t="s">
        <v>73</v>
      </c>
    </row>
    <row r="24">
      <c r="A24" s="13" t="s">
        <v>110</v>
      </c>
      <c r="B24" s="13" t="s">
        <v>75</v>
      </c>
      <c r="C24" s="13" t="s">
        <v>76</v>
      </c>
      <c r="D24" s="13" t="s">
        <v>78</v>
      </c>
      <c r="E24" s="13" t="s">
        <v>73</v>
      </c>
    </row>
    <row r="25">
      <c r="A25" s="13" t="s">
        <v>110</v>
      </c>
      <c r="B25" s="13" t="s">
        <v>75</v>
      </c>
      <c r="C25" s="13" t="s">
        <v>81</v>
      </c>
      <c r="D25" s="13" t="s">
        <v>78</v>
      </c>
      <c r="E25" s="13" t="s">
        <v>73</v>
      </c>
    </row>
    <row r="26">
      <c r="A26" s="13" t="s">
        <v>110</v>
      </c>
      <c r="B26" s="13" t="s">
        <v>75</v>
      </c>
      <c r="C26" s="13" t="s">
        <v>129</v>
      </c>
      <c r="D26" s="13" t="s">
        <v>78</v>
      </c>
      <c r="E26" s="13" t="s">
        <v>73</v>
      </c>
    </row>
    <row r="27">
      <c r="A27" s="13" t="s">
        <v>110</v>
      </c>
      <c r="B27" s="13" t="s">
        <v>75</v>
      </c>
      <c r="C27" s="13" t="s">
        <v>130</v>
      </c>
      <c r="D27" s="13" t="s">
        <v>78</v>
      </c>
      <c r="E27" s="13" t="s">
        <v>73</v>
      </c>
    </row>
    <row r="28">
      <c r="A28" s="13" t="s">
        <v>110</v>
      </c>
      <c r="B28" s="13" t="s">
        <v>75</v>
      </c>
      <c r="C28" s="13" t="s">
        <v>131</v>
      </c>
      <c r="D28" s="13" t="s">
        <v>78</v>
      </c>
      <c r="E28" s="13" t="s">
        <v>73</v>
      </c>
    </row>
    <row r="29">
      <c r="A29" s="12" t="s">
        <v>132</v>
      </c>
      <c r="B29" s="12" t="s">
        <v>75</v>
      </c>
      <c r="C29" s="12" t="s">
        <v>94</v>
      </c>
      <c r="D29" s="12" t="s">
        <v>78</v>
      </c>
      <c r="E29" s="12" t="s">
        <v>73</v>
      </c>
    </row>
    <row r="30">
      <c r="A30" s="12" t="s">
        <v>132</v>
      </c>
      <c r="B30" s="12" t="s">
        <v>75</v>
      </c>
      <c r="C30" s="12" t="s">
        <v>125</v>
      </c>
      <c r="D30" s="12" t="s">
        <v>78</v>
      </c>
      <c r="E30" s="12" t="s">
        <v>73</v>
      </c>
    </row>
    <row r="31">
      <c r="A31" s="13" t="s">
        <v>133</v>
      </c>
      <c r="B31" s="13" t="s">
        <v>75</v>
      </c>
      <c r="C31" s="13" t="s">
        <v>127</v>
      </c>
      <c r="D31" s="13" t="s">
        <v>78</v>
      </c>
      <c r="E31" s="13" t="s">
        <v>73</v>
      </c>
    </row>
    <row r="32">
      <c r="A32" s="13" t="s">
        <v>133</v>
      </c>
      <c r="B32" s="13" t="s">
        <v>75</v>
      </c>
      <c r="C32" s="13" t="s">
        <v>128</v>
      </c>
      <c r="D32" s="13" t="s">
        <v>78</v>
      </c>
      <c r="E32" s="13" t="s">
        <v>73</v>
      </c>
    </row>
    <row r="33">
      <c r="A33" s="13" t="s">
        <v>133</v>
      </c>
      <c r="B33" s="13" t="s">
        <v>75</v>
      </c>
      <c r="C33" s="13" t="s">
        <v>134</v>
      </c>
      <c r="D33" s="13" t="s">
        <v>78</v>
      </c>
      <c r="E33" s="13" t="s">
        <v>73</v>
      </c>
    </row>
    <row r="34">
      <c r="A34" s="13" t="s">
        <v>133</v>
      </c>
      <c r="B34" s="13" t="s">
        <v>75</v>
      </c>
      <c r="C34" s="13" t="s">
        <v>126</v>
      </c>
      <c r="D34" s="13" t="s">
        <v>78</v>
      </c>
      <c r="E34" s="13" t="s">
        <v>73</v>
      </c>
    </row>
    <row r="35">
      <c r="A35" s="13" t="s">
        <v>133</v>
      </c>
      <c r="B35" s="13" t="s">
        <v>75</v>
      </c>
      <c r="C35" s="13" t="s">
        <v>136</v>
      </c>
      <c r="D35" s="13" t="s">
        <v>78</v>
      </c>
      <c r="E35" s="13" t="s">
        <v>73</v>
      </c>
    </row>
    <row r="36">
      <c r="A36" s="13" t="s">
        <v>133</v>
      </c>
      <c r="B36" s="13" t="s">
        <v>75</v>
      </c>
      <c r="C36" s="13" t="s">
        <v>137</v>
      </c>
      <c r="D36" s="13" t="s">
        <v>78</v>
      </c>
      <c r="E36" s="13" t="s">
        <v>73</v>
      </c>
    </row>
    <row r="37">
      <c r="A37" s="13" t="s">
        <v>133</v>
      </c>
      <c r="B37" s="13" t="s">
        <v>75</v>
      </c>
      <c r="C37" s="13" t="s">
        <v>139</v>
      </c>
      <c r="D37" s="13" t="s">
        <v>78</v>
      </c>
      <c r="E37" s="13" t="s">
        <v>73</v>
      </c>
    </row>
    <row r="38">
      <c r="A38" s="13" t="s">
        <v>133</v>
      </c>
      <c r="B38" s="13" t="s">
        <v>75</v>
      </c>
      <c r="C38" s="13" t="s">
        <v>106</v>
      </c>
      <c r="D38" s="13" t="s">
        <v>78</v>
      </c>
      <c r="E38" s="13" t="s">
        <v>73</v>
      </c>
    </row>
    <row r="39">
      <c r="A39" s="13" t="s">
        <v>133</v>
      </c>
      <c r="B39" s="13" t="s">
        <v>75</v>
      </c>
      <c r="C39" s="13" t="s">
        <v>143</v>
      </c>
      <c r="D39" s="13" t="s">
        <v>78</v>
      </c>
      <c r="E39" s="13" t="s">
        <v>73</v>
      </c>
    </row>
    <row r="40">
      <c r="A40" s="13" t="s">
        <v>133</v>
      </c>
      <c r="B40" s="13" t="s">
        <v>75</v>
      </c>
      <c r="C40" s="13" t="s">
        <v>152</v>
      </c>
      <c r="D40" s="13" t="s">
        <v>78</v>
      </c>
      <c r="E40" s="13" t="s">
        <v>73</v>
      </c>
    </row>
    <row r="41">
      <c r="A41" s="13" t="s">
        <v>133</v>
      </c>
      <c r="B41" s="13" t="s">
        <v>75</v>
      </c>
      <c r="C41" s="13" t="s">
        <v>116</v>
      </c>
      <c r="D41" s="13" t="s">
        <v>78</v>
      </c>
      <c r="E41" s="13" t="s">
        <v>73</v>
      </c>
    </row>
    <row r="42">
      <c r="A42" s="13" t="s">
        <v>133</v>
      </c>
      <c r="B42" s="13" t="s">
        <v>75</v>
      </c>
      <c r="C42" s="13" t="s">
        <v>160</v>
      </c>
      <c r="D42" s="13" t="s">
        <v>78</v>
      </c>
      <c r="E42" s="13" t="s">
        <v>73</v>
      </c>
    </row>
    <row r="43">
      <c r="A43" s="12" t="s">
        <v>162</v>
      </c>
      <c r="B43" s="12" t="s">
        <v>80</v>
      </c>
      <c r="C43" s="12" t="s">
        <v>164</v>
      </c>
      <c r="D43" s="12" t="s">
        <v>78</v>
      </c>
      <c r="E43" s="12" t="s">
        <v>165</v>
      </c>
    </row>
    <row r="44">
      <c r="A44" s="12" t="s">
        <v>162</v>
      </c>
      <c r="B44" s="12" t="s">
        <v>80</v>
      </c>
      <c r="C44" s="12" t="s">
        <v>143</v>
      </c>
      <c r="D44" s="12" t="s">
        <v>78</v>
      </c>
      <c r="E44" s="12" t="s">
        <v>165</v>
      </c>
    </row>
    <row r="45">
      <c r="A45" s="12" t="s">
        <v>162</v>
      </c>
      <c r="B45" s="12" t="s">
        <v>80</v>
      </c>
      <c r="C45" s="12" t="s">
        <v>131</v>
      </c>
      <c r="D45" s="12" t="s">
        <v>78</v>
      </c>
      <c r="E45" s="12" t="s">
        <v>165</v>
      </c>
    </row>
    <row r="46">
      <c r="A46" s="12" t="s">
        <v>162</v>
      </c>
      <c r="B46" s="12" t="s">
        <v>80</v>
      </c>
      <c r="C46" s="12" t="s">
        <v>166</v>
      </c>
      <c r="D46" s="12" t="s">
        <v>78</v>
      </c>
      <c r="E46" s="12" t="s">
        <v>165</v>
      </c>
    </row>
    <row r="47">
      <c r="A47" s="12" t="s">
        <v>162</v>
      </c>
      <c r="B47" s="12" t="s">
        <v>80</v>
      </c>
      <c r="C47" s="12" t="s">
        <v>160</v>
      </c>
      <c r="D47" s="12" t="s">
        <v>78</v>
      </c>
      <c r="E47" s="12" t="s">
        <v>165</v>
      </c>
    </row>
    <row r="48">
      <c r="A48" s="12" t="s">
        <v>162</v>
      </c>
      <c r="B48" s="12" t="s">
        <v>80</v>
      </c>
      <c r="C48" s="12" t="s">
        <v>116</v>
      </c>
      <c r="D48" s="12" t="s">
        <v>78</v>
      </c>
      <c r="E48" s="12" t="s">
        <v>165</v>
      </c>
    </row>
    <row r="49">
      <c r="A49" s="12" t="s">
        <v>162</v>
      </c>
      <c r="B49" s="12" t="s">
        <v>80</v>
      </c>
      <c r="C49" s="12" t="s">
        <v>126</v>
      </c>
      <c r="D49" s="12" t="s">
        <v>78</v>
      </c>
      <c r="E49" s="12" t="s">
        <v>165</v>
      </c>
    </row>
    <row r="50">
      <c r="A50" s="12" t="s">
        <v>162</v>
      </c>
      <c r="B50" s="12" t="s">
        <v>80</v>
      </c>
      <c r="C50" s="12" t="s">
        <v>117</v>
      </c>
      <c r="D50" s="12" t="s">
        <v>78</v>
      </c>
      <c r="E50" s="12" t="s">
        <v>165</v>
      </c>
    </row>
    <row r="51">
      <c r="A51" s="12" t="s">
        <v>162</v>
      </c>
      <c r="B51" s="12" t="s">
        <v>80</v>
      </c>
      <c r="C51" s="12" t="s">
        <v>125</v>
      </c>
      <c r="D51" s="12" t="s">
        <v>78</v>
      </c>
      <c r="E51" s="12" t="s">
        <v>165</v>
      </c>
    </row>
    <row r="52">
      <c r="A52" s="12" t="s">
        <v>162</v>
      </c>
      <c r="B52" s="12" t="s">
        <v>80</v>
      </c>
      <c r="C52" s="12" t="s">
        <v>121</v>
      </c>
      <c r="D52" s="12" t="s">
        <v>78</v>
      </c>
      <c r="E52" s="12" t="s">
        <v>165</v>
      </c>
    </row>
    <row r="53">
      <c r="A53" s="12" t="s">
        <v>162</v>
      </c>
      <c r="B53" s="12" t="s">
        <v>80</v>
      </c>
      <c r="C53" s="12" t="s">
        <v>137</v>
      </c>
      <c r="D53" s="12" t="s">
        <v>78</v>
      </c>
      <c r="E53" s="12" t="s">
        <v>165</v>
      </c>
    </row>
    <row r="54">
      <c r="A54" s="12" t="s">
        <v>162</v>
      </c>
      <c r="B54" s="12" t="s">
        <v>80</v>
      </c>
      <c r="C54" s="12" t="s">
        <v>127</v>
      </c>
      <c r="D54" s="12" t="s">
        <v>78</v>
      </c>
      <c r="E54" s="12" t="s">
        <v>165</v>
      </c>
    </row>
    <row r="55">
      <c r="A55" s="12" t="s">
        <v>162</v>
      </c>
      <c r="B55" s="12" t="s">
        <v>80</v>
      </c>
      <c r="C55" s="12" t="s">
        <v>128</v>
      </c>
      <c r="D55" s="12" t="s">
        <v>78</v>
      </c>
      <c r="E55" s="12" t="s">
        <v>165</v>
      </c>
    </row>
    <row r="56">
      <c r="A56" s="12" t="s">
        <v>162</v>
      </c>
      <c r="B56" s="12" t="s">
        <v>80</v>
      </c>
      <c r="C56" s="12" t="s">
        <v>104</v>
      </c>
      <c r="D56" s="12" t="s">
        <v>78</v>
      </c>
      <c r="E56" s="12" t="s">
        <v>165</v>
      </c>
    </row>
    <row r="57">
      <c r="A57" s="13" t="s">
        <v>207</v>
      </c>
      <c r="B57" s="13" t="s">
        <v>75</v>
      </c>
      <c r="C57" s="13" t="s">
        <v>102</v>
      </c>
      <c r="D57" s="13" t="s">
        <v>78</v>
      </c>
      <c r="E57" s="13" t="s">
        <v>73</v>
      </c>
    </row>
    <row r="58">
      <c r="A58" s="13" t="s">
        <v>207</v>
      </c>
      <c r="B58" s="13" t="s">
        <v>75</v>
      </c>
      <c r="C58" s="13" t="s">
        <v>143</v>
      </c>
      <c r="D58" s="13" t="s">
        <v>78</v>
      </c>
      <c r="E58" s="13" t="s">
        <v>73</v>
      </c>
    </row>
    <row r="59">
      <c r="A59" s="13" t="s">
        <v>207</v>
      </c>
      <c r="B59" s="13" t="s">
        <v>75</v>
      </c>
      <c r="C59" s="13" t="s">
        <v>131</v>
      </c>
      <c r="D59" s="13" t="s">
        <v>78</v>
      </c>
      <c r="E59" s="13" t="s">
        <v>73</v>
      </c>
    </row>
    <row r="60">
      <c r="A60" s="13" t="s">
        <v>207</v>
      </c>
      <c r="B60" s="13" t="s">
        <v>75</v>
      </c>
      <c r="C60" s="13" t="s">
        <v>221</v>
      </c>
      <c r="D60" s="13" t="s">
        <v>78</v>
      </c>
      <c r="E60" s="13" t="s">
        <v>73</v>
      </c>
    </row>
    <row r="61">
      <c r="A61" s="13" t="s">
        <v>207</v>
      </c>
      <c r="B61" s="13" t="s">
        <v>75</v>
      </c>
      <c r="C61" s="13" t="s">
        <v>227</v>
      </c>
      <c r="D61" s="13" t="s">
        <v>78</v>
      </c>
      <c r="E61" s="13" t="s">
        <v>73</v>
      </c>
    </row>
    <row r="62">
      <c r="A62" s="13" t="s">
        <v>207</v>
      </c>
      <c r="B62" s="13" t="s">
        <v>75</v>
      </c>
      <c r="C62" s="13" t="s">
        <v>121</v>
      </c>
      <c r="D62" s="13" t="s">
        <v>78</v>
      </c>
      <c r="E62" s="13" t="s">
        <v>73</v>
      </c>
    </row>
    <row r="63">
      <c r="A63" s="13" t="s">
        <v>207</v>
      </c>
      <c r="B63" s="13" t="s">
        <v>75</v>
      </c>
      <c r="C63" s="13" t="s">
        <v>116</v>
      </c>
      <c r="D63" s="13" t="s">
        <v>78</v>
      </c>
      <c r="E63" s="13" t="s">
        <v>73</v>
      </c>
    </row>
    <row r="64">
      <c r="A64" s="13" t="s">
        <v>207</v>
      </c>
      <c r="B64" s="13" t="s">
        <v>75</v>
      </c>
      <c r="C64" s="13" t="s">
        <v>160</v>
      </c>
      <c r="D64" s="13" t="s">
        <v>78</v>
      </c>
      <c r="E64" s="13" t="s">
        <v>73</v>
      </c>
    </row>
    <row r="65">
      <c r="A65" s="12" t="s">
        <v>243</v>
      </c>
      <c r="B65" s="12" t="s">
        <v>75</v>
      </c>
      <c r="C65" s="12" t="s">
        <v>139</v>
      </c>
      <c r="D65" s="12" t="s">
        <v>78</v>
      </c>
      <c r="E65" s="12" t="s">
        <v>165</v>
      </c>
    </row>
    <row r="66">
      <c r="A66" s="12" t="s">
        <v>243</v>
      </c>
      <c r="B66" s="12" t="s">
        <v>75</v>
      </c>
      <c r="C66" s="12" t="s">
        <v>94</v>
      </c>
      <c r="D66" s="12" t="s">
        <v>78</v>
      </c>
      <c r="E66" s="12" t="s">
        <v>165</v>
      </c>
    </row>
    <row r="67">
      <c r="A67" s="12" t="s">
        <v>243</v>
      </c>
      <c r="B67" s="12" t="s">
        <v>75</v>
      </c>
      <c r="C67" s="38" t="s">
        <v>87</v>
      </c>
      <c r="D67" s="12" t="s">
        <v>78</v>
      </c>
      <c r="E67" s="12" t="s">
        <v>165</v>
      </c>
    </row>
    <row r="68">
      <c r="A68" s="12" t="s">
        <v>243</v>
      </c>
      <c r="B68" s="12" t="s">
        <v>75</v>
      </c>
      <c r="C68" s="38" t="s">
        <v>99</v>
      </c>
      <c r="D68" s="12" t="s">
        <v>78</v>
      </c>
      <c r="E68" s="12" t="s">
        <v>165</v>
      </c>
    </row>
    <row r="69">
      <c r="A69" s="13" t="s">
        <v>255</v>
      </c>
      <c r="B69" s="13" t="s">
        <v>75</v>
      </c>
      <c r="C69" s="13" t="s">
        <v>76</v>
      </c>
      <c r="D69" s="13" t="s">
        <v>78</v>
      </c>
      <c r="E69" s="13" t="s">
        <v>73</v>
      </c>
    </row>
    <row r="70">
      <c r="A70" s="13" t="s">
        <v>255</v>
      </c>
      <c r="B70" s="13" t="s">
        <v>75</v>
      </c>
      <c r="C70" s="13" t="s">
        <v>81</v>
      </c>
      <c r="D70" s="13" t="s">
        <v>78</v>
      </c>
      <c r="E70" s="13" t="s">
        <v>73</v>
      </c>
    </row>
    <row r="71">
      <c r="A71" s="13" t="s">
        <v>255</v>
      </c>
      <c r="B71" s="13" t="s">
        <v>75</v>
      </c>
      <c r="C71" s="13" t="s">
        <v>139</v>
      </c>
      <c r="D71" s="13" t="s">
        <v>78</v>
      </c>
      <c r="E71" s="13" t="s">
        <v>73</v>
      </c>
    </row>
    <row r="72">
      <c r="A72" s="13" t="s">
        <v>255</v>
      </c>
      <c r="B72" s="13" t="s">
        <v>75</v>
      </c>
      <c r="C72" s="13" t="s">
        <v>129</v>
      </c>
      <c r="D72" s="13" t="s">
        <v>78</v>
      </c>
      <c r="E72" s="13" t="s">
        <v>73</v>
      </c>
    </row>
    <row r="73">
      <c r="A73" s="13" t="s">
        <v>255</v>
      </c>
      <c r="B73" s="13" t="s">
        <v>75</v>
      </c>
      <c r="C73" s="13" t="s">
        <v>121</v>
      </c>
      <c r="D73" s="13" t="s">
        <v>78</v>
      </c>
      <c r="E73" s="13" t="s">
        <v>73</v>
      </c>
    </row>
    <row r="74">
      <c r="A74" s="13" t="s">
        <v>255</v>
      </c>
      <c r="B74" s="13" t="s">
        <v>75</v>
      </c>
      <c r="C74" s="13" t="s">
        <v>94</v>
      </c>
      <c r="D74" s="13" t="s">
        <v>78</v>
      </c>
      <c r="E74" s="13" t="s">
        <v>73</v>
      </c>
    </row>
    <row r="75">
      <c r="A75" s="13" t="s">
        <v>255</v>
      </c>
      <c r="B75" s="13" t="s">
        <v>75</v>
      </c>
      <c r="C75" s="13" t="s">
        <v>125</v>
      </c>
      <c r="D75" s="13" t="s">
        <v>78</v>
      </c>
      <c r="E75" s="13" t="s">
        <v>73</v>
      </c>
    </row>
    <row r="76">
      <c r="A76" s="13" t="s">
        <v>255</v>
      </c>
      <c r="B76" s="13" t="s">
        <v>75</v>
      </c>
      <c r="C76" s="13" t="s">
        <v>131</v>
      </c>
      <c r="D76" s="13" t="s">
        <v>78</v>
      </c>
      <c r="E76" s="13" t="s">
        <v>73</v>
      </c>
    </row>
    <row r="77">
      <c r="A77" s="13" t="s">
        <v>255</v>
      </c>
      <c r="B77" s="13" t="s">
        <v>75</v>
      </c>
      <c r="C77" s="13" t="s">
        <v>116</v>
      </c>
      <c r="D77" s="13" t="s">
        <v>78</v>
      </c>
      <c r="E77" s="13" t="s">
        <v>73</v>
      </c>
    </row>
    <row r="78">
      <c r="A78" s="13" t="s">
        <v>255</v>
      </c>
      <c r="B78" s="13" t="s">
        <v>75</v>
      </c>
      <c r="C78" s="13" t="s">
        <v>117</v>
      </c>
      <c r="D78" s="13" t="s">
        <v>78</v>
      </c>
      <c r="E78" s="13" t="s">
        <v>73</v>
      </c>
    </row>
    <row r="79">
      <c r="A79" s="13" t="s">
        <v>255</v>
      </c>
      <c r="B79" s="13" t="s">
        <v>75</v>
      </c>
      <c r="C79" s="13" t="s">
        <v>126</v>
      </c>
      <c r="D79" s="13" t="s">
        <v>78</v>
      </c>
      <c r="E79" s="13" t="s">
        <v>73</v>
      </c>
    </row>
    <row r="80">
      <c r="A80" s="13" t="s">
        <v>255</v>
      </c>
      <c r="B80" s="13" t="s">
        <v>75</v>
      </c>
      <c r="C80" s="13" t="s">
        <v>90</v>
      </c>
      <c r="D80" s="13" t="s">
        <v>78</v>
      </c>
      <c r="E80" s="13" t="s">
        <v>73</v>
      </c>
    </row>
    <row r="81">
      <c r="A81" s="13" t="s">
        <v>255</v>
      </c>
      <c r="B81" s="13" t="s">
        <v>75</v>
      </c>
      <c r="C81" s="13" t="s">
        <v>299</v>
      </c>
      <c r="D81" s="13" t="s">
        <v>78</v>
      </c>
      <c r="E81" s="13" t="s">
        <v>73</v>
      </c>
    </row>
    <row r="82">
      <c r="A82" s="12" t="s">
        <v>269</v>
      </c>
      <c r="B82" s="12" t="s">
        <v>75</v>
      </c>
      <c r="C82" s="12" t="s">
        <v>104</v>
      </c>
      <c r="D82" s="12" t="s">
        <v>78</v>
      </c>
      <c r="E82" s="12" t="s">
        <v>73</v>
      </c>
    </row>
    <row r="83">
      <c r="A83" s="12" t="s">
        <v>269</v>
      </c>
      <c r="B83" s="12" t="s">
        <v>75</v>
      </c>
      <c r="C83" s="12" t="s">
        <v>301</v>
      </c>
      <c r="D83" s="12" t="s">
        <v>78</v>
      </c>
      <c r="E83" s="12" t="s">
        <v>73</v>
      </c>
    </row>
    <row r="84">
      <c r="A84" s="12" t="s">
        <v>269</v>
      </c>
      <c r="B84" s="12" t="s">
        <v>75</v>
      </c>
      <c r="C84" s="12" t="s">
        <v>152</v>
      </c>
      <c r="D84" s="12" t="s">
        <v>78</v>
      </c>
      <c r="E84" s="12" t="s">
        <v>73</v>
      </c>
    </row>
    <row r="85">
      <c r="A85" s="12" t="s">
        <v>269</v>
      </c>
      <c r="B85" s="12" t="s">
        <v>75</v>
      </c>
      <c r="C85" s="12" t="s">
        <v>308</v>
      </c>
      <c r="D85" s="12" t="s">
        <v>78</v>
      </c>
      <c r="E85" s="12" t="s">
        <v>73</v>
      </c>
    </row>
    <row r="86">
      <c r="A86" s="13" t="s">
        <v>310</v>
      </c>
      <c r="B86" s="13" t="s">
        <v>75</v>
      </c>
      <c r="C86" s="13" t="s">
        <v>104</v>
      </c>
      <c r="D86" s="13" t="s">
        <v>311</v>
      </c>
      <c r="E86" s="13" t="s">
        <v>73</v>
      </c>
    </row>
    <row r="87">
      <c r="A87" s="13" t="s">
        <v>310</v>
      </c>
      <c r="B87" s="13" t="s">
        <v>75</v>
      </c>
      <c r="C87" s="13" t="s">
        <v>301</v>
      </c>
      <c r="D87" s="13" t="s">
        <v>311</v>
      </c>
      <c r="E87" s="13" t="s">
        <v>73</v>
      </c>
    </row>
    <row r="88">
      <c r="A88" s="13" t="s">
        <v>310</v>
      </c>
      <c r="B88" s="13" t="s">
        <v>75</v>
      </c>
      <c r="C88" s="13" t="s">
        <v>152</v>
      </c>
      <c r="D88" s="13" t="s">
        <v>311</v>
      </c>
      <c r="E88" s="13" t="s">
        <v>73</v>
      </c>
    </row>
    <row r="89">
      <c r="A89" s="13" t="s">
        <v>310</v>
      </c>
      <c r="B89" s="13" t="s">
        <v>75</v>
      </c>
      <c r="C89" s="13" t="s">
        <v>308</v>
      </c>
      <c r="D89" s="13" t="s">
        <v>311</v>
      </c>
      <c r="E89" s="13" t="s">
        <v>73</v>
      </c>
    </row>
    <row r="90">
      <c r="A90" s="12" t="s">
        <v>281</v>
      </c>
      <c r="B90" s="12" t="s">
        <v>75</v>
      </c>
      <c r="C90" s="12" t="s">
        <v>301</v>
      </c>
      <c r="D90" s="12" t="s">
        <v>78</v>
      </c>
      <c r="E90" s="12" t="s">
        <v>165</v>
      </c>
    </row>
    <row r="91">
      <c r="A91" s="12" t="s">
        <v>281</v>
      </c>
      <c r="B91" s="12" t="s">
        <v>75</v>
      </c>
      <c r="C91" s="12" t="s">
        <v>125</v>
      </c>
      <c r="D91" s="12" t="s">
        <v>78</v>
      </c>
      <c r="E91" s="12" t="s">
        <v>165</v>
      </c>
    </row>
    <row r="92">
      <c r="A92" s="12" t="s">
        <v>281</v>
      </c>
      <c r="B92" s="12" t="s">
        <v>75</v>
      </c>
      <c r="C92" s="12" t="s">
        <v>126</v>
      </c>
      <c r="D92" s="12" t="s">
        <v>78</v>
      </c>
      <c r="E92" s="12" t="s">
        <v>165</v>
      </c>
    </row>
    <row r="93">
      <c r="A93" s="12" t="s">
        <v>281</v>
      </c>
      <c r="B93" s="12" t="s">
        <v>75</v>
      </c>
      <c r="C93" s="12" t="s">
        <v>106</v>
      </c>
      <c r="D93" s="12" t="s">
        <v>78</v>
      </c>
      <c r="E93" s="12" t="s">
        <v>165</v>
      </c>
    </row>
    <row r="94">
      <c r="A94" s="12" t="s">
        <v>281</v>
      </c>
      <c r="B94" s="12" t="s">
        <v>75</v>
      </c>
      <c r="C94" s="12" t="s">
        <v>104</v>
      </c>
      <c r="D94" s="12" t="s">
        <v>78</v>
      </c>
      <c r="E94" s="12" t="s">
        <v>165</v>
      </c>
    </row>
    <row r="95">
      <c r="A95" s="13">
        <v>1.71148E7</v>
      </c>
      <c r="B95" s="13" t="s">
        <v>80</v>
      </c>
      <c r="C95" s="13" t="s">
        <v>116</v>
      </c>
      <c r="D95" s="13" t="s">
        <v>78</v>
      </c>
      <c r="E95" s="13" t="s">
        <v>165</v>
      </c>
    </row>
    <row r="96">
      <c r="A96" s="13">
        <v>1.71148E7</v>
      </c>
      <c r="B96" s="13" t="s">
        <v>80</v>
      </c>
      <c r="C96" s="13" t="s">
        <v>320</v>
      </c>
      <c r="D96" s="13" t="s">
        <v>78</v>
      </c>
      <c r="E96" s="13" t="s">
        <v>165</v>
      </c>
    </row>
    <row r="97">
      <c r="A97" s="13">
        <v>1.71148E7</v>
      </c>
      <c r="B97" s="13" t="s">
        <v>80</v>
      </c>
      <c r="C97" s="13" t="s">
        <v>324</v>
      </c>
      <c r="D97" s="13" t="s">
        <v>78</v>
      </c>
      <c r="E97" s="13" t="s">
        <v>165</v>
      </c>
    </row>
    <row r="98">
      <c r="A98" s="13">
        <v>1.71148E7</v>
      </c>
      <c r="B98" s="13" t="s">
        <v>80</v>
      </c>
      <c r="C98" s="13" t="s">
        <v>327</v>
      </c>
      <c r="D98" s="13" t="s">
        <v>78</v>
      </c>
      <c r="E98" s="13" t="s">
        <v>165</v>
      </c>
    </row>
    <row r="99">
      <c r="A99" s="13">
        <v>1.71148E7</v>
      </c>
      <c r="B99" s="13" t="s">
        <v>80</v>
      </c>
      <c r="C99" s="13" t="s">
        <v>329</v>
      </c>
      <c r="D99" s="13" t="s">
        <v>78</v>
      </c>
      <c r="E99" s="13" t="s">
        <v>165</v>
      </c>
    </row>
    <row r="100">
      <c r="A100" s="13">
        <v>1.71148E7</v>
      </c>
      <c r="B100" s="13" t="s">
        <v>80</v>
      </c>
      <c r="C100" s="13" t="s">
        <v>330</v>
      </c>
      <c r="D100" s="13" t="s">
        <v>78</v>
      </c>
      <c r="E100" s="13" t="s">
        <v>165</v>
      </c>
    </row>
    <row r="101">
      <c r="A101" s="12" t="s">
        <v>303</v>
      </c>
      <c r="B101" s="12" t="s">
        <v>80</v>
      </c>
      <c r="C101" s="12" t="s">
        <v>134</v>
      </c>
      <c r="D101" s="12" t="s">
        <v>78</v>
      </c>
      <c r="E101" s="12" t="s">
        <v>73</v>
      </c>
    </row>
    <row r="102">
      <c r="A102" s="12" t="s">
        <v>303</v>
      </c>
      <c r="B102" s="12" t="s">
        <v>80</v>
      </c>
      <c r="C102" s="12" t="s">
        <v>104</v>
      </c>
      <c r="D102" s="12" t="s">
        <v>78</v>
      </c>
      <c r="E102" s="12" t="s">
        <v>73</v>
      </c>
    </row>
    <row r="103">
      <c r="A103" s="12" t="s">
        <v>303</v>
      </c>
      <c r="B103" s="12" t="s">
        <v>80</v>
      </c>
      <c r="C103" s="12" t="s">
        <v>131</v>
      </c>
      <c r="D103" s="12" t="s">
        <v>78</v>
      </c>
      <c r="E103" s="12" t="s">
        <v>73</v>
      </c>
    </row>
    <row r="104">
      <c r="A104" s="12" t="s">
        <v>303</v>
      </c>
      <c r="B104" s="12" t="s">
        <v>80</v>
      </c>
      <c r="C104" s="12" t="s">
        <v>124</v>
      </c>
      <c r="D104" s="12" t="s">
        <v>78</v>
      </c>
      <c r="E104" s="12" t="s">
        <v>73</v>
      </c>
    </row>
    <row r="105">
      <c r="A105" s="12" t="s">
        <v>303</v>
      </c>
      <c r="B105" s="12" t="s">
        <v>80</v>
      </c>
      <c r="C105" s="12" t="s">
        <v>121</v>
      </c>
      <c r="D105" s="12" t="s">
        <v>78</v>
      </c>
      <c r="E105" s="12" t="s">
        <v>73</v>
      </c>
    </row>
    <row r="106">
      <c r="A106" s="12" t="s">
        <v>303</v>
      </c>
      <c r="B106" s="12" t="s">
        <v>80</v>
      </c>
      <c r="C106" s="12" t="s">
        <v>160</v>
      </c>
      <c r="D106" s="12" t="s">
        <v>78</v>
      </c>
      <c r="E106" s="12" t="s">
        <v>73</v>
      </c>
    </row>
    <row r="107">
      <c r="A107" s="12" t="s">
        <v>303</v>
      </c>
      <c r="B107" s="12" t="s">
        <v>80</v>
      </c>
      <c r="C107" s="12" t="s">
        <v>116</v>
      </c>
      <c r="D107" s="12" t="s">
        <v>78</v>
      </c>
      <c r="E107" s="12" t="s">
        <v>73</v>
      </c>
    </row>
    <row r="108">
      <c r="A108" s="12" t="s">
        <v>303</v>
      </c>
      <c r="B108" s="12" t="s">
        <v>80</v>
      </c>
      <c r="C108" s="12" t="s">
        <v>106</v>
      </c>
      <c r="D108" s="12" t="s">
        <v>78</v>
      </c>
      <c r="E108" s="12" t="s">
        <v>73</v>
      </c>
    </row>
    <row r="109">
      <c r="A109" s="12" t="s">
        <v>303</v>
      </c>
      <c r="B109" s="12" t="s">
        <v>80</v>
      </c>
      <c r="C109" s="12" t="s">
        <v>152</v>
      </c>
      <c r="D109" s="12" t="s">
        <v>78</v>
      </c>
      <c r="E109" s="12" t="s">
        <v>73</v>
      </c>
    </row>
    <row r="110">
      <c r="A110" s="12" t="s">
        <v>303</v>
      </c>
      <c r="B110" s="12" t="s">
        <v>80</v>
      </c>
      <c r="C110" s="12" t="s">
        <v>301</v>
      </c>
      <c r="D110" s="12" t="s">
        <v>78</v>
      </c>
      <c r="E110" s="12" t="s">
        <v>73</v>
      </c>
    </row>
    <row r="111">
      <c r="A111" s="12" t="s">
        <v>303</v>
      </c>
      <c r="B111" s="12" t="s">
        <v>80</v>
      </c>
      <c r="C111" s="12" t="s">
        <v>117</v>
      </c>
      <c r="D111" s="12" t="s">
        <v>78</v>
      </c>
      <c r="E111" s="12" t="s">
        <v>73</v>
      </c>
    </row>
    <row r="112">
      <c r="A112" s="12" t="s">
        <v>303</v>
      </c>
      <c r="B112" s="12" t="s">
        <v>80</v>
      </c>
      <c r="C112" s="12" t="s">
        <v>125</v>
      </c>
      <c r="D112" s="12" t="s">
        <v>78</v>
      </c>
      <c r="E112" s="12" t="s">
        <v>73</v>
      </c>
    </row>
    <row r="113">
      <c r="A113" s="13" t="s">
        <v>313</v>
      </c>
      <c r="B113" s="13" t="s">
        <v>75</v>
      </c>
      <c r="C113" s="13" t="s">
        <v>90</v>
      </c>
      <c r="D113" s="13" t="s">
        <v>78</v>
      </c>
      <c r="E113" s="13" t="s">
        <v>73</v>
      </c>
    </row>
    <row r="114">
      <c r="A114" s="13" t="s">
        <v>313</v>
      </c>
      <c r="B114" s="13" t="s">
        <v>75</v>
      </c>
      <c r="C114" s="13" t="s">
        <v>87</v>
      </c>
      <c r="D114" s="13" t="s">
        <v>78</v>
      </c>
      <c r="E114" s="13" t="s">
        <v>73</v>
      </c>
    </row>
    <row r="115">
      <c r="A115" s="13" t="s">
        <v>313</v>
      </c>
      <c r="B115" s="13" t="s">
        <v>75</v>
      </c>
      <c r="C115" s="13" t="s">
        <v>136</v>
      </c>
      <c r="D115" s="13" t="s">
        <v>78</v>
      </c>
      <c r="E115" s="13" t="s">
        <v>73</v>
      </c>
    </row>
    <row r="116">
      <c r="A116" s="13" t="s">
        <v>313</v>
      </c>
      <c r="B116" s="13" t="s">
        <v>75</v>
      </c>
      <c r="C116" s="13" t="s">
        <v>76</v>
      </c>
      <c r="D116" s="13" t="s">
        <v>78</v>
      </c>
      <c r="E116" s="13" t="s">
        <v>73</v>
      </c>
    </row>
    <row r="117">
      <c r="A117" s="13" t="s">
        <v>313</v>
      </c>
      <c r="B117" s="13" t="s">
        <v>75</v>
      </c>
      <c r="C117" s="13" t="s">
        <v>81</v>
      </c>
      <c r="D117" s="13" t="s">
        <v>78</v>
      </c>
      <c r="E117" s="13" t="s">
        <v>73</v>
      </c>
    </row>
    <row r="118">
      <c r="A118" s="13" t="s">
        <v>313</v>
      </c>
      <c r="B118" s="13" t="s">
        <v>75</v>
      </c>
      <c r="C118" s="13" t="s">
        <v>99</v>
      </c>
      <c r="D118" s="13" t="s">
        <v>78</v>
      </c>
      <c r="E118" s="13" t="s">
        <v>73</v>
      </c>
    </row>
    <row r="119">
      <c r="A119" s="13" t="s">
        <v>313</v>
      </c>
      <c r="B119" s="13" t="s">
        <v>75</v>
      </c>
      <c r="C119" s="13" t="s">
        <v>102</v>
      </c>
      <c r="D119" s="13" t="s">
        <v>78</v>
      </c>
      <c r="E119" s="13" t="s">
        <v>73</v>
      </c>
    </row>
    <row r="120">
      <c r="A120" s="13" t="s">
        <v>313</v>
      </c>
      <c r="B120" s="13" t="s">
        <v>75</v>
      </c>
      <c r="C120" s="13" t="s">
        <v>94</v>
      </c>
      <c r="D120" s="13" t="s">
        <v>78</v>
      </c>
      <c r="E120" s="13" t="s">
        <v>73</v>
      </c>
    </row>
    <row r="121">
      <c r="A121" s="13" t="s">
        <v>313</v>
      </c>
      <c r="B121" s="13" t="s">
        <v>75</v>
      </c>
      <c r="C121" s="13" t="s">
        <v>104</v>
      </c>
      <c r="D121" s="13" t="s">
        <v>78</v>
      </c>
      <c r="E121" s="13" t="s">
        <v>73</v>
      </c>
    </row>
    <row r="122">
      <c r="A122" s="12" t="s">
        <v>332</v>
      </c>
      <c r="B122" s="12" t="s">
        <v>75</v>
      </c>
      <c r="C122" s="12" t="s">
        <v>76</v>
      </c>
      <c r="D122" s="12" t="s">
        <v>78</v>
      </c>
      <c r="E122" s="12" t="s">
        <v>73</v>
      </c>
    </row>
    <row r="123">
      <c r="A123" s="12" t="s">
        <v>332</v>
      </c>
      <c r="B123" s="12" t="s">
        <v>75</v>
      </c>
      <c r="C123" s="12" t="s">
        <v>81</v>
      </c>
      <c r="D123" s="12" t="s">
        <v>78</v>
      </c>
      <c r="E123" s="12" t="s">
        <v>73</v>
      </c>
    </row>
    <row r="124">
      <c r="A124" s="12" t="s">
        <v>332</v>
      </c>
      <c r="B124" s="12" t="s">
        <v>75</v>
      </c>
      <c r="C124" s="12" t="s">
        <v>136</v>
      </c>
      <c r="D124" s="12" t="s">
        <v>78</v>
      </c>
      <c r="E124" s="12" t="s">
        <v>73</v>
      </c>
    </row>
    <row r="125">
      <c r="A125" s="12" t="s">
        <v>332</v>
      </c>
      <c r="B125" s="12" t="s">
        <v>75</v>
      </c>
      <c r="C125" s="12" t="s">
        <v>90</v>
      </c>
      <c r="D125" s="12" t="s">
        <v>78</v>
      </c>
      <c r="E125" s="12" t="s">
        <v>73</v>
      </c>
    </row>
    <row r="126">
      <c r="A126" s="12" t="s">
        <v>332</v>
      </c>
      <c r="B126" s="12" t="s">
        <v>75</v>
      </c>
      <c r="C126" s="12" t="s">
        <v>139</v>
      </c>
      <c r="D126" s="12" t="s">
        <v>78</v>
      </c>
      <c r="E126" s="12" t="s">
        <v>73</v>
      </c>
    </row>
    <row r="127">
      <c r="A127" s="12" t="s">
        <v>332</v>
      </c>
      <c r="B127" s="12" t="s">
        <v>75</v>
      </c>
      <c r="C127" s="12" t="s">
        <v>94</v>
      </c>
      <c r="D127" s="12" t="s">
        <v>78</v>
      </c>
      <c r="E127" s="12" t="s">
        <v>73</v>
      </c>
    </row>
    <row r="128">
      <c r="A128" s="12" t="s">
        <v>332</v>
      </c>
      <c r="B128" s="12" t="s">
        <v>75</v>
      </c>
      <c r="C128" s="12" t="s">
        <v>102</v>
      </c>
      <c r="D128" s="12" t="s">
        <v>78</v>
      </c>
      <c r="E128" s="12" t="s">
        <v>73</v>
      </c>
    </row>
    <row r="129">
      <c r="A129" s="12" t="s">
        <v>332</v>
      </c>
      <c r="B129" s="12" t="s">
        <v>75</v>
      </c>
      <c r="C129" s="12" t="s">
        <v>131</v>
      </c>
      <c r="D129" s="12" t="s">
        <v>78</v>
      </c>
      <c r="E129" s="12" t="s">
        <v>73</v>
      </c>
    </row>
    <row r="130">
      <c r="A130" s="12" t="s">
        <v>332</v>
      </c>
      <c r="B130" s="12" t="s">
        <v>75</v>
      </c>
      <c r="C130" s="12" t="s">
        <v>84</v>
      </c>
      <c r="D130" s="12" t="s">
        <v>78</v>
      </c>
      <c r="E130" s="12" t="s">
        <v>73</v>
      </c>
    </row>
    <row r="131">
      <c r="A131" s="12" t="s">
        <v>332</v>
      </c>
      <c r="B131" s="12" t="s">
        <v>75</v>
      </c>
      <c r="C131" s="12" t="s">
        <v>104</v>
      </c>
      <c r="D131" s="12" t="s">
        <v>78</v>
      </c>
      <c r="E131" s="12" t="s">
        <v>73</v>
      </c>
    </row>
    <row r="132">
      <c r="A132" s="13" t="s">
        <v>339</v>
      </c>
      <c r="B132" s="13" t="s">
        <v>75</v>
      </c>
      <c r="C132" s="13" t="s">
        <v>90</v>
      </c>
      <c r="D132" s="13" t="s">
        <v>78</v>
      </c>
      <c r="E132" s="13" t="s">
        <v>73</v>
      </c>
    </row>
    <row r="133">
      <c r="A133" s="13" t="s">
        <v>339</v>
      </c>
      <c r="B133" s="13" t="s">
        <v>75</v>
      </c>
      <c r="C133" s="13" t="s">
        <v>94</v>
      </c>
      <c r="D133" s="13" t="s">
        <v>78</v>
      </c>
      <c r="E133" s="13" t="s">
        <v>73</v>
      </c>
    </row>
    <row r="134">
      <c r="A134" s="13" t="s">
        <v>339</v>
      </c>
      <c r="B134" s="13" t="s">
        <v>75</v>
      </c>
      <c r="C134" s="13" t="s">
        <v>76</v>
      </c>
      <c r="D134" s="13" t="s">
        <v>78</v>
      </c>
      <c r="E134" s="13" t="s">
        <v>73</v>
      </c>
    </row>
    <row r="135">
      <c r="A135" s="13" t="s">
        <v>339</v>
      </c>
      <c r="B135" s="13" t="s">
        <v>75</v>
      </c>
      <c r="C135" s="13" t="s">
        <v>81</v>
      </c>
      <c r="D135" s="13" t="s">
        <v>78</v>
      </c>
      <c r="E135" s="13" t="s">
        <v>73</v>
      </c>
    </row>
    <row r="136">
      <c r="A136" s="13" t="s">
        <v>339</v>
      </c>
      <c r="B136" s="13" t="s">
        <v>75</v>
      </c>
      <c r="C136" s="13" t="s">
        <v>87</v>
      </c>
      <c r="D136" s="13" t="s">
        <v>78</v>
      </c>
      <c r="E136" s="13" t="s">
        <v>73</v>
      </c>
    </row>
    <row r="137">
      <c r="A137" s="13" t="s">
        <v>339</v>
      </c>
      <c r="B137" s="13" t="s">
        <v>75</v>
      </c>
      <c r="C137" s="13" t="s">
        <v>84</v>
      </c>
      <c r="D137" s="13" t="s">
        <v>78</v>
      </c>
      <c r="E137" s="13" t="s">
        <v>73</v>
      </c>
    </row>
    <row r="138">
      <c r="A138" s="12" t="s">
        <v>348</v>
      </c>
      <c r="B138" s="12" t="s">
        <v>75</v>
      </c>
      <c r="C138" s="12" t="s">
        <v>76</v>
      </c>
      <c r="D138" s="12" t="s">
        <v>78</v>
      </c>
      <c r="E138" s="12" t="s">
        <v>73</v>
      </c>
    </row>
    <row r="139">
      <c r="A139" s="12" t="s">
        <v>348</v>
      </c>
      <c r="B139" s="12" t="s">
        <v>75</v>
      </c>
      <c r="C139" s="12" t="s">
        <v>81</v>
      </c>
      <c r="D139" s="12" t="s">
        <v>78</v>
      </c>
      <c r="E139" s="12" t="s">
        <v>73</v>
      </c>
    </row>
    <row r="140">
      <c r="A140" s="12" t="s">
        <v>348</v>
      </c>
      <c r="B140" s="12" t="s">
        <v>75</v>
      </c>
      <c r="C140" s="12" t="s">
        <v>139</v>
      </c>
      <c r="D140" s="12" t="s">
        <v>78</v>
      </c>
      <c r="E140" s="12" t="s">
        <v>73</v>
      </c>
    </row>
    <row r="141">
      <c r="A141" s="12" t="s">
        <v>348</v>
      </c>
      <c r="B141" s="12" t="s">
        <v>75</v>
      </c>
      <c r="C141" s="12" t="s">
        <v>94</v>
      </c>
      <c r="D141" s="12" t="s">
        <v>78</v>
      </c>
      <c r="E141" s="12" t="s">
        <v>73</v>
      </c>
    </row>
    <row r="142">
      <c r="A142" s="12" t="s">
        <v>348</v>
      </c>
      <c r="B142" s="12" t="s">
        <v>75</v>
      </c>
      <c r="C142" s="12" t="s">
        <v>90</v>
      </c>
      <c r="D142" s="12" t="s">
        <v>78</v>
      </c>
      <c r="E142" s="12" t="s">
        <v>73</v>
      </c>
    </row>
    <row r="143">
      <c r="A143" s="12" t="s">
        <v>348</v>
      </c>
      <c r="B143" s="12" t="s">
        <v>75</v>
      </c>
      <c r="C143" s="12" t="s">
        <v>102</v>
      </c>
      <c r="D143" s="12" t="s">
        <v>78</v>
      </c>
      <c r="E143" s="12" t="s">
        <v>73</v>
      </c>
    </row>
    <row r="144">
      <c r="A144" s="12" t="s">
        <v>348</v>
      </c>
      <c r="B144" s="12" t="s">
        <v>75</v>
      </c>
      <c r="C144" s="12" t="s">
        <v>136</v>
      </c>
      <c r="D144" s="12" t="s">
        <v>78</v>
      </c>
      <c r="E144" s="12" t="s">
        <v>73</v>
      </c>
    </row>
    <row r="145">
      <c r="A145" s="12" t="s">
        <v>348</v>
      </c>
      <c r="B145" s="12" t="s">
        <v>75</v>
      </c>
      <c r="C145" s="12" t="s">
        <v>106</v>
      </c>
      <c r="D145" s="12" t="s">
        <v>78</v>
      </c>
      <c r="E145" s="12" t="s">
        <v>73</v>
      </c>
    </row>
    <row r="146">
      <c r="A146" s="12" t="s">
        <v>348</v>
      </c>
      <c r="B146" s="12" t="s">
        <v>75</v>
      </c>
      <c r="C146" s="12" t="s">
        <v>87</v>
      </c>
      <c r="D146" s="12" t="s">
        <v>78</v>
      </c>
      <c r="E146" s="12" t="s">
        <v>73</v>
      </c>
    </row>
    <row r="147">
      <c r="A147" s="12" t="s">
        <v>348</v>
      </c>
      <c r="B147" s="12" t="s">
        <v>75</v>
      </c>
      <c r="C147" s="12" t="s">
        <v>104</v>
      </c>
      <c r="D147" s="12" t="s">
        <v>78</v>
      </c>
      <c r="E147" s="12" t="s">
        <v>73</v>
      </c>
    </row>
    <row r="148">
      <c r="A148" s="12" t="s">
        <v>348</v>
      </c>
      <c r="B148" s="12" t="s">
        <v>75</v>
      </c>
      <c r="C148" s="12" t="s">
        <v>99</v>
      </c>
      <c r="D148" s="12" t="s">
        <v>78</v>
      </c>
      <c r="E148" s="12" t="s">
        <v>73</v>
      </c>
    </row>
    <row r="149">
      <c r="A149" s="12" t="s">
        <v>372</v>
      </c>
      <c r="B149" s="12" t="s">
        <v>75</v>
      </c>
      <c r="C149" s="12" t="s">
        <v>94</v>
      </c>
      <c r="D149" s="12" t="s">
        <v>311</v>
      </c>
      <c r="E149" s="12" t="s">
        <v>73</v>
      </c>
    </row>
    <row r="150">
      <c r="A150" s="13" t="s">
        <v>355</v>
      </c>
      <c r="B150" s="13" t="s">
        <v>75</v>
      </c>
      <c r="C150" s="13" t="s">
        <v>87</v>
      </c>
      <c r="D150" s="13" t="s">
        <v>78</v>
      </c>
      <c r="E150" s="13" t="s">
        <v>73</v>
      </c>
    </row>
    <row r="151">
      <c r="A151" s="13" t="s">
        <v>355</v>
      </c>
      <c r="B151" s="13" t="s">
        <v>75</v>
      </c>
      <c r="C151" s="13" t="s">
        <v>136</v>
      </c>
      <c r="D151" s="13" t="s">
        <v>78</v>
      </c>
      <c r="E151" s="13" t="s">
        <v>73</v>
      </c>
    </row>
    <row r="152">
      <c r="A152" s="13" t="s">
        <v>355</v>
      </c>
      <c r="B152" s="13" t="s">
        <v>75</v>
      </c>
      <c r="C152" s="13" t="s">
        <v>84</v>
      </c>
      <c r="D152" s="13" t="s">
        <v>78</v>
      </c>
      <c r="E152" s="13" t="s">
        <v>73</v>
      </c>
    </row>
    <row r="153">
      <c r="A153" s="13" t="s">
        <v>355</v>
      </c>
      <c r="B153" s="13" t="s">
        <v>75</v>
      </c>
      <c r="C153" s="13" t="s">
        <v>76</v>
      </c>
      <c r="D153" s="13" t="s">
        <v>78</v>
      </c>
      <c r="E153" s="13" t="s">
        <v>73</v>
      </c>
    </row>
    <row r="154">
      <c r="A154" s="13" t="s">
        <v>355</v>
      </c>
      <c r="B154" s="13" t="s">
        <v>75</v>
      </c>
      <c r="C154" s="13" t="s">
        <v>81</v>
      </c>
      <c r="D154" s="13" t="s">
        <v>78</v>
      </c>
      <c r="E154" s="13" t="s">
        <v>73</v>
      </c>
    </row>
    <row r="155">
      <c r="A155" s="13" t="s">
        <v>355</v>
      </c>
      <c r="B155" s="13" t="s">
        <v>75</v>
      </c>
      <c r="C155" s="13" t="s">
        <v>99</v>
      </c>
      <c r="D155" s="13" t="s">
        <v>78</v>
      </c>
      <c r="E155" s="13" t="s">
        <v>73</v>
      </c>
    </row>
    <row r="156">
      <c r="A156" s="13" t="s">
        <v>355</v>
      </c>
      <c r="B156" s="13" t="s">
        <v>75</v>
      </c>
      <c r="C156" s="13" t="s">
        <v>102</v>
      </c>
      <c r="D156" s="13" t="s">
        <v>78</v>
      </c>
      <c r="E156" s="13" t="s">
        <v>73</v>
      </c>
    </row>
    <row r="157">
      <c r="A157" s="13" t="s">
        <v>355</v>
      </c>
      <c r="B157" s="13" t="s">
        <v>75</v>
      </c>
      <c r="C157" s="13" t="s">
        <v>90</v>
      </c>
      <c r="D157" s="13" t="s">
        <v>78</v>
      </c>
      <c r="E157" s="13" t="s">
        <v>73</v>
      </c>
    </row>
    <row r="158">
      <c r="A158" s="13" t="s">
        <v>355</v>
      </c>
      <c r="B158" s="13" t="s">
        <v>75</v>
      </c>
      <c r="C158" s="13" t="s">
        <v>139</v>
      </c>
      <c r="D158" s="13" t="s">
        <v>78</v>
      </c>
      <c r="E158" s="13" t="s">
        <v>73</v>
      </c>
    </row>
    <row r="159">
      <c r="A159" s="13" t="s">
        <v>355</v>
      </c>
      <c r="B159" s="13" t="s">
        <v>75</v>
      </c>
      <c r="C159" s="13" t="s">
        <v>94</v>
      </c>
      <c r="D159" s="13" t="s">
        <v>78</v>
      </c>
      <c r="E159" s="13" t="s">
        <v>73</v>
      </c>
    </row>
    <row r="160">
      <c r="A160" s="12" t="s">
        <v>362</v>
      </c>
      <c r="B160" s="12" t="s">
        <v>80</v>
      </c>
      <c r="C160" s="12" t="s">
        <v>76</v>
      </c>
      <c r="D160" s="12" t="s">
        <v>78</v>
      </c>
      <c r="E160" s="12" t="s">
        <v>165</v>
      </c>
    </row>
    <row r="161">
      <c r="A161" s="12" t="s">
        <v>362</v>
      </c>
      <c r="B161" s="12" t="s">
        <v>80</v>
      </c>
      <c r="C161" s="12" t="s">
        <v>81</v>
      </c>
      <c r="D161" s="12" t="s">
        <v>78</v>
      </c>
      <c r="E161" s="12" t="s">
        <v>165</v>
      </c>
    </row>
    <row r="162">
      <c r="A162" s="12" t="s">
        <v>362</v>
      </c>
      <c r="B162" s="12" t="s">
        <v>80</v>
      </c>
      <c r="C162" s="12" t="s">
        <v>99</v>
      </c>
      <c r="D162" s="12" t="s">
        <v>78</v>
      </c>
      <c r="E162" s="12" t="s">
        <v>165</v>
      </c>
    </row>
    <row r="163">
      <c r="A163" s="12" t="s">
        <v>362</v>
      </c>
      <c r="B163" s="12" t="s">
        <v>80</v>
      </c>
      <c r="C163" s="12" t="s">
        <v>87</v>
      </c>
      <c r="D163" s="12" t="s">
        <v>78</v>
      </c>
      <c r="E163" s="12" t="s">
        <v>165</v>
      </c>
    </row>
    <row r="164">
      <c r="A164" s="12" t="s">
        <v>362</v>
      </c>
      <c r="B164" s="12" t="s">
        <v>80</v>
      </c>
      <c r="C164" s="12" t="s">
        <v>84</v>
      </c>
      <c r="D164" s="12" t="s">
        <v>78</v>
      </c>
      <c r="E164" s="12" t="s">
        <v>165</v>
      </c>
    </row>
    <row r="165">
      <c r="A165" s="12" t="s">
        <v>362</v>
      </c>
      <c r="B165" s="12" t="s">
        <v>80</v>
      </c>
      <c r="C165" s="12" t="s">
        <v>94</v>
      </c>
      <c r="D165" s="12" t="s">
        <v>78</v>
      </c>
      <c r="E165" s="12" t="s">
        <v>165</v>
      </c>
    </row>
    <row r="166">
      <c r="A166" s="12" t="s">
        <v>362</v>
      </c>
      <c r="B166" s="12" t="s">
        <v>80</v>
      </c>
      <c r="C166" s="12" t="s">
        <v>90</v>
      </c>
      <c r="D166" s="12" t="s">
        <v>78</v>
      </c>
      <c r="E166" s="12" t="s">
        <v>165</v>
      </c>
    </row>
    <row r="167">
      <c r="A167" s="12" t="s">
        <v>362</v>
      </c>
      <c r="B167" s="12" t="s">
        <v>80</v>
      </c>
      <c r="C167" s="12" t="s">
        <v>136</v>
      </c>
      <c r="D167" s="12" t="s">
        <v>78</v>
      </c>
      <c r="E167" s="12" t="s">
        <v>165</v>
      </c>
    </row>
    <row r="168">
      <c r="A168" s="12" t="s">
        <v>362</v>
      </c>
      <c r="B168" s="12" t="s">
        <v>80</v>
      </c>
      <c r="C168" s="12" t="s">
        <v>102</v>
      </c>
      <c r="D168" s="12" t="s">
        <v>78</v>
      </c>
      <c r="E168" s="12" t="s">
        <v>165</v>
      </c>
    </row>
    <row r="169">
      <c r="A169" s="12" t="s">
        <v>362</v>
      </c>
      <c r="B169" s="12" t="s">
        <v>80</v>
      </c>
      <c r="C169" s="12" t="s">
        <v>104</v>
      </c>
      <c r="D169" s="12" t="s">
        <v>78</v>
      </c>
      <c r="E169" s="12" t="s">
        <v>165</v>
      </c>
    </row>
    <row r="170">
      <c r="A170" s="13" t="s">
        <v>373</v>
      </c>
      <c r="B170" s="13" t="s">
        <v>80</v>
      </c>
      <c r="C170" s="13" t="s">
        <v>125</v>
      </c>
      <c r="D170" s="13" t="s">
        <v>78</v>
      </c>
      <c r="E170" s="13" t="s">
        <v>165</v>
      </c>
    </row>
    <row r="171">
      <c r="A171" s="13" t="s">
        <v>373</v>
      </c>
      <c r="B171" s="13" t="s">
        <v>80</v>
      </c>
      <c r="C171" s="13" t="s">
        <v>416</v>
      </c>
      <c r="D171" s="13" t="s">
        <v>78</v>
      </c>
      <c r="E171" s="13" t="s">
        <v>165</v>
      </c>
    </row>
    <row r="172">
      <c r="A172" s="13" t="s">
        <v>373</v>
      </c>
      <c r="B172" s="13" t="s">
        <v>80</v>
      </c>
      <c r="C172" s="13" t="s">
        <v>126</v>
      </c>
      <c r="D172" s="13" t="s">
        <v>78</v>
      </c>
      <c r="E172" s="13" t="s">
        <v>165</v>
      </c>
    </row>
    <row r="173">
      <c r="A173" s="13" t="s">
        <v>373</v>
      </c>
      <c r="B173" s="13" t="s">
        <v>80</v>
      </c>
      <c r="C173" s="13" t="s">
        <v>131</v>
      </c>
      <c r="D173" s="13" t="s">
        <v>78</v>
      </c>
      <c r="E173" s="13" t="s">
        <v>165</v>
      </c>
    </row>
    <row r="174">
      <c r="A174" s="13" t="s">
        <v>373</v>
      </c>
      <c r="B174" s="13" t="s">
        <v>80</v>
      </c>
      <c r="C174" s="13" t="s">
        <v>117</v>
      </c>
      <c r="D174" s="13" t="s">
        <v>78</v>
      </c>
      <c r="E174" s="13" t="s">
        <v>165</v>
      </c>
    </row>
    <row r="175">
      <c r="A175" s="13" t="s">
        <v>373</v>
      </c>
      <c r="B175" s="13" t="s">
        <v>80</v>
      </c>
      <c r="C175" s="13" t="s">
        <v>104</v>
      </c>
      <c r="D175" s="13" t="s">
        <v>78</v>
      </c>
      <c r="E175" s="13" t="s">
        <v>165</v>
      </c>
    </row>
    <row r="176">
      <c r="A176" s="13" t="s">
        <v>373</v>
      </c>
      <c r="B176" s="13" t="s">
        <v>80</v>
      </c>
      <c r="C176" s="13" t="s">
        <v>435</v>
      </c>
      <c r="D176" s="13" t="s">
        <v>78</v>
      </c>
      <c r="E176" s="13" t="s">
        <v>165</v>
      </c>
    </row>
    <row r="177">
      <c r="A177" s="13" t="s">
        <v>373</v>
      </c>
      <c r="B177" s="13" t="s">
        <v>80</v>
      </c>
      <c r="C177" s="13" t="s">
        <v>439</v>
      </c>
      <c r="D177" s="13" t="s">
        <v>78</v>
      </c>
      <c r="E177" s="13" t="s">
        <v>165</v>
      </c>
    </row>
    <row r="178">
      <c r="A178" s="13" t="s">
        <v>373</v>
      </c>
      <c r="B178" s="13" t="s">
        <v>80</v>
      </c>
      <c r="C178" s="13" t="s">
        <v>106</v>
      </c>
      <c r="D178" s="13" t="s">
        <v>78</v>
      </c>
      <c r="E178" s="13" t="s">
        <v>165</v>
      </c>
    </row>
    <row r="179">
      <c r="A179" s="13" t="s">
        <v>373</v>
      </c>
      <c r="B179" s="13" t="s">
        <v>80</v>
      </c>
      <c r="C179" s="13" t="s">
        <v>116</v>
      </c>
      <c r="D179" s="13" t="s">
        <v>78</v>
      </c>
      <c r="E179" s="13" t="s">
        <v>165</v>
      </c>
    </row>
    <row r="180">
      <c r="A180" s="13" t="s">
        <v>373</v>
      </c>
      <c r="B180" s="13" t="s">
        <v>80</v>
      </c>
      <c r="C180" s="13" t="s">
        <v>164</v>
      </c>
      <c r="D180" s="13" t="s">
        <v>78</v>
      </c>
      <c r="E180" s="13" t="s">
        <v>165</v>
      </c>
    </row>
    <row r="181">
      <c r="A181" s="13" t="s">
        <v>373</v>
      </c>
      <c r="B181" s="13" t="s">
        <v>80</v>
      </c>
      <c r="C181" s="13" t="s">
        <v>129</v>
      </c>
      <c r="D181" s="13" t="s">
        <v>78</v>
      </c>
      <c r="E181" s="13" t="s">
        <v>165</v>
      </c>
    </row>
    <row r="182">
      <c r="A182" s="12" t="s">
        <v>381</v>
      </c>
      <c r="B182" s="12" t="s">
        <v>80</v>
      </c>
      <c r="C182" s="12" t="s">
        <v>76</v>
      </c>
      <c r="D182" s="12" t="s">
        <v>311</v>
      </c>
      <c r="E182" s="12" t="s">
        <v>165</v>
      </c>
    </row>
    <row r="183">
      <c r="A183" s="12" t="s">
        <v>381</v>
      </c>
      <c r="B183" s="12" t="s">
        <v>80</v>
      </c>
      <c r="C183" s="12" t="s">
        <v>81</v>
      </c>
      <c r="D183" s="12" t="s">
        <v>311</v>
      </c>
      <c r="E183" s="12" t="s">
        <v>165</v>
      </c>
    </row>
    <row r="184">
      <c r="A184" s="12" t="s">
        <v>381</v>
      </c>
      <c r="B184" s="12" t="s">
        <v>80</v>
      </c>
      <c r="C184" s="12" t="s">
        <v>90</v>
      </c>
      <c r="D184" s="12" t="s">
        <v>311</v>
      </c>
      <c r="E184" s="12" t="s">
        <v>165</v>
      </c>
    </row>
    <row r="185">
      <c r="A185" s="12" t="s">
        <v>381</v>
      </c>
      <c r="B185" s="12" t="s">
        <v>80</v>
      </c>
      <c r="C185" s="12" t="s">
        <v>87</v>
      </c>
      <c r="D185" s="12" t="s">
        <v>311</v>
      </c>
      <c r="E185" s="12" t="s">
        <v>165</v>
      </c>
    </row>
    <row r="186">
      <c r="A186" s="12" t="s">
        <v>381</v>
      </c>
      <c r="B186" s="12" t="s">
        <v>80</v>
      </c>
      <c r="C186" s="12" t="s">
        <v>136</v>
      </c>
      <c r="D186" s="12" t="s">
        <v>311</v>
      </c>
      <c r="E186" s="12" t="s">
        <v>165</v>
      </c>
    </row>
    <row r="187">
      <c r="A187" s="12" t="s">
        <v>381</v>
      </c>
      <c r="B187" s="12" t="s">
        <v>80</v>
      </c>
      <c r="C187" s="12" t="s">
        <v>102</v>
      </c>
      <c r="D187" s="12" t="s">
        <v>311</v>
      </c>
      <c r="E187" s="12" t="s">
        <v>165</v>
      </c>
    </row>
    <row r="188">
      <c r="A188" s="12" t="s">
        <v>381</v>
      </c>
      <c r="B188" s="12" t="s">
        <v>80</v>
      </c>
      <c r="C188" s="12" t="s">
        <v>94</v>
      </c>
      <c r="D188" s="12" t="s">
        <v>311</v>
      </c>
      <c r="E188" s="12" t="s">
        <v>165</v>
      </c>
    </row>
    <row r="189">
      <c r="A189" s="12" t="s">
        <v>381</v>
      </c>
      <c r="B189" s="12" t="s">
        <v>80</v>
      </c>
      <c r="C189" s="12" t="s">
        <v>99</v>
      </c>
      <c r="D189" s="12" t="s">
        <v>311</v>
      </c>
      <c r="E189" s="12" t="s">
        <v>165</v>
      </c>
    </row>
    <row r="190">
      <c r="A190" s="12" t="s">
        <v>381</v>
      </c>
      <c r="B190" s="12" t="s">
        <v>80</v>
      </c>
      <c r="C190" s="12" t="s">
        <v>84</v>
      </c>
      <c r="D190" s="12" t="s">
        <v>311</v>
      </c>
      <c r="E190" s="12" t="s">
        <v>165</v>
      </c>
    </row>
    <row r="191">
      <c r="A191" s="13" t="s">
        <v>396</v>
      </c>
      <c r="B191" s="13" t="s">
        <v>80</v>
      </c>
      <c r="C191" s="13" t="s">
        <v>76</v>
      </c>
      <c r="D191" s="13" t="s">
        <v>78</v>
      </c>
      <c r="E191" s="13" t="s">
        <v>165</v>
      </c>
    </row>
    <row r="192">
      <c r="A192" s="13" t="s">
        <v>396</v>
      </c>
      <c r="B192" s="13" t="s">
        <v>80</v>
      </c>
      <c r="C192" s="13" t="s">
        <v>81</v>
      </c>
      <c r="D192" s="13" t="s">
        <v>78</v>
      </c>
      <c r="E192" s="13" t="s">
        <v>165</v>
      </c>
    </row>
    <row r="193">
      <c r="A193" s="13" t="s">
        <v>396</v>
      </c>
      <c r="B193" s="13" t="s">
        <v>80</v>
      </c>
      <c r="C193" s="13" t="s">
        <v>102</v>
      </c>
      <c r="D193" s="13" t="s">
        <v>78</v>
      </c>
      <c r="E193" s="13" t="s">
        <v>165</v>
      </c>
    </row>
    <row r="194">
      <c r="A194" s="13" t="s">
        <v>396</v>
      </c>
      <c r="B194" s="13" t="s">
        <v>80</v>
      </c>
      <c r="C194" s="13" t="s">
        <v>90</v>
      </c>
      <c r="D194" s="13" t="s">
        <v>78</v>
      </c>
      <c r="E194" s="13" t="s">
        <v>165</v>
      </c>
    </row>
    <row r="195">
      <c r="A195" s="13" t="s">
        <v>396</v>
      </c>
      <c r="B195" s="13" t="s">
        <v>80</v>
      </c>
      <c r="C195" s="13" t="s">
        <v>136</v>
      </c>
      <c r="D195" s="13" t="s">
        <v>78</v>
      </c>
      <c r="E195" s="13" t="s">
        <v>165</v>
      </c>
    </row>
    <row r="196">
      <c r="A196" s="13" t="s">
        <v>396</v>
      </c>
      <c r="B196" s="13" t="s">
        <v>80</v>
      </c>
      <c r="C196" s="13" t="s">
        <v>87</v>
      </c>
      <c r="D196" s="13" t="s">
        <v>78</v>
      </c>
      <c r="E196" s="13" t="s">
        <v>165</v>
      </c>
    </row>
    <row r="197">
      <c r="A197" s="13" t="s">
        <v>396</v>
      </c>
      <c r="B197" s="13" t="s">
        <v>80</v>
      </c>
      <c r="C197" s="13" t="s">
        <v>84</v>
      </c>
      <c r="D197" s="13" t="s">
        <v>78</v>
      </c>
      <c r="E197" s="13" t="s">
        <v>165</v>
      </c>
    </row>
    <row r="198">
      <c r="A198" s="13" t="s">
        <v>396</v>
      </c>
      <c r="B198" s="13" t="s">
        <v>80</v>
      </c>
      <c r="C198" s="13" t="s">
        <v>99</v>
      </c>
      <c r="D198" s="13" t="s">
        <v>78</v>
      </c>
      <c r="E198" s="13" t="s">
        <v>165</v>
      </c>
    </row>
    <row r="199">
      <c r="A199" s="13" t="s">
        <v>396</v>
      </c>
      <c r="B199" s="13" t="s">
        <v>80</v>
      </c>
      <c r="C199" s="13" t="s">
        <v>94</v>
      </c>
      <c r="D199" s="13" t="s">
        <v>78</v>
      </c>
      <c r="E199" s="13" t="s">
        <v>165</v>
      </c>
    </row>
    <row r="200">
      <c r="A200" s="12" t="s">
        <v>419</v>
      </c>
      <c r="B200" s="12" t="s">
        <v>80</v>
      </c>
      <c r="C200" s="12" t="s">
        <v>76</v>
      </c>
      <c r="D200" s="12" t="s">
        <v>78</v>
      </c>
      <c r="E200" s="12" t="s">
        <v>165</v>
      </c>
    </row>
    <row r="201">
      <c r="A201" s="12" t="s">
        <v>419</v>
      </c>
      <c r="B201" s="12" t="s">
        <v>80</v>
      </c>
      <c r="C201" s="12" t="s">
        <v>81</v>
      </c>
      <c r="D201" s="12" t="s">
        <v>78</v>
      </c>
      <c r="E201" s="12" t="s">
        <v>165</v>
      </c>
    </row>
    <row r="202">
      <c r="A202" s="12" t="s">
        <v>419</v>
      </c>
      <c r="B202" s="12" t="s">
        <v>80</v>
      </c>
      <c r="C202" s="12" t="s">
        <v>87</v>
      </c>
      <c r="D202" s="12" t="s">
        <v>78</v>
      </c>
      <c r="E202" s="12" t="s">
        <v>165</v>
      </c>
    </row>
    <row r="203">
      <c r="A203" s="12" t="s">
        <v>419</v>
      </c>
      <c r="B203" s="12" t="s">
        <v>80</v>
      </c>
      <c r="C203" s="12" t="s">
        <v>136</v>
      </c>
      <c r="D203" s="12" t="s">
        <v>78</v>
      </c>
      <c r="E203" s="12" t="s">
        <v>165</v>
      </c>
    </row>
    <row r="204">
      <c r="A204" s="12" t="s">
        <v>419</v>
      </c>
      <c r="B204" s="12" t="s">
        <v>80</v>
      </c>
      <c r="C204" s="12" t="s">
        <v>84</v>
      </c>
      <c r="D204" s="12" t="s">
        <v>78</v>
      </c>
      <c r="E204" s="12" t="s">
        <v>165</v>
      </c>
    </row>
    <row r="205">
      <c r="A205" s="12" t="s">
        <v>419</v>
      </c>
      <c r="B205" s="12" t="s">
        <v>80</v>
      </c>
      <c r="C205" s="12" t="s">
        <v>99</v>
      </c>
      <c r="D205" s="12" t="s">
        <v>78</v>
      </c>
      <c r="E205" s="12" t="s">
        <v>165</v>
      </c>
    </row>
    <row r="206">
      <c r="A206" s="12" t="s">
        <v>419</v>
      </c>
      <c r="B206" s="12" t="s">
        <v>80</v>
      </c>
      <c r="C206" s="12" t="s">
        <v>102</v>
      </c>
      <c r="D206" s="12" t="s">
        <v>78</v>
      </c>
      <c r="E206" s="12" t="s">
        <v>165</v>
      </c>
    </row>
    <row r="207">
      <c r="A207" s="12" t="s">
        <v>419</v>
      </c>
      <c r="B207" s="12" t="s">
        <v>80</v>
      </c>
      <c r="C207" s="12" t="s">
        <v>90</v>
      </c>
      <c r="D207" s="12" t="s">
        <v>78</v>
      </c>
      <c r="E207" s="12" t="s">
        <v>165</v>
      </c>
    </row>
    <row r="208">
      <c r="A208" s="12" t="s">
        <v>419</v>
      </c>
      <c r="B208" s="12" t="s">
        <v>80</v>
      </c>
      <c r="C208" s="12" t="s">
        <v>94</v>
      </c>
      <c r="D208" s="12" t="s">
        <v>78</v>
      </c>
      <c r="E208" s="12" t="s">
        <v>165</v>
      </c>
    </row>
    <row r="209">
      <c r="A209" s="12" t="s">
        <v>419</v>
      </c>
      <c r="B209" s="12" t="s">
        <v>80</v>
      </c>
      <c r="C209" s="12" t="s">
        <v>104</v>
      </c>
      <c r="D209" s="12" t="s">
        <v>78</v>
      </c>
      <c r="E209" s="12" t="s">
        <v>165</v>
      </c>
    </row>
    <row r="210">
      <c r="A210" s="13" t="s">
        <v>446</v>
      </c>
      <c r="B210" s="13" t="s">
        <v>80</v>
      </c>
      <c r="C210" s="13" t="s">
        <v>526</v>
      </c>
      <c r="D210" s="13" t="s">
        <v>78</v>
      </c>
      <c r="E210" s="13" t="s">
        <v>165</v>
      </c>
    </row>
    <row r="211">
      <c r="A211" s="13" t="s">
        <v>446</v>
      </c>
      <c r="B211" s="13" t="s">
        <v>80</v>
      </c>
      <c r="C211" s="13" t="s">
        <v>84</v>
      </c>
      <c r="D211" s="13" t="s">
        <v>78</v>
      </c>
      <c r="E211" s="13" t="s">
        <v>165</v>
      </c>
    </row>
    <row r="212">
      <c r="A212" s="13" t="s">
        <v>446</v>
      </c>
      <c r="B212" s="13" t="s">
        <v>80</v>
      </c>
      <c r="C212" s="13" t="s">
        <v>94</v>
      </c>
      <c r="D212" s="13" t="s">
        <v>78</v>
      </c>
      <c r="E212" s="13" t="s">
        <v>165</v>
      </c>
    </row>
    <row r="213">
      <c r="A213" s="13" t="s">
        <v>446</v>
      </c>
      <c r="B213" s="13" t="s">
        <v>80</v>
      </c>
      <c r="C213" s="13" t="s">
        <v>139</v>
      </c>
      <c r="D213" s="13" t="s">
        <v>78</v>
      </c>
      <c r="E213" s="13" t="s">
        <v>165</v>
      </c>
    </row>
    <row r="214">
      <c r="A214" s="13" t="s">
        <v>446</v>
      </c>
      <c r="B214" s="13" t="s">
        <v>80</v>
      </c>
      <c r="C214" s="13" t="s">
        <v>545</v>
      </c>
      <c r="D214" s="13" t="s">
        <v>78</v>
      </c>
      <c r="E214" s="13" t="s">
        <v>165</v>
      </c>
    </row>
    <row r="215">
      <c r="A215" s="13" t="s">
        <v>446</v>
      </c>
      <c r="B215" s="13" t="s">
        <v>80</v>
      </c>
      <c r="C215" s="13" t="s">
        <v>548</v>
      </c>
      <c r="D215" s="13" t="s">
        <v>78</v>
      </c>
      <c r="E215" s="13" t="s">
        <v>165</v>
      </c>
    </row>
    <row r="216">
      <c r="A216" s="13" t="s">
        <v>446</v>
      </c>
      <c r="B216" s="13" t="s">
        <v>80</v>
      </c>
      <c r="C216" s="13" t="s">
        <v>550</v>
      </c>
      <c r="D216" s="13" t="s">
        <v>78</v>
      </c>
      <c r="E216" s="13" t="s">
        <v>165</v>
      </c>
    </row>
    <row r="217">
      <c r="A217" s="12" t="s">
        <v>480</v>
      </c>
      <c r="B217" s="12" t="s">
        <v>80</v>
      </c>
      <c r="C217" s="12" t="s">
        <v>76</v>
      </c>
      <c r="D217" s="12" t="s">
        <v>78</v>
      </c>
      <c r="E217" s="12" t="s">
        <v>165</v>
      </c>
    </row>
    <row r="218">
      <c r="A218" s="12" t="s">
        <v>480</v>
      </c>
      <c r="B218" s="12" t="s">
        <v>80</v>
      </c>
      <c r="C218" s="12" t="s">
        <v>81</v>
      </c>
      <c r="D218" s="12" t="s">
        <v>78</v>
      </c>
      <c r="E218" s="12" t="s">
        <v>165</v>
      </c>
    </row>
    <row r="219">
      <c r="A219" s="12" t="s">
        <v>480</v>
      </c>
      <c r="B219" s="12" t="s">
        <v>80</v>
      </c>
      <c r="C219" s="12" t="s">
        <v>87</v>
      </c>
      <c r="D219" s="12" t="s">
        <v>78</v>
      </c>
      <c r="E219" s="12" t="s">
        <v>165</v>
      </c>
    </row>
    <row r="220">
      <c r="A220" s="12" t="s">
        <v>480</v>
      </c>
      <c r="B220" s="12" t="s">
        <v>80</v>
      </c>
      <c r="C220" s="12" t="s">
        <v>84</v>
      </c>
      <c r="D220" s="12" t="s">
        <v>78</v>
      </c>
      <c r="E220" s="12" t="s">
        <v>165</v>
      </c>
    </row>
    <row r="221">
      <c r="A221" s="12" t="s">
        <v>480</v>
      </c>
      <c r="B221" s="12" t="s">
        <v>80</v>
      </c>
      <c r="C221" s="12" t="s">
        <v>94</v>
      </c>
      <c r="D221" s="12" t="s">
        <v>78</v>
      </c>
      <c r="E221" s="12" t="s">
        <v>165</v>
      </c>
    </row>
    <row r="222">
      <c r="A222" s="12" t="s">
        <v>480</v>
      </c>
      <c r="B222" s="12" t="s">
        <v>80</v>
      </c>
      <c r="C222" s="12" t="s">
        <v>139</v>
      </c>
      <c r="D222" s="12" t="s">
        <v>78</v>
      </c>
      <c r="E222" s="12" t="s">
        <v>165</v>
      </c>
    </row>
    <row r="223">
      <c r="A223" s="12" t="s">
        <v>480</v>
      </c>
      <c r="B223" s="12" t="s">
        <v>80</v>
      </c>
      <c r="C223" s="12" t="s">
        <v>90</v>
      </c>
      <c r="D223" s="12" t="s">
        <v>78</v>
      </c>
      <c r="E223" s="12" t="s">
        <v>165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75"/>
    <col customWidth="1" min="2" max="2" width="45.5"/>
    <col customWidth="1" min="3" max="3" width="33.75"/>
  </cols>
  <sheetData>
    <row r="1">
      <c r="A1" s="52" t="s">
        <v>387</v>
      </c>
      <c r="B1" s="4" t="s">
        <v>388</v>
      </c>
      <c r="C1" s="4" t="s">
        <v>389</v>
      </c>
    </row>
    <row r="2">
      <c r="A2" s="53" t="s">
        <v>390</v>
      </c>
      <c r="B2" s="8" t="s">
        <v>87</v>
      </c>
      <c r="C2" s="8" t="s">
        <v>59</v>
      </c>
    </row>
    <row r="3">
      <c r="A3" s="53" t="s">
        <v>392</v>
      </c>
      <c r="B3" s="8" t="s">
        <v>136</v>
      </c>
      <c r="C3" s="8" t="s">
        <v>393</v>
      </c>
    </row>
    <row r="4">
      <c r="A4" s="53" t="s">
        <v>398</v>
      </c>
      <c r="B4" s="8" t="s">
        <v>84</v>
      </c>
      <c r="C4" s="8" t="s">
        <v>59</v>
      </c>
    </row>
    <row r="5">
      <c r="A5" s="53" t="s">
        <v>403</v>
      </c>
      <c r="B5" s="8" t="s">
        <v>404</v>
      </c>
      <c r="C5" s="8" t="s">
        <v>405</v>
      </c>
    </row>
    <row r="6">
      <c r="A6" s="53" t="s">
        <v>406</v>
      </c>
      <c r="B6" s="8" t="s">
        <v>99</v>
      </c>
      <c r="C6" s="8" t="s">
        <v>59</v>
      </c>
    </row>
    <row r="7">
      <c r="A7" s="53" t="s">
        <v>408</v>
      </c>
      <c r="B7" s="8" t="s">
        <v>409</v>
      </c>
      <c r="C7" s="8" t="s">
        <v>410</v>
      </c>
      <c r="D7" s="55"/>
    </row>
    <row r="8">
      <c r="A8" s="53" t="s">
        <v>411</v>
      </c>
      <c r="B8" s="8" t="s">
        <v>412</v>
      </c>
      <c r="C8" s="8" t="s">
        <v>59</v>
      </c>
    </row>
    <row r="9">
      <c r="A9" s="53" t="s">
        <v>414</v>
      </c>
      <c r="B9" s="8" t="s">
        <v>415</v>
      </c>
      <c r="C9" s="8" t="s">
        <v>59</v>
      </c>
    </row>
    <row r="10">
      <c r="A10" s="53" t="s">
        <v>417</v>
      </c>
      <c r="B10" s="8" t="s">
        <v>84</v>
      </c>
      <c r="C10" s="8" t="s">
        <v>59</v>
      </c>
    </row>
    <row r="11">
      <c r="A11" s="53" t="s">
        <v>422</v>
      </c>
      <c r="B11" s="8" t="s">
        <v>423</v>
      </c>
      <c r="C11" s="8" t="s">
        <v>425</v>
      </c>
    </row>
    <row r="12">
      <c r="A12" s="53" t="s">
        <v>427</v>
      </c>
      <c r="B12" s="8" t="s">
        <v>104</v>
      </c>
      <c r="C12" s="8" t="s">
        <v>59</v>
      </c>
    </row>
    <row r="13">
      <c r="A13" s="53" t="s">
        <v>102</v>
      </c>
      <c r="B13" s="8" t="s">
        <v>102</v>
      </c>
      <c r="C13" s="8" t="s">
        <v>410</v>
      </c>
    </row>
    <row r="14">
      <c r="A14" s="53" t="s">
        <v>429</v>
      </c>
      <c r="B14" s="8" t="s">
        <v>430</v>
      </c>
      <c r="C14" s="8" t="s">
        <v>59</v>
      </c>
    </row>
    <row r="15">
      <c r="A15" s="53" t="s">
        <v>432</v>
      </c>
      <c r="B15" s="8" t="s">
        <v>125</v>
      </c>
      <c r="C15" s="8" t="s">
        <v>145</v>
      </c>
    </row>
    <row r="16">
      <c r="A16" s="53" t="s">
        <v>433</v>
      </c>
      <c r="B16" s="8" t="s">
        <v>434</v>
      </c>
      <c r="C16" s="8" t="s">
        <v>145</v>
      </c>
    </row>
    <row r="17">
      <c r="A17" s="53" t="s">
        <v>433</v>
      </c>
      <c r="B17" s="8" t="s">
        <v>436</v>
      </c>
      <c r="C17" s="8" t="s">
        <v>167</v>
      </c>
    </row>
    <row r="18">
      <c r="A18" s="53" t="s">
        <v>437</v>
      </c>
      <c r="B18" s="8" t="s">
        <v>438</v>
      </c>
      <c r="C18" s="8" t="s">
        <v>167</v>
      </c>
    </row>
    <row r="19">
      <c r="A19" s="53" t="s">
        <v>440</v>
      </c>
      <c r="B19" s="8" t="s">
        <v>441</v>
      </c>
      <c r="C19" s="8" t="s">
        <v>167</v>
      </c>
    </row>
    <row r="20">
      <c r="A20" s="53" t="s">
        <v>443</v>
      </c>
      <c r="B20" s="8" t="s">
        <v>445</v>
      </c>
      <c r="C20" s="8" t="s">
        <v>167</v>
      </c>
    </row>
    <row r="21">
      <c r="A21" s="53" t="s">
        <v>449</v>
      </c>
      <c r="B21" s="8" t="s">
        <v>451</v>
      </c>
      <c r="C21" s="8" t="s">
        <v>167</v>
      </c>
    </row>
    <row r="22">
      <c r="A22" s="53" t="s">
        <v>453</v>
      </c>
      <c r="B22" s="8" t="s">
        <v>104</v>
      </c>
      <c r="C22" s="8" t="s">
        <v>167</v>
      </c>
    </row>
    <row r="23">
      <c r="A23" s="53" t="s">
        <v>455</v>
      </c>
      <c r="B23" s="8" t="s">
        <v>456</v>
      </c>
      <c r="C23" s="8" t="s">
        <v>167</v>
      </c>
    </row>
    <row r="24">
      <c r="A24" s="53" t="s">
        <v>459</v>
      </c>
      <c r="B24" s="8" t="s">
        <v>126</v>
      </c>
      <c r="C24" s="8" t="s">
        <v>167</v>
      </c>
    </row>
    <row r="25">
      <c r="A25" s="53" t="s">
        <v>462</v>
      </c>
      <c r="B25" s="8" t="s">
        <v>136</v>
      </c>
      <c r="C25" s="8" t="s">
        <v>167</v>
      </c>
    </row>
    <row r="26">
      <c r="A26" s="53" t="s">
        <v>465</v>
      </c>
      <c r="B26" s="8" t="s">
        <v>466</v>
      </c>
      <c r="C26" s="8" t="s">
        <v>167</v>
      </c>
    </row>
    <row r="27">
      <c r="A27" s="53" t="s">
        <v>467</v>
      </c>
      <c r="B27" s="8" t="s">
        <v>123</v>
      </c>
      <c r="C27" s="8" t="s">
        <v>167</v>
      </c>
    </row>
    <row r="28">
      <c r="A28" s="53" t="s">
        <v>468</v>
      </c>
      <c r="B28" s="8" t="s">
        <v>106</v>
      </c>
      <c r="C28" s="8" t="s">
        <v>167</v>
      </c>
    </row>
    <row r="29">
      <c r="A29" s="53" t="s">
        <v>469</v>
      </c>
      <c r="B29" s="8" t="s">
        <v>470</v>
      </c>
      <c r="C29" s="8" t="s">
        <v>167</v>
      </c>
    </row>
    <row r="30">
      <c r="A30" s="53" t="s">
        <v>472</v>
      </c>
      <c r="B30" s="8" t="s">
        <v>473</v>
      </c>
      <c r="C30" s="8" t="s">
        <v>167</v>
      </c>
    </row>
    <row r="31">
      <c r="A31" s="53" t="s">
        <v>474</v>
      </c>
      <c r="B31" s="8" t="s">
        <v>143</v>
      </c>
      <c r="C31" s="8" t="s">
        <v>167</v>
      </c>
    </row>
    <row r="32">
      <c r="A32" s="53" t="s">
        <v>432</v>
      </c>
      <c r="B32" s="8" t="s">
        <v>476</v>
      </c>
      <c r="C32" s="8" t="s">
        <v>241</v>
      </c>
    </row>
    <row r="33">
      <c r="A33" s="53" t="s">
        <v>433</v>
      </c>
      <c r="B33" s="8" t="s">
        <v>479</v>
      </c>
      <c r="C33" s="8" t="s">
        <v>241</v>
      </c>
    </row>
    <row r="34">
      <c r="A34" s="53" t="s">
        <v>437</v>
      </c>
      <c r="B34" s="8" t="s">
        <v>485</v>
      </c>
      <c r="C34" s="8" t="s">
        <v>241</v>
      </c>
    </row>
    <row r="35">
      <c r="A35" s="53" t="s">
        <v>486</v>
      </c>
      <c r="B35" s="8" t="s">
        <v>487</v>
      </c>
      <c r="C35" s="8" t="s">
        <v>241</v>
      </c>
    </row>
    <row r="36">
      <c r="A36" s="53" t="s">
        <v>488</v>
      </c>
      <c r="B36" s="8" t="s">
        <v>489</v>
      </c>
      <c r="C36" s="8" t="s">
        <v>241</v>
      </c>
    </row>
    <row r="37">
      <c r="A37" s="53" t="s">
        <v>490</v>
      </c>
      <c r="B37" s="8" t="s">
        <v>491</v>
      </c>
      <c r="C37" s="8" t="s">
        <v>241</v>
      </c>
    </row>
    <row r="38">
      <c r="A38" s="53" t="s">
        <v>453</v>
      </c>
      <c r="B38" s="8" t="s">
        <v>492</v>
      </c>
      <c r="C38" s="8" t="s">
        <v>241</v>
      </c>
    </row>
    <row r="39">
      <c r="A39" s="53" t="s">
        <v>494</v>
      </c>
      <c r="B39" s="8" t="s">
        <v>495</v>
      </c>
      <c r="C39" s="8" t="s">
        <v>241</v>
      </c>
    </row>
    <row r="40">
      <c r="A40" s="53" t="s">
        <v>496</v>
      </c>
      <c r="B40" s="8" t="s">
        <v>497</v>
      </c>
      <c r="C40" s="8" t="s">
        <v>241</v>
      </c>
    </row>
    <row r="41">
      <c r="A41" s="53" t="s">
        <v>498</v>
      </c>
      <c r="B41" s="8" t="s">
        <v>499</v>
      </c>
      <c r="C41" s="8" t="s">
        <v>302</v>
      </c>
    </row>
    <row r="42">
      <c r="A42" s="53" t="s">
        <v>500</v>
      </c>
      <c r="B42" s="8" t="s">
        <v>104</v>
      </c>
      <c r="C42" s="8" t="s">
        <v>302</v>
      </c>
    </row>
    <row r="43">
      <c r="A43" s="53" t="s">
        <v>504</v>
      </c>
      <c r="B43" s="8" t="s">
        <v>416</v>
      </c>
      <c r="C43" s="8" t="s">
        <v>302</v>
      </c>
    </row>
    <row r="44">
      <c r="A44" s="53" t="s">
        <v>505</v>
      </c>
      <c r="B44" s="8" t="s">
        <v>507</v>
      </c>
      <c r="C44" s="8" t="s">
        <v>302</v>
      </c>
    </row>
    <row r="45">
      <c r="A45" s="53" t="s">
        <v>512</v>
      </c>
      <c r="B45" s="8" t="s">
        <v>308</v>
      </c>
      <c r="C45" s="8" t="s">
        <v>302</v>
      </c>
    </row>
    <row r="46">
      <c r="A46" s="53" t="s">
        <v>513</v>
      </c>
      <c r="B46" s="8" t="s">
        <v>514</v>
      </c>
      <c r="C46" s="8" t="s">
        <v>302</v>
      </c>
    </row>
    <row r="47">
      <c r="A47" s="53" t="s">
        <v>515</v>
      </c>
      <c r="B47" s="8" t="s">
        <v>516</v>
      </c>
      <c r="C47" s="8" t="s">
        <v>302</v>
      </c>
    </row>
    <row r="48">
      <c r="A48" s="53" t="s">
        <v>87</v>
      </c>
      <c r="B48" s="8" t="s">
        <v>87</v>
      </c>
      <c r="C48" s="8" t="s">
        <v>517</v>
      </c>
    </row>
    <row r="49">
      <c r="A49" s="53" t="s">
        <v>84</v>
      </c>
      <c r="B49" s="8" t="s">
        <v>84</v>
      </c>
      <c r="C49" s="8" t="s">
        <v>517</v>
      </c>
    </row>
    <row r="50">
      <c r="A50" s="53" t="s">
        <v>518</v>
      </c>
      <c r="B50" s="8" t="s">
        <v>518</v>
      </c>
      <c r="C50" s="8" t="s">
        <v>338</v>
      </c>
    </row>
    <row r="51">
      <c r="A51" s="53" t="s">
        <v>404</v>
      </c>
      <c r="B51" s="53" t="s">
        <v>404</v>
      </c>
      <c r="C51" s="8" t="s">
        <v>519</v>
      </c>
    </row>
    <row r="52">
      <c r="A52" s="53" t="s">
        <v>520</v>
      </c>
      <c r="B52" s="8" t="s">
        <v>409</v>
      </c>
      <c r="C52" s="8" t="s">
        <v>521</v>
      </c>
    </row>
    <row r="53">
      <c r="A53" s="53" t="s">
        <v>524</v>
      </c>
      <c r="B53" s="8" t="s">
        <v>526</v>
      </c>
      <c r="C53" s="8" t="s">
        <v>338</v>
      </c>
    </row>
    <row r="54">
      <c r="A54" s="53" t="s">
        <v>530</v>
      </c>
      <c r="B54" s="8" t="s">
        <v>531</v>
      </c>
      <c r="C54" s="8" t="s">
        <v>338</v>
      </c>
    </row>
    <row r="55">
      <c r="A55" s="53" t="s">
        <v>533</v>
      </c>
      <c r="B55" s="8" t="s">
        <v>415</v>
      </c>
      <c r="C55" s="8" t="s">
        <v>338</v>
      </c>
    </row>
    <row r="56">
      <c r="A56" s="53" t="s">
        <v>423</v>
      </c>
      <c r="B56" s="8" t="s">
        <v>423</v>
      </c>
      <c r="C56" s="8" t="s">
        <v>534</v>
      </c>
    </row>
    <row r="57">
      <c r="A57" s="53" t="s">
        <v>535</v>
      </c>
      <c r="B57" s="8" t="s">
        <v>308</v>
      </c>
      <c r="C57" s="8" t="s">
        <v>338</v>
      </c>
    </row>
    <row r="58">
      <c r="A58" s="53" t="s">
        <v>537</v>
      </c>
      <c r="B58" s="8" t="s">
        <v>537</v>
      </c>
      <c r="C58" s="8" t="s">
        <v>338</v>
      </c>
    </row>
    <row r="59">
      <c r="A59" s="53" t="s">
        <v>538</v>
      </c>
      <c r="B59" s="8" t="s">
        <v>84</v>
      </c>
      <c r="C59" s="8" t="s">
        <v>361</v>
      </c>
    </row>
    <row r="60">
      <c r="A60" s="53" t="s">
        <v>539</v>
      </c>
      <c r="B60" s="8" t="s">
        <v>84</v>
      </c>
      <c r="C60" s="8" t="s">
        <v>361</v>
      </c>
    </row>
    <row r="61">
      <c r="A61" s="53" t="s">
        <v>541</v>
      </c>
      <c r="B61" s="8" t="s">
        <v>104</v>
      </c>
      <c r="C61" s="8" t="s">
        <v>543</v>
      </c>
    </row>
    <row r="62">
      <c r="A62" s="53" t="s">
        <v>546</v>
      </c>
      <c r="B62" s="8" t="s">
        <v>84</v>
      </c>
      <c r="C62" s="8" t="s">
        <v>361</v>
      </c>
    </row>
    <row r="63">
      <c r="A63" s="53" t="s">
        <v>549</v>
      </c>
      <c r="B63" s="8" t="s">
        <v>87</v>
      </c>
      <c r="C63" s="8" t="s">
        <v>361</v>
      </c>
    </row>
    <row r="64">
      <c r="A64" s="53" t="s">
        <v>551</v>
      </c>
      <c r="B64" s="8" t="s">
        <v>87</v>
      </c>
      <c r="C64" s="8" t="s">
        <v>361</v>
      </c>
    </row>
    <row r="65">
      <c r="A65" s="53" t="s">
        <v>553</v>
      </c>
      <c r="B65" s="8" t="s">
        <v>99</v>
      </c>
      <c r="C65" s="8" t="s">
        <v>361</v>
      </c>
    </row>
    <row r="66">
      <c r="A66" s="53" t="s">
        <v>558</v>
      </c>
      <c r="B66" s="8" t="s">
        <v>84</v>
      </c>
      <c r="C66" s="8" t="s">
        <v>361</v>
      </c>
    </row>
    <row r="67">
      <c r="A67" s="53" t="s">
        <v>562</v>
      </c>
      <c r="B67" s="8" t="s">
        <v>415</v>
      </c>
      <c r="C67" s="8" t="s">
        <v>361</v>
      </c>
    </row>
    <row r="68">
      <c r="A68" s="53" t="s">
        <v>563</v>
      </c>
      <c r="B68" s="8" t="s">
        <v>102</v>
      </c>
      <c r="C68" s="8" t="s">
        <v>361</v>
      </c>
    </row>
    <row r="69">
      <c r="A69" s="53" t="s">
        <v>566</v>
      </c>
      <c r="B69" s="8" t="s">
        <v>404</v>
      </c>
      <c r="C69" s="8" t="s">
        <v>361</v>
      </c>
    </row>
    <row r="70">
      <c r="A70" s="53" t="s">
        <v>567</v>
      </c>
      <c r="B70" s="8" t="s">
        <v>409</v>
      </c>
      <c r="C70" s="8" t="s">
        <v>568</v>
      </c>
    </row>
    <row r="71">
      <c r="A71" s="53" t="s">
        <v>570</v>
      </c>
      <c r="B71" s="8" t="s">
        <v>84</v>
      </c>
      <c r="C71" s="8" t="s">
        <v>361</v>
      </c>
    </row>
    <row r="72">
      <c r="A72" s="53" t="s">
        <v>571</v>
      </c>
      <c r="B72" s="8" t="s">
        <v>415</v>
      </c>
      <c r="C72" s="8" t="s">
        <v>361</v>
      </c>
    </row>
    <row r="73">
      <c r="A73" s="53" t="s">
        <v>573</v>
      </c>
      <c r="B73" s="8" t="s">
        <v>415</v>
      </c>
      <c r="C73" s="8" t="s">
        <v>575</v>
      </c>
    </row>
    <row r="74">
      <c r="A74" s="53" t="s">
        <v>576</v>
      </c>
      <c r="B74" s="8" t="s">
        <v>404</v>
      </c>
      <c r="C74" s="8" t="s">
        <v>361</v>
      </c>
    </row>
    <row r="75">
      <c r="A75" s="53" t="s">
        <v>577</v>
      </c>
      <c r="B75" s="8" t="s">
        <v>116</v>
      </c>
      <c r="C75" s="8" t="s">
        <v>371</v>
      </c>
    </row>
    <row r="76">
      <c r="A76" s="53" t="s">
        <v>578</v>
      </c>
      <c r="B76" s="8" t="s">
        <v>579</v>
      </c>
      <c r="C76" s="8" t="s">
        <v>371</v>
      </c>
    </row>
    <row r="77">
      <c r="A77" s="53" t="s">
        <v>580</v>
      </c>
      <c r="B77" s="8" t="s">
        <v>581</v>
      </c>
      <c r="C77" s="8" t="s">
        <v>371</v>
      </c>
    </row>
    <row r="78">
      <c r="A78" s="53" t="s">
        <v>582</v>
      </c>
      <c r="B78" s="8" t="s">
        <v>583</v>
      </c>
      <c r="C78" s="8" t="s">
        <v>371</v>
      </c>
    </row>
    <row r="79">
      <c r="A79" s="53" t="s">
        <v>584</v>
      </c>
      <c r="B79" s="8" t="s">
        <v>585</v>
      </c>
      <c r="C79" s="8" t="s">
        <v>371</v>
      </c>
    </row>
    <row r="80">
      <c r="A80" s="53" t="s">
        <v>587</v>
      </c>
      <c r="B80" s="8" t="s">
        <v>589</v>
      </c>
      <c r="C80" s="8" t="s">
        <v>371</v>
      </c>
    </row>
    <row r="81">
      <c r="A81" s="53" t="s">
        <v>125</v>
      </c>
      <c r="B81" s="53" t="s">
        <v>125</v>
      </c>
      <c r="C81" s="8" t="s">
        <v>371</v>
      </c>
    </row>
    <row r="82">
      <c r="A82" s="53" t="s">
        <v>131</v>
      </c>
      <c r="B82" s="8" t="s">
        <v>131</v>
      </c>
      <c r="C82" s="8" t="s">
        <v>594</v>
      </c>
    </row>
    <row r="83">
      <c r="A83" s="53" t="s">
        <v>595</v>
      </c>
      <c r="B83" s="8" t="s">
        <v>164</v>
      </c>
      <c r="C83" s="8" t="s">
        <v>371</v>
      </c>
    </row>
    <row r="84">
      <c r="A84" s="53" t="s">
        <v>126</v>
      </c>
      <c r="B84" s="8" t="s">
        <v>126</v>
      </c>
      <c r="C84" s="8" t="s">
        <v>371</v>
      </c>
    </row>
    <row r="85">
      <c r="A85" s="53" t="s">
        <v>308</v>
      </c>
      <c r="B85" s="8" t="s">
        <v>308</v>
      </c>
      <c r="C85" s="8" t="s">
        <v>371</v>
      </c>
    </row>
    <row r="86">
      <c r="A86" s="53" t="s">
        <v>599</v>
      </c>
      <c r="B86" s="8" t="s">
        <v>600</v>
      </c>
      <c r="C86" s="8" t="s">
        <v>371</v>
      </c>
    </row>
    <row r="87">
      <c r="A87" s="53" t="s">
        <v>106</v>
      </c>
      <c r="B87" s="8" t="s">
        <v>106</v>
      </c>
      <c r="C87" s="8" t="s">
        <v>594</v>
      </c>
    </row>
    <row r="88">
      <c r="A88" s="53" t="s">
        <v>601</v>
      </c>
      <c r="B88" s="8" t="s">
        <v>104</v>
      </c>
      <c r="C88" s="8" t="s">
        <v>371</v>
      </c>
    </row>
    <row r="89">
      <c r="A89" s="53" t="s">
        <v>603</v>
      </c>
      <c r="B89" s="8" t="s">
        <v>604</v>
      </c>
      <c r="C89" s="8" t="s">
        <v>371</v>
      </c>
    </row>
    <row r="90">
      <c r="A90" s="53" t="s">
        <v>605</v>
      </c>
      <c r="B90" s="8" t="s">
        <v>117</v>
      </c>
      <c r="C90" s="8" t="s">
        <v>371</v>
      </c>
    </row>
    <row r="91">
      <c r="A91" s="53" t="s">
        <v>607</v>
      </c>
      <c r="B91" s="8" t="s">
        <v>104</v>
      </c>
      <c r="C91" s="8" t="s">
        <v>371</v>
      </c>
    </row>
    <row r="92">
      <c r="A92" s="53" t="s">
        <v>136</v>
      </c>
      <c r="B92" s="8" t="s">
        <v>136</v>
      </c>
      <c r="C92" s="8" t="s">
        <v>613</v>
      </c>
    </row>
    <row r="93">
      <c r="A93" s="53" t="s">
        <v>614</v>
      </c>
      <c r="B93" s="8" t="s">
        <v>87</v>
      </c>
      <c r="C93" s="8" t="s">
        <v>379</v>
      </c>
    </row>
    <row r="94">
      <c r="A94" s="53" t="s">
        <v>99</v>
      </c>
      <c r="B94" s="8" t="s">
        <v>99</v>
      </c>
      <c r="C94" s="8" t="s">
        <v>616</v>
      </c>
    </row>
    <row r="95">
      <c r="A95" s="53" t="s">
        <v>102</v>
      </c>
      <c r="B95" s="8" t="s">
        <v>102</v>
      </c>
      <c r="C95" s="8" t="s">
        <v>618</v>
      </c>
    </row>
    <row r="96">
      <c r="A96" s="53" t="s">
        <v>619</v>
      </c>
      <c r="B96" s="8" t="s">
        <v>84</v>
      </c>
      <c r="C96" s="8" t="s">
        <v>379</v>
      </c>
    </row>
    <row r="97">
      <c r="A97" s="53" t="s">
        <v>620</v>
      </c>
      <c r="B97" s="8" t="s">
        <v>415</v>
      </c>
      <c r="C97" s="8" t="s">
        <v>379</v>
      </c>
    </row>
    <row r="98">
      <c r="A98" s="53" t="s">
        <v>621</v>
      </c>
      <c r="B98" s="8" t="s">
        <v>84</v>
      </c>
      <c r="C98" s="8" t="s">
        <v>379</v>
      </c>
    </row>
    <row r="99">
      <c r="A99" s="53" t="s">
        <v>623</v>
      </c>
      <c r="B99" s="8" t="s">
        <v>423</v>
      </c>
      <c r="C99" s="8" t="s">
        <v>394</v>
      </c>
    </row>
    <row r="100">
      <c r="A100" s="53" t="s">
        <v>624</v>
      </c>
      <c r="B100" s="8" t="s">
        <v>404</v>
      </c>
      <c r="C100" s="8" t="s">
        <v>394</v>
      </c>
    </row>
    <row r="101">
      <c r="A101" s="53" t="s">
        <v>629</v>
      </c>
      <c r="B101" s="8" t="s">
        <v>630</v>
      </c>
      <c r="C101" s="8" t="s">
        <v>394</v>
      </c>
    </row>
    <row r="102">
      <c r="A102" s="53" t="s">
        <v>632</v>
      </c>
      <c r="B102" s="8" t="s">
        <v>87</v>
      </c>
      <c r="C102" s="8" t="s">
        <v>633</v>
      </c>
    </row>
    <row r="103">
      <c r="A103" s="53" t="s">
        <v>636</v>
      </c>
      <c r="B103" s="8" t="s">
        <v>84</v>
      </c>
      <c r="C103" s="8" t="s">
        <v>633</v>
      </c>
    </row>
    <row r="104">
      <c r="A104" s="53" t="s">
        <v>637</v>
      </c>
      <c r="B104" s="8" t="s">
        <v>104</v>
      </c>
      <c r="C104" s="8" t="s">
        <v>633</v>
      </c>
    </row>
    <row r="105">
      <c r="A105" s="53" t="s">
        <v>639</v>
      </c>
      <c r="B105" s="8" t="s">
        <v>639</v>
      </c>
      <c r="C105" s="8" t="s">
        <v>633</v>
      </c>
    </row>
    <row r="106">
      <c r="A106" s="53" t="s">
        <v>640</v>
      </c>
      <c r="B106" s="8" t="s">
        <v>99</v>
      </c>
      <c r="C106" s="8" t="s">
        <v>633</v>
      </c>
    </row>
    <row r="107">
      <c r="A107" s="53" t="s">
        <v>641</v>
      </c>
      <c r="B107" s="8" t="s">
        <v>415</v>
      </c>
      <c r="C107" s="8" t="s">
        <v>633</v>
      </c>
    </row>
    <row r="108">
      <c r="A108" s="53" t="s">
        <v>642</v>
      </c>
      <c r="B108" s="8" t="s">
        <v>548</v>
      </c>
      <c r="C108" s="8" t="s">
        <v>442</v>
      </c>
    </row>
    <row r="109">
      <c r="A109" s="53" t="s">
        <v>550</v>
      </c>
      <c r="B109" s="8" t="s">
        <v>550</v>
      </c>
      <c r="C109" s="8" t="s">
        <v>442</v>
      </c>
    </row>
    <row r="110">
      <c r="A110" s="53" t="s">
        <v>643</v>
      </c>
      <c r="B110" s="8" t="s">
        <v>644</v>
      </c>
      <c r="C110" s="8" t="s">
        <v>442</v>
      </c>
    </row>
    <row r="111">
      <c r="A111" s="53" t="s">
        <v>645</v>
      </c>
      <c r="B111" s="8" t="s">
        <v>492</v>
      </c>
      <c r="C111" s="8" t="s">
        <v>646</v>
      </c>
    </row>
    <row r="112">
      <c r="A112" s="53" t="s">
        <v>327</v>
      </c>
      <c r="B112" s="8" t="s">
        <v>327</v>
      </c>
      <c r="C112" s="8" t="s">
        <v>606</v>
      </c>
    </row>
    <row r="113">
      <c r="A113" s="53" t="s">
        <v>654</v>
      </c>
      <c r="B113" s="8" t="s">
        <v>654</v>
      </c>
      <c r="C113" s="8" t="s">
        <v>606</v>
      </c>
    </row>
    <row r="114">
      <c r="A114" s="53" t="s">
        <v>657</v>
      </c>
      <c r="B114" s="8" t="s">
        <v>415</v>
      </c>
      <c r="C114" s="8" t="s">
        <v>647</v>
      </c>
    </row>
    <row r="115">
      <c r="A115" s="53" t="s">
        <v>658</v>
      </c>
      <c r="B115" s="8" t="s">
        <v>106</v>
      </c>
      <c r="C115" s="8" t="s">
        <v>659</v>
      </c>
    </row>
    <row r="116">
      <c r="A116" s="53" t="s">
        <v>660</v>
      </c>
      <c r="B116" s="8" t="s">
        <v>416</v>
      </c>
      <c r="C116" s="8" t="s">
        <v>661</v>
      </c>
    </row>
    <row r="117">
      <c r="A117" s="53" t="s">
        <v>662</v>
      </c>
      <c r="B117" s="8" t="s">
        <v>663</v>
      </c>
      <c r="C117" s="8" t="s">
        <v>661</v>
      </c>
    </row>
    <row r="118">
      <c r="A118" s="53" t="s">
        <v>664</v>
      </c>
      <c r="B118" s="8" t="s">
        <v>665</v>
      </c>
      <c r="C118" s="8" t="s">
        <v>661</v>
      </c>
    </row>
    <row r="119">
      <c r="A119" s="53" t="s">
        <v>666</v>
      </c>
      <c r="B119" s="8" t="s">
        <v>104</v>
      </c>
      <c r="C119" s="8" t="s">
        <v>661</v>
      </c>
    </row>
    <row r="120">
      <c r="A120" s="53" t="s">
        <v>667</v>
      </c>
      <c r="B120" s="8" t="s">
        <v>125</v>
      </c>
      <c r="C120" s="8" t="s">
        <v>661</v>
      </c>
    </row>
    <row r="121">
      <c r="A121" s="53" t="s">
        <v>668</v>
      </c>
      <c r="B121" s="8" t="s">
        <v>669</v>
      </c>
      <c r="C121" s="8" t="s">
        <v>661</v>
      </c>
    </row>
    <row r="122">
      <c r="A122" s="53" t="s">
        <v>671</v>
      </c>
      <c r="B122" s="8" t="s">
        <v>416</v>
      </c>
      <c r="C122" s="8" t="s">
        <v>661</v>
      </c>
    </row>
    <row r="123">
      <c r="A123" s="53" t="s">
        <v>673</v>
      </c>
      <c r="B123" s="8" t="s">
        <v>126</v>
      </c>
      <c r="C123" s="8" t="s">
        <v>661</v>
      </c>
    </row>
    <row r="124">
      <c r="A124" s="53" t="s">
        <v>675</v>
      </c>
      <c r="B124" s="8" t="s">
        <v>676</v>
      </c>
      <c r="C124" s="8" t="s">
        <v>661</v>
      </c>
    </row>
    <row r="125">
      <c r="A125" s="53" t="s">
        <v>677</v>
      </c>
      <c r="B125" s="8" t="s">
        <v>416</v>
      </c>
      <c r="C125" s="8" t="s">
        <v>661</v>
      </c>
    </row>
    <row r="126">
      <c r="A126" s="53" t="s">
        <v>678</v>
      </c>
      <c r="B126" s="8" t="s">
        <v>125</v>
      </c>
      <c r="C126" s="8" t="s">
        <v>661</v>
      </c>
    </row>
    <row r="127">
      <c r="A127" s="53" t="s">
        <v>680</v>
      </c>
      <c r="B127" s="8" t="s">
        <v>680</v>
      </c>
      <c r="C127" s="8" t="s">
        <v>661</v>
      </c>
    </row>
    <row r="128">
      <c r="A128" s="53" t="s">
        <v>507</v>
      </c>
      <c r="B128" s="8" t="s">
        <v>507</v>
      </c>
      <c r="C128" s="8" t="s">
        <v>661</v>
      </c>
    </row>
    <row r="129">
      <c r="A129" s="53" t="s">
        <v>681</v>
      </c>
      <c r="B129" s="8" t="s">
        <v>682</v>
      </c>
      <c r="C129" s="8" t="s">
        <v>661</v>
      </c>
    </row>
    <row r="130">
      <c r="A130" s="53" t="s">
        <v>683</v>
      </c>
      <c r="B130" s="8" t="s">
        <v>125</v>
      </c>
      <c r="C130" s="8" t="s">
        <v>661</v>
      </c>
    </row>
    <row r="131">
      <c r="A131" s="53" t="s">
        <v>684</v>
      </c>
      <c r="B131" s="8" t="s">
        <v>685</v>
      </c>
      <c r="C131" s="8" t="s">
        <v>661</v>
      </c>
    </row>
    <row r="132">
      <c r="A132" s="53" t="s">
        <v>686</v>
      </c>
      <c r="B132" s="8" t="s">
        <v>104</v>
      </c>
      <c r="C132" s="8" t="s">
        <v>661</v>
      </c>
    </row>
    <row r="133">
      <c r="A133" s="53" t="s">
        <v>687</v>
      </c>
      <c r="B133" s="8" t="s">
        <v>416</v>
      </c>
      <c r="C133" s="8" t="s">
        <v>661</v>
      </c>
    </row>
    <row r="134">
      <c r="A134" s="53" t="s">
        <v>689</v>
      </c>
      <c r="B134" s="8" t="s">
        <v>125</v>
      </c>
      <c r="C134" s="8" t="s">
        <v>661</v>
      </c>
    </row>
    <row r="135">
      <c r="A135" s="53" t="s">
        <v>693</v>
      </c>
      <c r="B135" s="8" t="s">
        <v>416</v>
      </c>
      <c r="C135" s="8" t="s">
        <v>661</v>
      </c>
    </row>
    <row r="136">
      <c r="A136" s="53" t="s">
        <v>694</v>
      </c>
      <c r="B136" s="8" t="s">
        <v>104</v>
      </c>
      <c r="C136" s="8" t="s">
        <v>661</v>
      </c>
    </row>
    <row r="137">
      <c r="A137" s="53" t="s">
        <v>695</v>
      </c>
      <c r="B137" s="53" t="s">
        <v>695</v>
      </c>
      <c r="C137" s="8" t="s">
        <v>661</v>
      </c>
    </row>
    <row r="138">
      <c r="A138" s="53" t="s">
        <v>164</v>
      </c>
      <c r="B138" s="8" t="s">
        <v>164</v>
      </c>
      <c r="C138" s="8" t="s">
        <v>661</v>
      </c>
    </row>
    <row r="139">
      <c r="A139" s="53" t="s">
        <v>700</v>
      </c>
      <c r="B139" s="8" t="s">
        <v>104</v>
      </c>
      <c r="C139" s="8" t="s">
        <v>661</v>
      </c>
    </row>
    <row r="140">
      <c r="A140" s="53" t="s">
        <v>117</v>
      </c>
      <c r="B140" s="8" t="s">
        <v>117</v>
      </c>
      <c r="C140" s="8" t="s">
        <v>661</v>
      </c>
    </row>
    <row r="141">
      <c r="A141" s="53" t="s">
        <v>701</v>
      </c>
      <c r="B141" s="8" t="s">
        <v>125</v>
      </c>
      <c r="C141" s="8" t="s">
        <v>661</v>
      </c>
    </row>
    <row r="142">
      <c r="A142" s="53" t="s">
        <v>704</v>
      </c>
      <c r="B142" s="8" t="s">
        <v>125</v>
      </c>
      <c r="C142" s="8" t="s">
        <v>661</v>
      </c>
    </row>
    <row r="143">
      <c r="A143" s="53" t="s">
        <v>705</v>
      </c>
      <c r="B143" s="8" t="s">
        <v>125</v>
      </c>
      <c r="C143" s="8" t="s">
        <v>661</v>
      </c>
    </row>
    <row r="144">
      <c r="A144" s="53" t="s">
        <v>710</v>
      </c>
      <c r="B144" s="8" t="s">
        <v>416</v>
      </c>
      <c r="C144" s="8" t="s">
        <v>661</v>
      </c>
    </row>
    <row r="145">
      <c r="A145" s="53" t="s">
        <v>716</v>
      </c>
      <c r="B145" s="8" t="s">
        <v>126</v>
      </c>
      <c r="C145" s="8" t="s">
        <v>661</v>
      </c>
    </row>
    <row r="146">
      <c r="A146" s="53" t="s">
        <v>719</v>
      </c>
      <c r="B146" s="8" t="s">
        <v>104</v>
      </c>
      <c r="C146" s="8" t="s">
        <v>661</v>
      </c>
    </row>
    <row r="147">
      <c r="A147" s="53" t="s">
        <v>720</v>
      </c>
      <c r="B147" s="8" t="s">
        <v>87</v>
      </c>
      <c r="C147" s="8" t="s">
        <v>707</v>
      </c>
    </row>
    <row r="148">
      <c r="A148" s="53" t="s">
        <v>722</v>
      </c>
      <c r="B148" s="8" t="s">
        <v>409</v>
      </c>
      <c r="C148" s="8" t="s">
        <v>707</v>
      </c>
    </row>
    <row r="149">
      <c r="A149" s="53" t="s">
        <v>724</v>
      </c>
      <c r="B149" s="8" t="s">
        <v>725</v>
      </c>
      <c r="C149" s="8" t="s">
        <v>707</v>
      </c>
    </row>
    <row r="150">
      <c r="A150" s="53" t="s">
        <v>727</v>
      </c>
      <c r="B150" s="8" t="s">
        <v>84</v>
      </c>
      <c r="C150" s="8" t="s">
        <v>707</v>
      </c>
    </row>
    <row r="151">
      <c r="A151" s="53" t="s">
        <v>728</v>
      </c>
      <c r="B151" s="8" t="s">
        <v>404</v>
      </c>
      <c r="C151" s="8" t="s">
        <v>707</v>
      </c>
    </row>
    <row r="152">
      <c r="A152" s="53" t="s">
        <v>729</v>
      </c>
      <c r="B152" s="8" t="s">
        <v>423</v>
      </c>
      <c r="C152" s="8" t="s">
        <v>707</v>
      </c>
    </row>
    <row r="153">
      <c r="A153" s="53" t="s">
        <v>730</v>
      </c>
      <c r="B153" s="8" t="s">
        <v>136</v>
      </c>
      <c r="C153" s="8" t="s">
        <v>731</v>
      </c>
    </row>
    <row r="154">
      <c r="A154" s="53" t="s">
        <v>732</v>
      </c>
      <c r="B154" s="8" t="s">
        <v>116</v>
      </c>
      <c r="C154" s="8" t="s">
        <v>731</v>
      </c>
    </row>
    <row r="155">
      <c r="A155" s="53" t="s">
        <v>735</v>
      </c>
      <c r="B155" s="8" t="s">
        <v>125</v>
      </c>
      <c r="C155" s="8" t="s">
        <v>731</v>
      </c>
    </row>
    <row r="156">
      <c r="A156" s="53" t="s">
        <v>737</v>
      </c>
      <c r="B156" s="8" t="s">
        <v>131</v>
      </c>
      <c r="C156" s="8" t="s">
        <v>731</v>
      </c>
    </row>
    <row r="157">
      <c r="A157" s="53" t="s">
        <v>739</v>
      </c>
      <c r="B157" s="8" t="s">
        <v>126</v>
      </c>
      <c r="C157" s="8" t="s">
        <v>731</v>
      </c>
    </row>
    <row r="158">
      <c r="A158" s="53" t="s">
        <v>740</v>
      </c>
      <c r="B158" s="8" t="s">
        <v>102</v>
      </c>
      <c r="C158" s="8" t="s">
        <v>731</v>
      </c>
    </row>
    <row r="159">
      <c r="A159" s="53" t="s">
        <v>743</v>
      </c>
      <c r="B159" s="8" t="s">
        <v>117</v>
      </c>
      <c r="C159" s="8" t="s">
        <v>731</v>
      </c>
    </row>
    <row r="160">
      <c r="A160" s="53" t="s">
        <v>745</v>
      </c>
      <c r="B160" s="8" t="s">
        <v>329</v>
      </c>
      <c r="C160" s="8" t="s">
        <v>731</v>
      </c>
    </row>
    <row r="161">
      <c r="A161" s="53" t="s">
        <v>748</v>
      </c>
      <c r="B161" s="8" t="s">
        <v>749</v>
      </c>
      <c r="C161" s="8" t="s">
        <v>731</v>
      </c>
    </row>
    <row r="162">
      <c r="A162" s="53" t="s">
        <v>755</v>
      </c>
      <c r="B162" s="8" t="s">
        <v>756</v>
      </c>
      <c r="C162" s="8" t="s">
        <v>731</v>
      </c>
    </row>
    <row r="163">
      <c r="A163" s="53" t="s">
        <v>759</v>
      </c>
      <c r="B163" s="8" t="s">
        <v>106</v>
      </c>
      <c r="C163" s="8" t="s">
        <v>731</v>
      </c>
    </row>
    <row r="164">
      <c r="A164" s="53" t="s">
        <v>760</v>
      </c>
      <c r="B164" s="8" t="s">
        <v>492</v>
      </c>
      <c r="C164" s="8" t="s">
        <v>731</v>
      </c>
    </row>
    <row r="165">
      <c r="A165" s="53" t="s">
        <v>763</v>
      </c>
      <c r="B165" s="8" t="s">
        <v>117</v>
      </c>
      <c r="C165" s="8" t="s">
        <v>731</v>
      </c>
    </row>
    <row r="166">
      <c r="A166" s="53" t="s">
        <v>766</v>
      </c>
      <c r="B166" s="8" t="s">
        <v>160</v>
      </c>
      <c r="C166" s="8" t="s">
        <v>731</v>
      </c>
    </row>
    <row r="167">
      <c r="A167" s="53" t="s">
        <v>768</v>
      </c>
      <c r="B167" s="8" t="s">
        <v>84</v>
      </c>
      <c r="C167" s="8" t="s">
        <v>769</v>
      </c>
    </row>
    <row r="168">
      <c r="A168" s="53" t="s">
        <v>770</v>
      </c>
      <c r="B168" s="8" t="s">
        <v>84</v>
      </c>
      <c r="C168" s="8" t="s">
        <v>769</v>
      </c>
    </row>
    <row r="169">
      <c r="A169" s="53" t="s">
        <v>772</v>
      </c>
      <c r="B169" s="8" t="s">
        <v>87</v>
      </c>
      <c r="C169" s="8" t="s">
        <v>769</v>
      </c>
    </row>
    <row r="170">
      <c r="A170" s="53" t="s">
        <v>775</v>
      </c>
      <c r="B170" s="8" t="s">
        <v>99</v>
      </c>
      <c r="C170" s="8" t="s">
        <v>769</v>
      </c>
    </row>
    <row r="171">
      <c r="A171" s="53" t="s">
        <v>776</v>
      </c>
      <c r="B171" s="8" t="s">
        <v>104</v>
      </c>
      <c r="C171" s="8" t="s">
        <v>769</v>
      </c>
    </row>
    <row r="172">
      <c r="A172" s="55"/>
    </row>
    <row r="173">
      <c r="A173" s="55"/>
    </row>
    <row r="174">
      <c r="A174" s="55"/>
    </row>
    <row r="175">
      <c r="A175" s="55"/>
    </row>
    <row r="176">
      <c r="A176" s="55"/>
    </row>
    <row r="177">
      <c r="A177" s="55"/>
    </row>
    <row r="178">
      <c r="A178" s="55"/>
    </row>
    <row r="179">
      <c r="A179" s="55"/>
    </row>
    <row r="180">
      <c r="A180" s="55"/>
    </row>
    <row r="181">
      <c r="A181" s="55"/>
    </row>
    <row r="182">
      <c r="A182" s="55"/>
    </row>
    <row r="183">
      <c r="A183" s="55"/>
    </row>
    <row r="184">
      <c r="A184" s="55"/>
    </row>
    <row r="185">
      <c r="A185" s="55"/>
    </row>
    <row r="186">
      <c r="A186" s="55"/>
    </row>
    <row r="187">
      <c r="A187" s="55"/>
    </row>
    <row r="188">
      <c r="A188" s="55"/>
    </row>
    <row r="189">
      <c r="A189" s="55"/>
    </row>
    <row r="190">
      <c r="A190" s="55"/>
    </row>
    <row r="191">
      <c r="A191" s="55"/>
    </row>
    <row r="192">
      <c r="A192" s="55"/>
    </row>
    <row r="193">
      <c r="A193" s="55"/>
    </row>
    <row r="194">
      <c r="A194" s="55"/>
    </row>
    <row r="195">
      <c r="A195" s="55"/>
    </row>
    <row r="196">
      <c r="A196" s="55"/>
    </row>
    <row r="197">
      <c r="A197" s="55"/>
    </row>
    <row r="198">
      <c r="A198" s="55"/>
    </row>
    <row r="199">
      <c r="A199" s="55"/>
    </row>
    <row r="200">
      <c r="A200" s="55"/>
    </row>
    <row r="201">
      <c r="A201" s="55"/>
    </row>
    <row r="202">
      <c r="A202" s="55"/>
    </row>
    <row r="203">
      <c r="A203" s="55"/>
    </row>
    <row r="204">
      <c r="A204" s="55"/>
    </row>
    <row r="205">
      <c r="A205" s="55"/>
    </row>
    <row r="206">
      <c r="A206" s="55"/>
    </row>
    <row r="207">
      <c r="A207" s="55"/>
    </row>
    <row r="208">
      <c r="A208" s="55"/>
    </row>
    <row r="209">
      <c r="A209" s="55"/>
    </row>
    <row r="210">
      <c r="A210" s="55"/>
    </row>
    <row r="211">
      <c r="A211" s="55"/>
    </row>
    <row r="212">
      <c r="A212" s="55"/>
    </row>
    <row r="213">
      <c r="A213" s="55"/>
    </row>
    <row r="214">
      <c r="A214" s="55"/>
    </row>
    <row r="215">
      <c r="A215" s="55"/>
    </row>
    <row r="216">
      <c r="A216" s="55"/>
    </row>
    <row r="217">
      <c r="A217" s="55"/>
    </row>
    <row r="218">
      <c r="A218" s="55"/>
    </row>
    <row r="219">
      <c r="A219" s="55"/>
    </row>
    <row r="220">
      <c r="A220" s="55"/>
    </row>
    <row r="221">
      <c r="A221" s="55"/>
    </row>
    <row r="222">
      <c r="A222" s="55"/>
    </row>
    <row r="223">
      <c r="A223" s="55"/>
    </row>
    <row r="224">
      <c r="A224" s="55"/>
    </row>
    <row r="225">
      <c r="A225" s="55"/>
    </row>
    <row r="226">
      <c r="A226" s="55"/>
    </row>
    <row r="227">
      <c r="A227" s="55"/>
    </row>
    <row r="228">
      <c r="A228" s="55"/>
    </row>
    <row r="229">
      <c r="A229" s="55"/>
    </row>
    <row r="230">
      <c r="A230" s="55"/>
    </row>
    <row r="231">
      <c r="A231" s="55"/>
    </row>
    <row r="232">
      <c r="A232" s="55"/>
    </row>
    <row r="233">
      <c r="A233" s="55"/>
    </row>
    <row r="234">
      <c r="A234" s="55"/>
    </row>
    <row r="235">
      <c r="A235" s="55"/>
    </row>
    <row r="236">
      <c r="A236" s="55"/>
    </row>
    <row r="237">
      <c r="A237" s="55"/>
    </row>
    <row r="238">
      <c r="A238" s="55"/>
    </row>
    <row r="239">
      <c r="A239" s="55"/>
    </row>
    <row r="240">
      <c r="A240" s="55"/>
    </row>
    <row r="241">
      <c r="A241" s="55"/>
    </row>
    <row r="242">
      <c r="A242" s="55"/>
    </row>
    <row r="243">
      <c r="A243" s="55"/>
    </row>
    <row r="244">
      <c r="A244" s="55"/>
    </row>
    <row r="245">
      <c r="A245" s="55"/>
    </row>
    <row r="246">
      <c r="A246" s="55"/>
    </row>
    <row r="247">
      <c r="A247" s="55"/>
    </row>
    <row r="248">
      <c r="A248" s="55"/>
    </row>
    <row r="249">
      <c r="A249" s="55"/>
    </row>
    <row r="250">
      <c r="A250" s="55"/>
    </row>
    <row r="251">
      <c r="A251" s="55"/>
    </row>
    <row r="252">
      <c r="A252" s="55"/>
    </row>
    <row r="253">
      <c r="A253" s="55"/>
    </row>
    <row r="254">
      <c r="A254" s="55"/>
    </row>
    <row r="255">
      <c r="A255" s="55"/>
    </row>
    <row r="256">
      <c r="A256" s="55"/>
    </row>
    <row r="257">
      <c r="A257" s="55"/>
    </row>
    <row r="258">
      <c r="A258" s="55"/>
    </row>
    <row r="259">
      <c r="A259" s="55"/>
    </row>
    <row r="260">
      <c r="A260" s="55"/>
    </row>
    <row r="261">
      <c r="A261" s="55"/>
    </row>
    <row r="262">
      <c r="A262" s="55"/>
    </row>
    <row r="263">
      <c r="A263" s="55"/>
    </row>
    <row r="264">
      <c r="A264" s="55"/>
    </row>
    <row r="265">
      <c r="A265" s="55"/>
    </row>
    <row r="266">
      <c r="A266" s="55"/>
    </row>
    <row r="267">
      <c r="A267" s="55"/>
    </row>
    <row r="268">
      <c r="A268" s="55"/>
    </row>
    <row r="269">
      <c r="A269" s="55"/>
    </row>
    <row r="270">
      <c r="A270" s="55"/>
    </row>
    <row r="271">
      <c r="A271" s="55"/>
    </row>
    <row r="272">
      <c r="A272" s="55"/>
    </row>
    <row r="273">
      <c r="A273" s="55"/>
    </row>
    <row r="274">
      <c r="A274" s="55"/>
    </row>
    <row r="275">
      <c r="A275" s="55"/>
    </row>
    <row r="276">
      <c r="A276" s="55"/>
    </row>
    <row r="277">
      <c r="A277" s="55"/>
    </row>
    <row r="278">
      <c r="A278" s="55"/>
    </row>
    <row r="279">
      <c r="A279" s="55"/>
    </row>
    <row r="280">
      <c r="A280" s="55"/>
    </row>
    <row r="281">
      <c r="A281" s="55"/>
    </row>
    <row r="282">
      <c r="A282" s="55"/>
    </row>
    <row r="283">
      <c r="A283" s="55"/>
    </row>
    <row r="284">
      <c r="A284" s="55"/>
    </row>
    <row r="285">
      <c r="A285" s="55"/>
    </row>
    <row r="286">
      <c r="A286" s="55"/>
    </row>
    <row r="287">
      <c r="A287" s="55"/>
    </row>
    <row r="288">
      <c r="A288" s="55"/>
    </row>
    <row r="289">
      <c r="A289" s="55"/>
    </row>
    <row r="290">
      <c r="A290" s="55"/>
    </row>
    <row r="291">
      <c r="A291" s="55"/>
    </row>
    <row r="292">
      <c r="A292" s="55"/>
    </row>
    <row r="293">
      <c r="A293" s="55"/>
    </row>
    <row r="294">
      <c r="A294" s="55"/>
    </row>
    <row r="295">
      <c r="A295" s="55"/>
    </row>
    <row r="296">
      <c r="A296" s="55"/>
    </row>
    <row r="297">
      <c r="A297" s="55"/>
    </row>
    <row r="298">
      <c r="A298" s="55"/>
    </row>
    <row r="299">
      <c r="A299" s="55"/>
    </row>
    <row r="300">
      <c r="A300" s="55"/>
    </row>
    <row r="301">
      <c r="A301" s="55"/>
    </row>
    <row r="302">
      <c r="A302" s="55"/>
    </row>
    <row r="303">
      <c r="A303" s="55"/>
    </row>
    <row r="304">
      <c r="A304" s="55"/>
    </row>
    <row r="305">
      <c r="A305" s="55"/>
    </row>
    <row r="306">
      <c r="A306" s="55"/>
    </row>
    <row r="307">
      <c r="A307" s="55"/>
    </row>
    <row r="308">
      <c r="A308" s="55"/>
    </row>
    <row r="309">
      <c r="A309" s="55"/>
    </row>
    <row r="310">
      <c r="A310" s="55"/>
    </row>
    <row r="311">
      <c r="A311" s="55"/>
    </row>
    <row r="312">
      <c r="A312" s="55"/>
    </row>
    <row r="313">
      <c r="A313" s="55"/>
    </row>
    <row r="314">
      <c r="A314" s="55"/>
    </row>
    <row r="315">
      <c r="A315" s="55"/>
    </row>
    <row r="316">
      <c r="A316" s="55"/>
    </row>
    <row r="317">
      <c r="A317" s="55"/>
    </row>
    <row r="318">
      <c r="A318" s="55"/>
    </row>
    <row r="319">
      <c r="A319" s="55"/>
    </row>
    <row r="320">
      <c r="A320" s="55"/>
    </row>
    <row r="321">
      <c r="A321" s="55"/>
    </row>
    <row r="322">
      <c r="A322" s="55"/>
    </row>
    <row r="323">
      <c r="A323" s="55"/>
    </row>
    <row r="324">
      <c r="A324" s="55"/>
    </row>
    <row r="325">
      <c r="A325" s="55"/>
    </row>
    <row r="326">
      <c r="A326" s="55"/>
    </row>
    <row r="327">
      <c r="A327" s="55"/>
    </row>
    <row r="328">
      <c r="A328" s="55"/>
    </row>
    <row r="329">
      <c r="A329" s="55"/>
    </row>
    <row r="330">
      <c r="A330" s="55"/>
    </row>
    <row r="331">
      <c r="A331" s="55"/>
    </row>
    <row r="332">
      <c r="A332" s="55"/>
    </row>
    <row r="333">
      <c r="A333" s="55"/>
    </row>
    <row r="334">
      <c r="A334" s="55"/>
    </row>
    <row r="335">
      <c r="A335" s="55"/>
    </row>
    <row r="336">
      <c r="A336" s="55"/>
    </row>
    <row r="337">
      <c r="A337" s="55"/>
    </row>
    <row r="338">
      <c r="A338" s="55"/>
    </row>
    <row r="339">
      <c r="A339" s="55"/>
    </row>
    <row r="340">
      <c r="A340" s="55"/>
    </row>
    <row r="341">
      <c r="A341" s="55"/>
    </row>
    <row r="342">
      <c r="A342" s="55"/>
    </row>
    <row r="343">
      <c r="A343" s="55"/>
    </row>
    <row r="344">
      <c r="A344" s="55"/>
    </row>
    <row r="345">
      <c r="A345" s="55"/>
    </row>
    <row r="346">
      <c r="A346" s="55"/>
    </row>
    <row r="347">
      <c r="A347" s="55"/>
    </row>
    <row r="348">
      <c r="A348" s="55"/>
    </row>
    <row r="349">
      <c r="A349" s="55"/>
    </row>
    <row r="350">
      <c r="A350" s="55"/>
    </row>
    <row r="351">
      <c r="A351" s="55"/>
    </row>
    <row r="352">
      <c r="A352" s="55"/>
    </row>
    <row r="353">
      <c r="A353" s="55"/>
    </row>
    <row r="354">
      <c r="A354" s="55"/>
    </row>
    <row r="355">
      <c r="A355" s="55"/>
    </row>
    <row r="356">
      <c r="A356" s="55"/>
    </row>
    <row r="357">
      <c r="A357" s="55"/>
    </row>
    <row r="358">
      <c r="A358" s="55"/>
    </row>
    <row r="359">
      <c r="A359" s="55"/>
    </row>
    <row r="360">
      <c r="A360" s="55"/>
    </row>
    <row r="361">
      <c r="A361" s="55"/>
    </row>
    <row r="362">
      <c r="A362" s="55"/>
    </row>
    <row r="363">
      <c r="A363" s="55"/>
    </row>
    <row r="364">
      <c r="A364" s="55"/>
    </row>
    <row r="365">
      <c r="A365" s="55"/>
    </row>
    <row r="366">
      <c r="A366" s="55"/>
    </row>
    <row r="367">
      <c r="A367" s="55"/>
    </row>
    <row r="368">
      <c r="A368" s="55"/>
    </row>
    <row r="369">
      <c r="A369" s="55"/>
    </row>
    <row r="370">
      <c r="A370" s="55"/>
    </row>
    <row r="371">
      <c r="A371" s="55"/>
    </row>
    <row r="372">
      <c r="A372" s="55"/>
    </row>
    <row r="373">
      <c r="A373" s="55"/>
    </row>
    <row r="374">
      <c r="A374" s="55"/>
    </row>
    <row r="375">
      <c r="A375" s="55"/>
    </row>
    <row r="376">
      <c r="A376" s="55"/>
    </row>
    <row r="377">
      <c r="A377" s="55"/>
    </row>
    <row r="378">
      <c r="A378" s="55"/>
    </row>
    <row r="379">
      <c r="A379" s="55"/>
    </row>
    <row r="380">
      <c r="A380" s="55"/>
    </row>
    <row r="381">
      <c r="A381" s="55"/>
    </row>
    <row r="382">
      <c r="A382" s="55"/>
    </row>
    <row r="383">
      <c r="A383" s="55"/>
    </row>
    <row r="384">
      <c r="A384" s="55"/>
    </row>
    <row r="385">
      <c r="A385" s="55"/>
    </row>
    <row r="386">
      <c r="A386" s="55"/>
    </row>
    <row r="387">
      <c r="A387" s="55"/>
    </row>
    <row r="388">
      <c r="A388" s="55"/>
    </row>
    <row r="389">
      <c r="A389" s="55"/>
    </row>
    <row r="390">
      <c r="A390" s="55"/>
    </row>
    <row r="391">
      <c r="A391" s="55"/>
    </row>
    <row r="392">
      <c r="A392" s="55"/>
    </row>
    <row r="393">
      <c r="A393" s="55"/>
    </row>
    <row r="394">
      <c r="A394" s="55"/>
    </row>
    <row r="395">
      <c r="A395" s="55"/>
    </row>
    <row r="396">
      <c r="A396" s="55"/>
    </row>
    <row r="397">
      <c r="A397" s="55"/>
    </row>
    <row r="398">
      <c r="A398" s="55"/>
    </row>
    <row r="399">
      <c r="A399" s="55"/>
    </row>
    <row r="400">
      <c r="A400" s="55"/>
    </row>
    <row r="401">
      <c r="A401" s="55"/>
    </row>
    <row r="402">
      <c r="A402" s="55"/>
    </row>
    <row r="403">
      <c r="A403" s="55"/>
    </row>
    <row r="404">
      <c r="A404" s="55"/>
    </row>
    <row r="405">
      <c r="A405" s="55"/>
    </row>
    <row r="406">
      <c r="A406" s="55"/>
    </row>
    <row r="407">
      <c r="A407" s="55"/>
    </row>
    <row r="408">
      <c r="A408" s="55"/>
    </row>
    <row r="409">
      <c r="A409" s="55"/>
    </row>
    <row r="410">
      <c r="A410" s="55"/>
    </row>
    <row r="411">
      <c r="A411" s="55"/>
    </row>
    <row r="412">
      <c r="A412" s="55"/>
    </row>
    <row r="413">
      <c r="A413" s="55"/>
    </row>
    <row r="414">
      <c r="A414" s="55"/>
    </row>
    <row r="415">
      <c r="A415" s="55"/>
    </row>
    <row r="416">
      <c r="A416" s="55"/>
    </row>
    <row r="417">
      <c r="A417" s="55"/>
    </row>
    <row r="418">
      <c r="A418" s="55"/>
    </row>
    <row r="419">
      <c r="A419" s="55"/>
    </row>
    <row r="420">
      <c r="A420" s="55"/>
    </row>
    <row r="421">
      <c r="A421" s="55"/>
    </row>
    <row r="422">
      <c r="A422" s="55"/>
    </row>
    <row r="423">
      <c r="A423" s="55"/>
    </row>
    <row r="424">
      <c r="A424" s="55"/>
    </row>
    <row r="425">
      <c r="A425" s="55"/>
    </row>
    <row r="426">
      <c r="A426" s="55"/>
    </row>
    <row r="427">
      <c r="A427" s="55"/>
    </row>
    <row r="428">
      <c r="A428" s="55"/>
    </row>
    <row r="429">
      <c r="A429" s="55"/>
    </row>
    <row r="430">
      <c r="A430" s="55"/>
    </row>
    <row r="431">
      <c r="A431" s="55"/>
    </row>
    <row r="432">
      <c r="A432" s="55"/>
    </row>
    <row r="433">
      <c r="A433" s="55"/>
    </row>
    <row r="434">
      <c r="A434" s="55"/>
    </row>
    <row r="435">
      <c r="A435" s="55"/>
    </row>
    <row r="436">
      <c r="A436" s="55"/>
    </row>
    <row r="437">
      <c r="A437" s="55"/>
    </row>
    <row r="438">
      <c r="A438" s="55"/>
    </row>
    <row r="439">
      <c r="A439" s="55"/>
    </row>
    <row r="440">
      <c r="A440" s="55"/>
    </row>
    <row r="441">
      <c r="A441" s="55"/>
    </row>
    <row r="442">
      <c r="A442" s="55"/>
    </row>
    <row r="443">
      <c r="A443" s="55"/>
    </row>
    <row r="444">
      <c r="A444" s="55"/>
    </row>
    <row r="445">
      <c r="A445" s="55"/>
    </row>
    <row r="446">
      <c r="A446" s="55"/>
    </row>
    <row r="447">
      <c r="A447" s="55"/>
    </row>
    <row r="448">
      <c r="A448" s="55"/>
    </row>
    <row r="449">
      <c r="A449" s="55"/>
    </row>
    <row r="450">
      <c r="A450" s="55"/>
    </row>
    <row r="451">
      <c r="A451" s="55"/>
    </row>
    <row r="452">
      <c r="A452" s="55"/>
    </row>
    <row r="453">
      <c r="A453" s="55"/>
    </row>
    <row r="454">
      <c r="A454" s="55"/>
    </row>
    <row r="455">
      <c r="A455" s="55"/>
    </row>
    <row r="456">
      <c r="A456" s="55"/>
    </row>
    <row r="457">
      <c r="A457" s="55"/>
    </row>
    <row r="458">
      <c r="A458" s="55"/>
    </row>
    <row r="459">
      <c r="A459" s="55"/>
    </row>
    <row r="460">
      <c r="A460" s="55"/>
    </row>
    <row r="461">
      <c r="A461" s="55"/>
    </row>
    <row r="462">
      <c r="A462" s="55"/>
    </row>
    <row r="463">
      <c r="A463" s="55"/>
    </row>
    <row r="464">
      <c r="A464" s="55"/>
    </row>
    <row r="465">
      <c r="A465" s="55"/>
    </row>
    <row r="466">
      <c r="A466" s="55"/>
    </row>
    <row r="467">
      <c r="A467" s="55"/>
    </row>
    <row r="468">
      <c r="A468" s="55"/>
    </row>
    <row r="469">
      <c r="A469" s="55"/>
    </row>
    <row r="470">
      <c r="A470" s="55"/>
    </row>
    <row r="471">
      <c r="A471" s="55"/>
    </row>
    <row r="472">
      <c r="A472" s="55"/>
    </row>
    <row r="473">
      <c r="A473" s="55"/>
    </row>
    <row r="474">
      <c r="A474" s="55"/>
    </row>
    <row r="475">
      <c r="A475" s="55"/>
    </row>
    <row r="476">
      <c r="A476" s="55"/>
    </row>
    <row r="477">
      <c r="A477" s="55"/>
    </row>
    <row r="478">
      <c r="A478" s="55"/>
    </row>
    <row r="479">
      <c r="A479" s="55"/>
    </row>
    <row r="480">
      <c r="A480" s="55"/>
    </row>
    <row r="481">
      <c r="A481" s="55"/>
    </row>
    <row r="482">
      <c r="A482" s="55"/>
    </row>
    <row r="483">
      <c r="A483" s="55"/>
    </row>
    <row r="484">
      <c r="A484" s="55"/>
    </row>
    <row r="485">
      <c r="A485" s="55"/>
    </row>
    <row r="486">
      <c r="A486" s="55"/>
    </row>
    <row r="487">
      <c r="A487" s="55"/>
    </row>
    <row r="488">
      <c r="A488" s="55"/>
    </row>
    <row r="489">
      <c r="A489" s="55"/>
    </row>
    <row r="490">
      <c r="A490" s="55"/>
    </row>
    <row r="491">
      <c r="A491" s="55"/>
    </row>
    <row r="492">
      <c r="A492" s="55"/>
    </row>
    <row r="493">
      <c r="A493" s="55"/>
    </row>
    <row r="494">
      <c r="A494" s="55"/>
    </row>
    <row r="495">
      <c r="A495" s="55"/>
    </row>
    <row r="496">
      <c r="A496" s="55"/>
    </row>
    <row r="497">
      <c r="A497" s="55"/>
    </row>
    <row r="498">
      <c r="A498" s="55"/>
    </row>
    <row r="499">
      <c r="A499" s="55"/>
    </row>
    <row r="500">
      <c r="A500" s="55"/>
    </row>
    <row r="501">
      <c r="A501" s="55"/>
    </row>
    <row r="502">
      <c r="A502" s="55"/>
    </row>
    <row r="503">
      <c r="A503" s="55"/>
    </row>
    <row r="504">
      <c r="A504" s="55"/>
    </row>
    <row r="505">
      <c r="A505" s="55"/>
    </row>
    <row r="506">
      <c r="A506" s="55"/>
    </row>
    <row r="507">
      <c r="A507" s="55"/>
    </row>
    <row r="508">
      <c r="A508" s="55"/>
    </row>
    <row r="509">
      <c r="A509" s="55"/>
    </row>
    <row r="510">
      <c r="A510" s="55"/>
    </row>
    <row r="511">
      <c r="A511" s="55"/>
    </row>
    <row r="512">
      <c r="A512" s="55"/>
    </row>
    <row r="513">
      <c r="A513" s="55"/>
    </row>
    <row r="514">
      <c r="A514" s="55"/>
    </row>
    <row r="515">
      <c r="A515" s="55"/>
    </row>
    <row r="516">
      <c r="A516" s="55"/>
    </row>
    <row r="517">
      <c r="A517" s="55"/>
    </row>
    <row r="518">
      <c r="A518" s="55"/>
    </row>
    <row r="519">
      <c r="A519" s="55"/>
    </row>
    <row r="520">
      <c r="A520" s="55"/>
    </row>
    <row r="521">
      <c r="A521" s="55"/>
    </row>
    <row r="522">
      <c r="A522" s="55"/>
    </row>
    <row r="523">
      <c r="A523" s="55"/>
    </row>
    <row r="524">
      <c r="A524" s="55"/>
    </row>
    <row r="525">
      <c r="A525" s="55"/>
    </row>
    <row r="526">
      <c r="A526" s="55"/>
    </row>
    <row r="527">
      <c r="A527" s="55"/>
    </row>
    <row r="528">
      <c r="A528" s="55"/>
    </row>
    <row r="529">
      <c r="A529" s="55"/>
    </row>
    <row r="530">
      <c r="A530" s="55"/>
    </row>
    <row r="531">
      <c r="A531" s="55"/>
    </row>
    <row r="532">
      <c r="A532" s="55"/>
    </row>
    <row r="533">
      <c r="A533" s="55"/>
    </row>
    <row r="534">
      <c r="A534" s="55"/>
    </row>
    <row r="535">
      <c r="A535" s="55"/>
    </row>
    <row r="536">
      <c r="A536" s="55"/>
    </row>
    <row r="537">
      <c r="A537" s="55"/>
    </row>
    <row r="538">
      <c r="A538" s="55"/>
    </row>
    <row r="539">
      <c r="A539" s="55"/>
    </row>
    <row r="540">
      <c r="A540" s="55"/>
    </row>
    <row r="541">
      <c r="A541" s="55"/>
    </row>
    <row r="542">
      <c r="A542" s="55"/>
    </row>
    <row r="543">
      <c r="A543" s="55"/>
    </row>
    <row r="544">
      <c r="A544" s="55"/>
    </row>
    <row r="545">
      <c r="A545" s="55"/>
    </row>
    <row r="546">
      <c r="A546" s="55"/>
    </row>
    <row r="547">
      <c r="A547" s="55"/>
    </row>
    <row r="548">
      <c r="A548" s="55"/>
    </row>
    <row r="549">
      <c r="A549" s="55"/>
    </row>
    <row r="550">
      <c r="A550" s="55"/>
    </row>
    <row r="551">
      <c r="A551" s="55"/>
    </row>
    <row r="552">
      <c r="A552" s="55"/>
    </row>
    <row r="553">
      <c r="A553" s="55"/>
    </row>
    <row r="554">
      <c r="A554" s="55"/>
    </row>
    <row r="555">
      <c r="A555" s="55"/>
    </row>
    <row r="556">
      <c r="A556" s="55"/>
    </row>
    <row r="557">
      <c r="A557" s="55"/>
    </row>
    <row r="558">
      <c r="A558" s="55"/>
    </row>
    <row r="559">
      <c r="A559" s="55"/>
    </row>
    <row r="560">
      <c r="A560" s="55"/>
    </row>
    <row r="561">
      <c r="A561" s="55"/>
    </row>
    <row r="562">
      <c r="A562" s="55"/>
    </row>
    <row r="563">
      <c r="A563" s="55"/>
    </row>
    <row r="564">
      <c r="A564" s="55"/>
    </row>
    <row r="565">
      <c r="A565" s="55"/>
    </row>
    <row r="566">
      <c r="A566" s="55"/>
    </row>
    <row r="567">
      <c r="A567" s="55"/>
    </row>
    <row r="568">
      <c r="A568" s="55"/>
    </row>
    <row r="569">
      <c r="A569" s="55"/>
    </row>
    <row r="570">
      <c r="A570" s="55"/>
    </row>
    <row r="571">
      <c r="A571" s="55"/>
    </row>
    <row r="572">
      <c r="A572" s="55"/>
    </row>
    <row r="573">
      <c r="A573" s="55"/>
    </row>
    <row r="574">
      <c r="A574" s="55"/>
    </row>
    <row r="575">
      <c r="A575" s="55"/>
    </row>
    <row r="576">
      <c r="A576" s="55"/>
    </row>
    <row r="577">
      <c r="A577" s="55"/>
    </row>
    <row r="578">
      <c r="A578" s="55"/>
    </row>
    <row r="579">
      <c r="A579" s="55"/>
    </row>
    <row r="580">
      <c r="A580" s="55"/>
    </row>
    <row r="581">
      <c r="A581" s="55"/>
    </row>
    <row r="582">
      <c r="A582" s="55"/>
    </row>
    <row r="583">
      <c r="A583" s="55"/>
    </row>
    <row r="584">
      <c r="A584" s="55"/>
    </row>
    <row r="585">
      <c r="A585" s="55"/>
    </row>
    <row r="586">
      <c r="A586" s="55"/>
    </row>
    <row r="587">
      <c r="A587" s="55"/>
    </row>
    <row r="588">
      <c r="A588" s="55"/>
    </row>
    <row r="589">
      <c r="A589" s="55"/>
    </row>
    <row r="590">
      <c r="A590" s="55"/>
    </row>
    <row r="591">
      <c r="A591" s="55"/>
    </row>
    <row r="592">
      <c r="A592" s="55"/>
    </row>
    <row r="593">
      <c r="A593" s="55"/>
    </row>
    <row r="594">
      <c r="A594" s="55"/>
    </row>
    <row r="595">
      <c r="A595" s="55"/>
    </row>
    <row r="596">
      <c r="A596" s="55"/>
    </row>
    <row r="597">
      <c r="A597" s="55"/>
    </row>
    <row r="598">
      <c r="A598" s="55"/>
    </row>
    <row r="599">
      <c r="A599" s="55"/>
    </row>
    <row r="600">
      <c r="A600" s="55"/>
    </row>
    <row r="601">
      <c r="A601" s="55"/>
    </row>
    <row r="602">
      <c r="A602" s="55"/>
    </row>
    <row r="603">
      <c r="A603" s="55"/>
    </row>
    <row r="604">
      <c r="A604" s="55"/>
    </row>
    <row r="605">
      <c r="A605" s="55"/>
    </row>
    <row r="606">
      <c r="A606" s="55"/>
    </row>
    <row r="607">
      <c r="A607" s="55"/>
    </row>
    <row r="608">
      <c r="A608" s="55"/>
    </row>
    <row r="609">
      <c r="A609" s="55"/>
    </row>
    <row r="610">
      <c r="A610" s="55"/>
    </row>
    <row r="611">
      <c r="A611" s="55"/>
    </row>
    <row r="612">
      <c r="A612" s="55"/>
    </row>
    <row r="613">
      <c r="A613" s="55"/>
    </row>
    <row r="614">
      <c r="A614" s="55"/>
    </row>
    <row r="615">
      <c r="A615" s="55"/>
    </row>
    <row r="616">
      <c r="A616" s="55"/>
    </row>
    <row r="617">
      <c r="A617" s="55"/>
    </row>
    <row r="618">
      <c r="A618" s="55"/>
    </row>
    <row r="619">
      <c r="A619" s="55"/>
    </row>
    <row r="620">
      <c r="A620" s="55"/>
    </row>
    <row r="621">
      <c r="A621" s="55"/>
    </row>
    <row r="622">
      <c r="A622" s="55"/>
    </row>
    <row r="623">
      <c r="A623" s="55"/>
    </row>
    <row r="624">
      <c r="A624" s="55"/>
    </row>
    <row r="625">
      <c r="A625" s="55"/>
    </row>
    <row r="626">
      <c r="A626" s="55"/>
    </row>
    <row r="627">
      <c r="A627" s="55"/>
    </row>
    <row r="628">
      <c r="A628" s="55"/>
    </row>
    <row r="629">
      <c r="A629" s="55"/>
    </row>
    <row r="630">
      <c r="A630" s="55"/>
    </row>
    <row r="631">
      <c r="A631" s="55"/>
    </row>
    <row r="632">
      <c r="A632" s="55"/>
    </row>
    <row r="633">
      <c r="A633" s="55"/>
    </row>
    <row r="634">
      <c r="A634" s="55"/>
    </row>
    <row r="635">
      <c r="A635" s="55"/>
    </row>
    <row r="636">
      <c r="A636" s="55"/>
    </row>
    <row r="637">
      <c r="A637" s="55"/>
    </row>
    <row r="638">
      <c r="A638" s="55"/>
    </row>
    <row r="639">
      <c r="A639" s="55"/>
    </row>
    <row r="640">
      <c r="A640" s="55"/>
    </row>
    <row r="641">
      <c r="A641" s="55"/>
    </row>
    <row r="642">
      <c r="A642" s="55"/>
    </row>
    <row r="643">
      <c r="A643" s="55"/>
    </row>
    <row r="644">
      <c r="A644" s="55"/>
    </row>
    <row r="645">
      <c r="A645" s="55"/>
    </row>
    <row r="646">
      <c r="A646" s="55"/>
    </row>
    <row r="647">
      <c r="A647" s="55"/>
    </row>
    <row r="648">
      <c r="A648" s="55"/>
    </row>
    <row r="649">
      <c r="A649" s="55"/>
    </row>
    <row r="650">
      <c r="A650" s="55"/>
    </row>
    <row r="651">
      <c r="A651" s="55"/>
    </row>
    <row r="652">
      <c r="A652" s="55"/>
    </row>
    <row r="653">
      <c r="A653" s="55"/>
    </row>
    <row r="654">
      <c r="A654" s="55"/>
    </row>
    <row r="655">
      <c r="A655" s="55"/>
    </row>
    <row r="656">
      <c r="A656" s="55"/>
    </row>
    <row r="657">
      <c r="A657" s="55"/>
    </row>
    <row r="658">
      <c r="A658" s="55"/>
    </row>
    <row r="659">
      <c r="A659" s="55"/>
    </row>
    <row r="660">
      <c r="A660" s="55"/>
    </row>
    <row r="661">
      <c r="A661" s="55"/>
    </row>
    <row r="662">
      <c r="A662" s="55"/>
    </row>
    <row r="663">
      <c r="A663" s="55"/>
    </row>
    <row r="664">
      <c r="A664" s="55"/>
    </row>
    <row r="665">
      <c r="A665" s="55"/>
    </row>
    <row r="666">
      <c r="A666" s="55"/>
    </row>
    <row r="667">
      <c r="A667" s="55"/>
    </row>
    <row r="668">
      <c r="A668" s="55"/>
    </row>
    <row r="669">
      <c r="A669" s="55"/>
    </row>
    <row r="670">
      <c r="A670" s="55"/>
    </row>
    <row r="671">
      <c r="A671" s="55"/>
    </row>
    <row r="672">
      <c r="A672" s="55"/>
    </row>
    <row r="673">
      <c r="A673" s="55"/>
    </row>
    <row r="674">
      <c r="A674" s="55"/>
    </row>
    <row r="675">
      <c r="A675" s="55"/>
    </row>
    <row r="676">
      <c r="A676" s="55"/>
    </row>
    <row r="677">
      <c r="A677" s="55"/>
    </row>
    <row r="678">
      <c r="A678" s="55"/>
    </row>
    <row r="679">
      <c r="A679" s="55"/>
    </row>
    <row r="680">
      <c r="A680" s="55"/>
    </row>
    <row r="681">
      <c r="A681" s="55"/>
    </row>
    <row r="682">
      <c r="A682" s="55"/>
    </row>
    <row r="683">
      <c r="A683" s="55"/>
    </row>
    <row r="684">
      <c r="A684" s="55"/>
    </row>
    <row r="685">
      <c r="A685" s="55"/>
    </row>
    <row r="686">
      <c r="A686" s="55"/>
    </row>
    <row r="687">
      <c r="A687" s="55"/>
    </row>
    <row r="688">
      <c r="A688" s="55"/>
    </row>
    <row r="689">
      <c r="A689" s="55"/>
    </row>
    <row r="690">
      <c r="A690" s="55"/>
    </row>
    <row r="691">
      <c r="A691" s="55"/>
    </row>
    <row r="692">
      <c r="A692" s="55"/>
    </row>
    <row r="693">
      <c r="A693" s="55"/>
    </row>
    <row r="694">
      <c r="A694" s="55"/>
    </row>
    <row r="695">
      <c r="A695" s="55"/>
    </row>
    <row r="696">
      <c r="A696" s="55"/>
    </row>
    <row r="697">
      <c r="A697" s="55"/>
    </row>
    <row r="698">
      <c r="A698" s="55"/>
    </row>
    <row r="699">
      <c r="A699" s="55"/>
    </row>
    <row r="700">
      <c r="A700" s="55"/>
    </row>
    <row r="701">
      <c r="A701" s="55"/>
    </row>
    <row r="702">
      <c r="A702" s="55"/>
    </row>
    <row r="703">
      <c r="A703" s="55"/>
    </row>
    <row r="704">
      <c r="A704" s="55"/>
    </row>
    <row r="705">
      <c r="A705" s="55"/>
    </row>
    <row r="706">
      <c r="A706" s="55"/>
    </row>
    <row r="707">
      <c r="A707" s="55"/>
    </row>
    <row r="708">
      <c r="A708" s="55"/>
    </row>
    <row r="709">
      <c r="A709" s="55"/>
    </row>
    <row r="710">
      <c r="A710" s="55"/>
    </row>
    <row r="711">
      <c r="A711" s="55"/>
    </row>
    <row r="712">
      <c r="A712" s="55"/>
    </row>
    <row r="713">
      <c r="A713" s="55"/>
    </row>
    <row r="714">
      <c r="A714" s="55"/>
    </row>
    <row r="715">
      <c r="A715" s="55"/>
    </row>
    <row r="716">
      <c r="A716" s="55"/>
    </row>
    <row r="717">
      <c r="A717" s="55"/>
    </row>
    <row r="718">
      <c r="A718" s="55"/>
    </row>
    <row r="719">
      <c r="A719" s="55"/>
    </row>
    <row r="720">
      <c r="A720" s="55"/>
    </row>
    <row r="721">
      <c r="A721" s="55"/>
    </row>
    <row r="722">
      <c r="A722" s="55"/>
    </row>
    <row r="723">
      <c r="A723" s="55"/>
    </row>
    <row r="724">
      <c r="A724" s="55"/>
    </row>
    <row r="725">
      <c r="A725" s="55"/>
    </row>
    <row r="726">
      <c r="A726" s="55"/>
    </row>
    <row r="727">
      <c r="A727" s="55"/>
    </row>
    <row r="728">
      <c r="A728" s="55"/>
    </row>
    <row r="729">
      <c r="A729" s="55"/>
    </row>
    <row r="730">
      <c r="A730" s="55"/>
    </row>
    <row r="731">
      <c r="A731" s="55"/>
    </row>
    <row r="732">
      <c r="A732" s="55"/>
    </row>
    <row r="733">
      <c r="A733" s="55"/>
    </row>
    <row r="734">
      <c r="A734" s="55"/>
    </row>
    <row r="735">
      <c r="A735" s="55"/>
    </row>
    <row r="736">
      <c r="A736" s="55"/>
    </row>
    <row r="737">
      <c r="A737" s="55"/>
    </row>
    <row r="738">
      <c r="A738" s="55"/>
    </row>
    <row r="739">
      <c r="A739" s="55"/>
    </row>
    <row r="740">
      <c r="A740" s="55"/>
    </row>
    <row r="741">
      <c r="A741" s="55"/>
    </row>
    <row r="742">
      <c r="A742" s="55"/>
    </row>
    <row r="743">
      <c r="A743" s="55"/>
    </row>
    <row r="744">
      <c r="A744" s="55"/>
    </row>
    <row r="745">
      <c r="A745" s="55"/>
    </row>
    <row r="746">
      <c r="A746" s="55"/>
    </row>
    <row r="747">
      <c r="A747" s="55"/>
    </row>
    <row r="748">
      <c r="A748" s="55"/>
    </row>
    <row r="749">
      <c r="A749" s="55"/>
    </row>
    <row r="750">
      <c r="A750" s="55"/>
    </row>
    <row r="751">
      <c r="A751" s="55"/>
    </row>
    <row r="752">
      <c r="A752" s="55"/>
    </row>
    <row r="753">
      <c r="A753" s="55"/>
    </row>
    <row r="754">
      <c r="A754" s="55"/>
    </row>
    <row r="755">
      <c r="A755" s="55"/>
    </row>
    <row r="756">
      <c r="A756" s="55"/>
    </row>
    <row r="757">
      <c r="A757" s="55"/>
    </row>
    <row r="758">
      <c r="A758" s="55"/>
    </row>
    <row r="759">
      <c r="A759" s="55"/>
    </row>
    <row r="760">
      <c r="A760" s="55"/>
    </row>
    <row r="761">
      <c r="A761" s="55"/>
    </row>
    <row r="762">
      <c r="A762" s="55"/>
    </row>
    <row r="763">
      <c r="A763" s="55"/>
    </row>
    <row r="764">
      <c r="A764" s="55"/>
    </row>
    <row r="765">
      <c r="A765" s="55"/>
    </row>
    <row r="766">
      <c r="A766" s="55"/>
    </row>
    <row r="767">
      <c r="A767" s="55"/>
    </row>
    <row r="768">
      <c r="A768" s="55"/>
    </row>
    <row r="769">
      <c r="A769" s="55"/>
    </row>
    <row r="770">
      <c r="A770" s="55"/>
    </row>
    <row r="771">
      <c r="A771" s="55"/>
    </row>
    <row r="772">
      <c r="A772" s="55"/>
    </row>
    <row r="773">
      <c r="A773" s="55"/>
    </row>
    <row r="774">
      <c r="A774" s="55"/>
    </row>
    <row r="775">
      <c r="A775" s="55"/>
    </row>
    <row r="776">
      <c r="A776" s="55"/>
    </row>
    <row r="777">
      <c r="A777" s="55"/>
    </row>
    <row r="778">
      <c r="A778" s="55"/>
    </row>
    <row r="779">
      <c r="A779" s="55"/>
    </row>
    <row r="780">
      <c r="A780" s="55"/>
    </row>
    <row r="781">
      <c r="A781" s="55"/>
    </row>
    <row r="782">
      <c r="A782" s="55"/>
    </row>
    <row r="783">
      <c r="A783" s="55"/>
    </row>
    <row r="784">
      <c r="A784" s="55"/>
    </row>
    <row r="785">
      <c r="A785" s="55"/>
    </row>
    <row r="786">
      <c r="A786" s="55"/>
    </row>
    <row r="787">
      <c r="A787" s="55"/>
    </row>
    <row r="788">
      <c r="A788" s="55"/>
    </row>
    <row r="789">
      <c r="A789" s="55"/>
    </row>
    <row r="790">
      <c r="A790" s="55"/>
    </row>
    <row r="791">
      <c r="A791" s="55"/>
    </row>
    <row r="792">
      <c r="A792" s="55"/>
    </row>
    <row r="793">
      <c r="A793" s="55"/>
    </row>
    <row r="794">
      <c r="A794" s="55"/>
    </row>
    <row r="795">
      <c r="A795" s="55"/>
    </row>
    <row r="796">
      <c r="A796" s="55"/>
    </row>
    <row r="797">
      <c r="A797" s="55"/>
    </row>
    <row r="798">
      <c r="A798" s="55"/>
    </row>
    <row r="799">
      <c r="A799" s="55"/>
    </row>
    <row r="800">
      <c r="A800" s="55"/>
    </row>
    <row r="801">
      <c r="A801" s="55"/>
    </row>
    <row r="802">
      <c r="A802" s="55"/>
    </row>
    <row r="803">
      <c r="A803" s="55"/>
    </row>
    <row r="804">
      <c r="A804" s="55"/>
    </row>
    <row r="805">
      <c r="A805" s="55"/>
    </row>
    <row r="806">
      <c r="A806" s="55"/>
    </row>
    <row r="807">
      <c r="A807" s="55"/>
    </row>
    <row r="808">
      <c r="A808" s="55"/>
    </row>
    <row r="809">
      <c r="A809" s="55"/>
    </row>
    <row r="810">
      <c r="A810" s="55"/>
    </row>
    <row r="811">
      <c r="A811" s="55"/>
    </row>
    <row r="812">
      <c r="A812" s="55"/>
    </row>
    <row r="813">
      <c r="A813" s="55"/>
    </row>
    <row r="814">
      <c r="A814" s="55"/>
    </row>
    <row r="815">
      <c r="A815" s="55"/>
    </row>
    <row r="816">
      <c r="A816" s="55"/>
    </row>
    <row r="817">
      <c r="A817" s="55"/>
    </row>
    <row r="818">
      <c r="A818" s="55"/>
    </row>
    <row r="819">
      <c r="A819" s="55"/>
    </row>
    <row r="820">
      <c r="A820" s="55"/>
    </row>
    <row r="821">
      <c r="A821" s="55"/>
    </row>
    <row r="822">
      <c r="A822" s="55"/>
    </row>
    <row r="823">
      <c r="A823" s="55"/>
    </row>
    <row r="824">
      <c r="A824" s="55"/>
    </row>
    <row r="825">
      <c r="A825" s="55"/>
    </row>
    <row r="826">
      <c r="A826" s="55"/>
    </row>
    <row r="827">
      <c r="A827" s="55"/>
    </row>
    <row r="828">
      <c r="A828" s="55"/>
    </row>
    <row r="829">
      <c r="A829" s="55"/>
    </row>
    <row r="830">
      <c r="A830" s="55"/>
    </row>
    <row r="831">
      <c r="A831" s="55"/>
    </row>
    <row r="832">
      <c r="A832" s="55"/>
    </row>
    <row r="833">
      <c r="A833" s="55"/>
    </row>
    <row r="834">
      <c r="A834" s="55"/>
    </row>
    <row r="835">
      <c r="A835" s="55"/>
    </row>
    <row r="836">
      <c r="A836" s="55"/>
    </row>
    <row r="837">
      <c r="A837" s="55"/>
    </row>
    <row r="838">
      <c r="A838" s="55"/>
    </row>
    <row r="839">
      <c r="A839" s="55"/>
    </row>
    <row r="840">
      <c r="A840" s="55"/>
    </row>
    <row r="841">
      <c r="A841" s="55"/>
    </row>
    <row r="842">
      <c r="A842" s="55"/>
    </row>
    <row r="843">
      <c r="A843" s="55"/>
    </row>
    <row r="844">
      <c r="A844" s="55"/>
    </row>
    <row r="845">
      <c r="A845" s="55"/>
    </row>
    <row r="846">
      <c r="A846" s="55"/>
    </row>
    <row r="847">
      <c r="A847" s="55"/>
    </row>
    <row r="848">
      <c r="A848" s="55"/>
    </row>
    <row r="849">
      <c r="A849" s="55"/>
    </row>
    <row r="850">
      <c r="A850" s="55"/>
    </row>
    <row r="851">
      <c r="A851" s="55"/>
    </row>
    <row r="852">
      <c r="A852" s="55"/>
    </row>
    <row r="853">
      <c r="A853" s="55"/>
    </row>
    <row r="854">
      <c r="A854" s="55"/>
    </row>
    <row r="855">
      <c r="A855" s="55"/>
    </row>
    <row r="856">
      <c r="A856" s="55"/>
    </row>
    <row r="857">
      <c r="A857" s="55"/>
    </row>
    <row r="858">
      <c r="A858" s="55"/>
    </row>
    <row r="859">
      <c r="A859" s="55"/>
    </row>
    <row r="860">
      <c r="A860" s="55"/>
    </row>
    <row r="861">
      <c r="A861" s="55"/>
    </row>
    <row r="862">
      <c r="A862" s="55"/>
    </row>
    <row r="863">
      <c r="A863" s="55"/>
    </row>
    <row r="864">
      <c r="A864" s="55"/>
    </row>
    <row r="865">
      <c r="A865" s="55"/>
    </row>
    <row r="866">
      <c r="A866" s="55"/>
    </row>
    <row r="867">
      <c r="A867" s="55"/>
    </row>
    <row r="868">
      <c r="A868" s="55"/>
    </row>
    <row r="869">
      <c r="A869" s="55"/>
    </row>
    <row r="870">
      <c r="A870" s="55"/>
    </row>
    <row r="871">
      <c r="A871" s="55"/>
    </row>
    <row r="872">
      <c r="A872" s="55"/>
    </row>
    <row r="873">
      <c r="A873" s="55"/>
    </row>
    <row r="874">
      <c r="A874" s="55"/>
    </row>
    <row r="875">
      <c r="A875" s="55"/>
    </row>
    <row r="876">
      <c r="A876" s="55"/>
    </row>
    <row r="877">
      <c r="A877" s="55"/>
    </row>
    <row r="878">
      <c r="A878" s="55"/>
    </row>
    <row r="879">
      <c r="A879" s="55"/>
    </row>
    <row r="880">
      <c r="A880" s="55"/>
    </row>
    <row r="881">
      <c r="A881" s="55"/>
    </row>
    <row r="882">
      <c r="A882" s="55"/>
    </row>
    <row r="883">
      <c r="A883" s="55"/>
    </row>
    <row r="884">
      <c r="A884" s="55"/>
    </row>
    <row r="885">
      <c r="A885" s="55"/>
    </row>
    <row r="886">
      <c r="A886" s="55"/>
    </row>
    <row r="887">
      <c r="A887" s="55"/>
    </row>
    <row r="888">
      <c r="A888" s="55"/>
    </row>
    <row r="889">
      <c r="A889" s="55"/>
    </row>
    <row r="890">
      <c r="A890" s="55"/>
    </row>
    <row r="891">
      <c r="A891" s="55"/>
    </row>
    <row r="892">
      <c r="A892" s="55"/>
    </row>
    <row r="893">
      <c r="A893" s="55"/>
    </row>
    <row r="894">
      <c r="A894" s="55"/>
    </row>
    <row r="895">
      <c r="A895" s="55"/>
    </row>
    <row r="896">
      <c r="A896" s="55"/>
    </row>
    <row r="897">
      <c r="A897" s="55"/>
    </row>
    <row r="898">
      <c r="A898" s="55"/>
    </row>
    <row r="899">
      <c r="A899" s="55"/>
    </row>
    <row r="900">
      <c r="A900" s="55"/>
    </row>
    <row r="901">
      <c r="A901" s="55"/>
    </row>
    <row r="902">
      <c r="A902" s="55"/>
    </row>
    <row r="903">
      <c r="A903" s="55"/>
    </row>
    <row r="904">
      <c r="A904" s="55"/>
    </row>
    <row r="905">
      <c r="A905" s="55"/>
    </row>
    <row r="906">
      <c r="A906" s="55"/>
    </row>
    <row r="907">
      <c r="A907" s="55"/>
    </row>
    <row r="908">
      <c r="A908" s="55"/>
    </row>
    <row r="909">
      <c r="A909" s="55"/>
    </row>
    <row r="910">
      <c r="A910" s="55"/>
    </row>
    <row r="911">
      <c r="A911" s="55"/>
    </row>
    <row r="912">
      <c r="A912" s="55"/>
    </row>
    <row r="913">
      <c r="A913" s="55"/>
    </row>
    <row r="914">
      <c r="A914" s="55"/>
    </row>
    <row r="915">
      <c r="A915" s="55"/>
    </row>
    <row r="916">
      <c r="A916" s="55"/>
    </row>
    <row r="917">
      <c r="A917" s="55"/>
    </row>
    <row r="918">
      <c r="A918" s="55"/>
    </row>
    <row r="919">
      <c r="A919" s="55"/>
    </row>
    <row r="920">
      <c r="A920" s="55"/>
    </row>
    <row r="921">
      <c r="A921" s="55"/>
    </row>
    <row r="922">
      <c r="A922" s="55"/>
    </row>
    <row r="923">
      <c r="A923" s="55"/>
    </row>
    <row r="924">
      <c r="A924" s="55"/>
    </row>
    <row r="925">
      <c r="A925" s="55"/>
    </row>
    <row r="926">
      <c r="A926" s="55"/>
    </row>
    <row r="927">
      <c r="A927" s="55"/>
    </row>
    <row r="928">
      <c r="A928" s="55"/>
    </row>
    <row r="929">
      <c r="A929" s="55"/>
    </row>
    <row r="930">
      <c r="A930" s="55"/>
    </row>
    <row r="931">
      <c r="A931" s="55"/>
    </row>
    <row r="932">
      <c r="A932" s="55"/>
    </row>
    <row r="933">
      <c r="A933" s="55"/>
    </row>
    <row r="934">
      <c r="A934" s="55"/>
    </row>
    <row r="935">
      <c r="A935" s="55"/>
    </row>
    <row r="936">
      <c r="A936" s="55"/>
    </row>
    <row r="937">
      <c r="A937" s="55"/>
    </row>
    <row r="938">
      <c r="A938" s="55"/>
    </row>
    <row r="939">
      <c r="A939" s="55"/>
    </row>
    <row r="940">
      <c r="A940" s="55"/>
    </row>
    <row r="941">
      <c r="A941" s="55"/>
    </row>
    <row r="942">
      <c r="A942" s="55"/>
    </row>
    <row r="943">
      <c r="A943" s="55"/>
    </row>
    <row r="944">
      <c r="A944" s="55"/>
    </row>
    <row r="945">
      <c r="A945" s="55"/>
    </row>
    <row r="946">
      <c r="A946" s="55"/>
    </row>
    <row r="947">
      <c r="A947" s="55"/>
    </row>
    <row r="948">
      <c r="A948" s="55"/>
    </row>
    <row r="949">
      <c r="A949" s="55"/>
    </row>
    <row r="950">
      <c r="A950" s="55"/>
    </row>
    <row r="951">
      <c r="A951" s="55"/>
    </row>
    <row r="952">
      <c r="A952" s="55"/>
    </row>
    <row r="953">
      <c r="A953" s="55"/>
    </row>
    <row r="954">
      <c r="A954" s="55"/>
    </row>
    <row r="955">
      <c r="A955" s="55"/>
    </row>
    <row r="956">
      <c r="A956" s="55"/>
    </row>
    <row r="957">
      <c r="A957" s="55"/>
    </row>
    <row r="958">
      <c r="A958" s="55"/>
    </row>
    <row r="959">
      <c r="A959" s="55"/>
    </row>
    <row r="960">
      <c r="A960" s="55"/>
    </row>
    <row r="961">
      <c r="A961" s="55"/>
    </row>
    <row r="962">
      <c r="A962" s="55"/>
    </row>
    <row r="963">
      <c r="A963" s="55"/>
    </row>
    <row r="964">
      <c r="A964" s="55"/>
    </row>
    <row r="965">
      <c r="A965" s="55"/>
    </row>
    <row r="966">
      <c r="A966" s="55"/>
    </row>
    <row r="967">
      <c r="A967" s="55"/>
    </row>
    <row r="968">
      <c r="A968" s="55"/>
    </row>
    <row r="969">
      <c r="A969" s="55"/>
    </row>
    <row r="970">
      <c r="A970" s="55"/>
    </row>
    <row r="971">
      <c r="A971" s="55"/>
    </row>
    <row r="972">
      <c r="A972" s="55"/>
    </row>
    <row r="973">
      <c r="A973" s="55"/>
    </row>
    <row r="974">
      <c r="A974" s="55"/>
    </row>
    <row r="975">
      <c r="A975" s="55"/>
    </row>
    <row r="976">
      <c r="A976" s="55"/>
    </row>
    <row r="977">
      <c r="A977" s="55"/>
    </row>
    <row r="978">
      <c r="A978" s="55"/>
    </row>
    <row r="979">
      <c r="A979" s="55"/>
    </row>
    <row r="980">
      <c r="A980" s="55"/>
    </row>
    <row r="981">
      <c r="A981" s="55"/>
    </row>
    <row r="982">
      <c r="A982" s="55"/>
    </row>
    <row r="983">
      <c r="A983" s="55"/>
    </row>
    <row r="984">
      <c r="A984" s="55"/>
    </row>
    <row r="985">
      <c r="A985" s="55"/>
    </row>
    <row r="986">
      <c r="A986" s="55"/>
    </row>
    <row r="987">
      <c r="A987" s="55"/>
    </row>
    <row r="988">
      <c r="A988" s="55"/>
    </row>
    <row r="989">
      <c r="A989" s="55"/>
    </row>
    <row r="990">
      <c r="A990" s="55"/>
    </row>
    <row r="991">
      <c r="A991" s="55"/>
    </row>
    <row r="992">
      <c r="A992" s="55"/>
    </row>
    <row r="993">
      <c r="A993" s="55"/>
    </row>
    <row r="994">
      <c r="A994" s="55"/>
    </row>
    <row r="995">
      <c r="A995" s="55"/>
    </row>
    <row r="996">
      <c r="A996" s="55"/>
    </row>
    <row r="997">
      <c r="A997" s="55"/>
    </row>
    <row r="998">
      <c r="A998" s="55"/>
    </row>
    <row r="999">
      <c r="A999" s="55"/>
    </row>
    <row r="1000">
      <c r="A1000" s="5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s>
  <sheetData>
    <row r="1">
      <c r="A1" s="66" t="s">
        <v>762</v>
      </c>
      <c r="D1" s="8">
        <v>94.0</v>
      </c>
      <c r="E1" s="8">
        <v>1.0</v>
      </c>
    </row>
    <row r="2">
      <c r="A2" s="68" t="s">
        <v>773</v>
      </c>
      <c r="D2" s="8">
        <v>49.0</v>
      </c>
      <c r="E2" s="8">
        <v>1.0</v>
      </c>
    </row>
    <row r="3">
      <c r="A3" s="70" t="s">
        <v>777</v>
      </c>
      <c r="D3" s="8">
        <v>132.0</v>
      </c>
      <c r="E3" s="8">
        <v>4.0</v>
      </c>
    </row>
    <row r="4">
      <c r="A4" s="71"/>
    </row>
    <row r="6">
      <c r="D6" s="72">
        <f>D1+D2+D3</f>
        <v>275</v>
      </c>
    </row>
    <row r="7">
      <c r="A7" s="8" t="s">
        <v>787</v>
      </c>
      <c r="B7" s="72">
        <f>D6/6</f>
        <v>45.83333333</v>
      </c>
    </row>
    <row r="9">
      <c r="A9" s="66" t="s">
        <v>789</v>
      </c>
      <c r="B9" s="8" t="s">
        <v>790</v>
      </c>
      <c r="C9" s="8">
        <v>47.0</v>
      </c>
    </row>
    <row r="10">
      <c r="A10" s="66" t="s">
        <v>791</v>
      </c>
      <c r="B10" s="8" t="s">
        <v>322</v>
      </c>
      <c r="C10" s="8">
        <v>47.0</v>
      </c>
    </row>
    <row r="11">
      <c r="A11" s="73" t="s">
        <v>792</v>
      </c>
      <c r="B11" s="8" t="s">
        <v>454</v>
      </c>
      <c r="C11" s="8">
        <v>49.0</v>
      </c>
    </row>
    <row r="12">
      <c r="A12" s="74" t="s">
        <v>796</v>
      </c>
      <c r="B12" s="8" t="s">
        <v>798</v>
      </c>
      <c r="C12" s="8">
        <v>45.0</v>
      </c>
    </row>
    <row r="13">
      <c r="A13" s="74" t="s">
        <v>803</v>
      </c>
      <c r="B13" s="8" t="s">
        <v>805</v>
      </c>
      <c r="C13" s="8">
        <v>45.0</v>
      </c>
    </row>
    <row r="14">
      <c r="A14" s="74" t="s">
        <v>807</v>
      </c>
      <c r="B14" s="8" t="s">
        <v>317</v>
      </c>
      <c r="C14" s="8">
        <v>42.0</v>
      </c>
    </row>
    <row r="15">
      <c r="A15" s="74"/>
    </row>
    <row r="17">
      <c r="A17" s="8" t="s">
        <v>809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38"/>
    <col customWidth="1" min="2" max="2" width="20.0"/>
    <col customWidth="1" min="3" max="3" width="32.38"/>
    <col customWidth="1" min="4" max="4" width="27.0"/>
    <col customWidth="1" min="5" max="5" width="33.13"/>
    <col customWidth="1" min="6" max="6" width="27.63"/>
  </cols>
  <sheetData>
    <row r="1" ht="22.5" customHeight="1">
      <c r="A1" s="86" t="s">
        <v>950</v>
      </c>
      <c r="B1" s="86" t="s">
        <v>965</v>
      </c>
      <c r="C1" s="86" t="s">
        <v>967</v>
      </c>
      <c r="D1" s="86" t="s">
        <v>968</v>
      </c>
      <c r="E1" s="86" t="s">
        <v>64</v>
      </c>
      <c r="F1" s="86" t="s">
        <v>969</v>
      </c>
      <c r="G1" s="88"/>
      <c r="H1" s="88"/>
      <c r="I1" s="88"/>
      <c r="J1" s="88"/>
      <c r="K1" s="88"/>
      <c r="L1" s="88"/>
      <c r="M1" s="88"/>
      <c r="N1" s="88"/>
      <c r="O1" s="88"/>
      <c r="P1" s="88"/>
      <c r="Q1" s="88"/>
      <c r="R1" s="88"/>
      <c r="S1" s="88"/>
      <c r="T1" s="88"/>
      <c r="U1" s="88"/>
      <c r="V1" s="88"/>
      <c r="W1" s="88"/>
      <c r="X1" s="88"/>
      <c r="Y1" s="88"/>
      <c r="Z1" s="88"/>
    </row>
    <row r="2" ht="22.5" customHeight="1">
      <c r="A2" s="91" t="s">
        <v>135</v>
      </c>
      <c r="B2" s="92" t="s">
        <v>992</v>
      </c>
      <c r="C2" s="93" t="s">
        <v>994</v>
      </c>
      <c r="D2" s="91"/>
      <c r="E2" s="92" t="s">
        <v>4</v>
      </c>
      <c r="F2" s="92" t="s">
        <v>1009</v>
      </c>
    </row>
    <row r="3" ht="22.5" customHeight="1">
      <c r="A3" s="91" t="s">
        <v>144</v>
      </c>
      <c r="B3" s="91" t="s">
        <v>1016</v>
      </c>
      <c r="C3" s="92" t="s">
        <v>1017</v>
      </c>
      <c r="D3" s="91" t="s">
        <v>250</v>
      </c>
      <c r="E3" s="91" t="s">
        <v>175</v>
      </c>
      <c r="F3" s="92" t="s">
        <v>1020</v>
      </c>
    </row>
    <row r="4" ht="22.5" customHeight="1">
      <c r="A4" s="92" t="s">
        <v>906</v>
      </c>
      <c r="B4" s="91" t="s">
        <v>1030</v>
      </c>
      <c r="C4" s="91" t="s">
        <v>1034</v>
      </c>
      <c r="D4" s="91" t="s">
        <v>1035</v>
      </c>
      <c r="E4" s="95" t="s">
        <v>1037</v>
      </c>
      <c r="F4" s="95"/>
    </row>
    <row r="5" ht="22.5" customHeight="1">
      <c r="A5" s="95" t="s">
        <v>148</v>
      </c>
      <c r="B5" s="91" t="s">
        <v>1040</v>
      </c>
      <c r="C5" s="91" t="s">
        <v>1043</v>
      </c>
      <c r="D5" s="91" t="s">
        <v>1045</v>
      </c>
      <c r="E5" s="92" t="s">
        <v>949</v>
      </c>
    </row>
    <row r="6" ht="22.5" customHeight="1">
      <c r="A6" s="91" t="s">
        <v>1054</v>
      </c>
      <c r="B6" s="91" t="s">
        <v>1056</v>
      </c>
      <c r="C6" s="91" t="s">
        <v>1058</v>
      </c>
      <c r="D6" s="91" t="s">
        <v>1031</v>
      </c>
      <c r="E6" s="91" t="s">
        <v>1061</v>
      </c>
    </row>
    <row r="7" ht="22.5" customHeight="1">
      <c r="A7" s="91" t="s">
        <v>5</v>
      </c>
      <c r="B7" s="91" t="s">
        <v>1068</v>
      </c>
      <c r="C7" s="91" t="s">
        <v>1069</v>
      </c>
      <c r="D7" s="91" t="s">
        <v>1071</v>
      </c>
      <c r="E7" s="91" t="s">
        <v>1072</v>
      </c>
    </row>
    <row r="8" ht="22.5" customHeight="1">
      <c r="A8" s="91" t="s">
        <v>154</v>
      </c>
      <c r="C8" s="91" t="s">
        <v>1076</v>
      </c>
      <c r="D8" s="91" t="s">
        <v>1079</v>
      </c>
      <c r="E8" s="91" t="s">
        <v>1081</v>
      </c>
    </row>
    <row r="9" ht="22.5" customHeight="1">
      <c r="A9" s="104" t="s">
        <v>1084</v>
      </c>
      <c r="D9" s="91" t="s">
        <v>1085</v>
      </c>
      <c r="E9" s="91" t="s">
        <v>186</v>
      </c>
    </row>
    <row r="10" ht="22.5" customHeight="1">
      <c r="A10" s="91" t="s">
        <v>1086</v>
      </c>
      <c r="E10" s="91" t="s">
        <v>190</v>
      </c>
    </row>
    <row r="11" ht="22.5" customHeight="1">
      <c r="A11" s="92" t="s">
        <v>157</v>
      </c>
      <c r="E11" s="92" t="s">
        <v>1092</v>
      </c>
    </row>
    <row r="12" ht="22.5" customHeight="1">
      <c r="E12" s="91" t="s">
        <v>1095</v>
      </c>
      <c r="F12" s="107" t="s">
        <v>1097</v>
      </c>
    </row>
    <row r="14">
      <c r="A14" s="8" t="s">
        <v>1100</v>
      </c>
    </row>
    <row r="15">
      <c r="A15" s="8" t="s">
        <v>1102</v>
      </c>
    </row>
    <row r="16">
      <c r="A16" s="108" t="s">
        <v>1107</v>
      </c>
    </row>
    <row r="19">
      <c r="A19" s="110" t="s">
        <v>1110</v>
      </c>
      <c r="B19" s="110" t="s">
        <v>4</v>
      </c>
      <c r="C19" s="110" t="s">
        <v>1113</v>
      </c>
      <c r="D19" s="110" t="s">
        <v>1114</v>
      </c>
      <c r="E19" s="112" t="s">
        <v>157</v>
      </c>
      <c r="F19" s="110" t="s">
        <v>7</v>
      </c>
      <c r="G19" s="110" t="s">
        <v>1120</v>
      </c>
      <c r="H19" s="113" t="s">
        <v>1020</v>
      </c>
      <c r="I19" s="116" t="s">
        <v>949</v>
      </c>
      <c r="J19" s="113" t="s">
        <v>1132</v>
      </c>
      <c r="K19" s="118" t="s">
        <v>1135</v>
      </c>
      <c r="L19" s="118" t="s">
        <v>194</v>
      </c>
      <c r="M19" s="118" t="s">
        <v>1097</v>
      </c>
      <c r="N19" s="118" t="s">
        <v>1139</v>
      </c>
      <c r="O19" s="121" t="s">
        <v>1140</v>
      </c>
      <c r="P19" s="122"/>
      <c r="Q19" s="122"/>
      <c r="R19" s="122"/>
      <c r="S19" s="122"/>
      <c r="T19" s="122"/>
      <c r="U19" s="122"/>
      <c r="V19" s="122"/>
      <c r="W19" s="122"/>
      <c r="X19" s="122"/>
      <c r="Y19" s="122"/>
      <c r="Z19" s="122"/>
    </row>
    <row r="20">
      <c r="A20" s="121" t="s">
        <v>1149</v>
      </c>
      <c r="B20" s="121" t="s">
        <v>1150</v>
      </c>
      <c r="C20" s="123" t="s">
        <v>1152</v>
      </c>
      <c r="D20" s="121" t="s">
        <v>714</v>
      </c>
      <c r="E20" s="124">
        <v>43794.0</v>
      </c>
      <c r="F20" s="121" t="s">
        <v>1155</v>
      </c>
      <c r="G20" s="121" t="s">
        <v>1156</v>
      </c>
      <c r="H20" s="125">
        <v>13214.0</v>
      </c>
      <c r="I20" s="125">
        <v>12.0</v>
      </c>
      <c r="J20" s="125">
        <v>12.0</v>
      </c>
      <c r="K20" s="121" t="s">
        <v>1157</v>
      </c>
      <c r="L20" s="121" t="s">
        <v>1158</v>
      </c>
      <c r="M20" s="122"/>
      <c r="N20" s="122"/>
      <c r="O20" s="122"/>
      <c r="P20" s="122"/>
      <c r="Q20" s="122"/>
      <c r="R20" s="122"/>
      <c r="S20" s="122"/>
      <c r="T20" s="122"/>
      <c r="U20" s="122"/>
      <c r="V20" s="122"/>
      <c r="W20" s="122"/>
      <c r="X20" s="122"/>
      <c r="Y20" s="122"/>
      <c r="Z20" s="122"/>
    </row>
    <row r="21">
      <c r="A21" s="121" t="s">
        <v>1159</v>
      </c>
      <c r="B21" s="121" t="s">
        <v>1160</v>
      </c>
      <c r="C21" s="123" t="s">
        <v>1161</v>
      </c>
      <c r="D21" s="121" t="s">
        <v>1162</v>
      </c>
      <c r="E21" s="124">
        <v>43586.0</v>
      </c>
      <c r="F21" s="121" t="s">
        <v>1122</v>
      </c>
      <c r="G21" s="121" t="s">
        <v>1163</v>
      </c>
      <c r="H21" s="125">
        <v>80660.0</v>
      </c>
      <c r="I21" s="125">
        <v>48.0</v>
      </c>
      <c r="J21" s="125">
        <v>48.0</v>
      </c>
      <c r="K21" s="121" t="s">
        <v>1164</v>
      </c>
      <c r="L21" s="121" t="s">
        <v>1158</v>
      </c>
      <c r="M21" s="122"/>
      <c r="N21" s="122"/>
      <c r="O21" s="122"/>
      <c r="P21" s="122"/>
      <c r="Q21" s="122"/>
      <c r="R21" s="122"/>
      <c r="S21" s="122"/>
      <c r="T21" s="122"/>
      <c r="U21" s="122"/>
      <c r="V21" s="122"/>
      <c r="W21" s="122"/>
      <c r="X21" s="122"/>
      <c r="Y21" s="122"/>
      <c r="Z21" s="122"/>
    </row>
  </sheetData>
  <hyperlinks>
    <hyperlink r:id="rId4" ref="C20"/>
    <hyperlink r:id="rId5" ref="C21"/>
  </hyperlinks>
  <drawing r:id="rId6"/>
  <legacyDrawing r:id="rId7"/>
  <tableParts count="1">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8.75"/>
    <col customWidth="1" min="3" max="3" width="40.13"/>
    <col customWidth="1" min="4" max="4" width="97.75"/>
    <col customWidth="1" min="5" max="5" width="17.5"/>
  </cols>
  <sheetData>
    <row r="1">
      <c r="A1" s="80"/>
      <c r="B1" s="81"/>
      <c r="C1" s="82" t="s">
        <v>892</v>
      </c>
      <c r="D1" s="83" t="s">
        <v>893</v>
      </c>
      <c r="E1" s="81" t="s">
        <v>894</v>
      </c>
      <c r="F1" s="8" t="s">
        <v>895</v>
      </c>
      <c r="G1" s="8" t="s">
        <v>896</v>
      </c>
      <c r="H1" s="8" t="s">
        <v>897</v>
      </c>
      <c r="I1" s="8" t="s">
        <v>898</v>
      </c>
    </row>
    <row r="2">
      <c r="A2" s="5" t="s">
        <v>63</v>
      </c>
      <c r="B2" s="25" t="s">
        <v>135</v>
      </c>
      <c r="D2" s="8" t="s">
        <v>899</v>
      </c>
      <c r="E2" s="8" t="s">
        <v>901</v>
      </c>
      <c r="F2" s="8" t="s">
        <v>902</v>
      </c>
      <c r="G2" s="8" t="s">
        <v>98</v>
      </c>
    </row>
    <row r="3">
      <c r="B3" s="25" t="s">
        <v>144</v>
      </c>
      <c r="D3" s="8" t="s">
        <v>904</v>
      </c>
      <c r="E3" s="8" t="s">
        <v>905</v>
      </c>
      <c r="F3" s="8" t="s">
        <v>902</v>
      </c>
      <c r="G3" s="8" t="s">
        <v>98</v>
      </c>
    </row>
    <row r="4">
      <c r="B4" s="25" t="s">
        <v>906</v>
      </c>
      <c r="D4" s="8" t="s">
        <v>907</v>
      </c>
      <c r="E4" s="8" t="s">
        <v>905</v>
      </c>
      <c r="F4" s="8" t="s">
        <v>902</v>
      </c>
      <c r="G4" s="8" t="s">
        <v>98</v>
      </c>
    </row>
    <row r="5">
      <c r="B5" s="25" t="s">
        <v>148</v>
      </c>
      <c r="D5" s="8" t="s">
        <v>908</v>
      </c>
      <c r="E5" s="8" t="s">
        <v>905</v>
      </c>
      <c r="F5" s="8" t="s">
        <v>902</v>
      </c>
      <c r="G5" s="8" t="s">
        <v>98</v>
      </c>
    </row>
    <row r="6">
      <c r="B6" s="25" t="s">
        <v>150</v>
      </c>
      <c r="D6" s="8" t="s">
        <v>909</v>
      </c>
      <c r="E6" s="8" t="s">
        <v>910</v>
      </c>
      <c r="F6" s="8" t="s">
        <v>902</v>
      </c>
      <c r="G6" s="8" t="s">
        <v>98</v>
      </c>
    </row>
    <row r="7">
      <c r="B7" s="25" t="s">
        <v>5</v>
      </c>
      <c r="D7" s="8" t="s">
        <v>911</v>
      </c>
      <c r="E7" s="8" t="s">
        <v>905</v>
      </c>
      <c r="F7" s="8" t="s">
        <v>902</v>
      </c>
      <c r="G7" s="8" t="s">
        <v>98</v>
      </c>
    </row>
    <row r="8">
      <c r="B8" s="25" t="s">
        <v>154</v>
      </c>
      <c r="D8" s="8" t="s">
        <v>912</v>
      </c>
      <c r="E8" s="8" t="s">
        <v>913</v>
      </c>
      <c r="F8" s="8" t="s">
        <v>902</v>
      </c>
      <c r="G8" s="8" t="s">
        <v>98</v>
      </c>
    </row>
    <row r="9">
      <c r="B9" s="27" t="s">
        <v>157</v>
      </c>
      <c r="D9" s="8" t="s">
        <v>914</v>
      </c>
      <c r="E9" s="8" t="s">
        <v>905</v>
      </c>
      <c r="F9" s="8" t="s">
        <v>902</v>
      </c>
      <c r="G9" s="8" t="s">
        <v>98</v>
      </c>
    </row>
    <row r="10">
      <c r="A10" s="5"/>
      <c r="B10" s="25" t="s">
        <v>161</v>
      </c>
      <c r="D10" s="8"/>
      <c r="E10" s="8"/>
      <c r="F10" s="8" t="s">
        <v>902</v>
      </c>
      <c r="G10" s="8" t="s">
        <v>98</v>
      </c>
    </row>
    <row r="11">
      <c r="A11" s="84" t="s">
        <v>64</v>
      </c>
      <c r="B11" s="29" t="s">
        <v>4</v>
      </c>
      <c r="C11" s="8" t="s">
        <v>919</v>
      </c>
      <c r="D11" s="8" t="s">
        <v>920</v>
      </c>
      <c r="E11" s="8" t="s">
        <v>921</v>
      </c>
      <c r="F11" s="8" t="s">
        <v>902</v>
      </c>
      <c r="G11" s="8" t="s">
        <v>98</v>
      </c>
    </row>
    <row r="12">
      <c r="B12" s="29" t="s">
        <v>174</v>
      </c>
      <c r="C12" s="8" t="s">
        <v>922</v>
      </c>
      <c r="D12" s="8" t="s">
        <v>923</v>
      </c>
      <c r="E12" s="8" t="s">
        <v>926</v>
      </c>
      <c r="F12" s="8" t="s">
        <v>322</v>
      </c>
      <c r="G12" s="8" t="s">
        <v>317</v>
      </c>
    </row>
    <row r="13">
      <c r="B13" s="29" t="s">
        <v>175</v>
      </c>
      <c r="C13" s="8" t="s">
        <v>928</v>
      </c>
      <c r="D13" s="8" t="s">
        <v>930</v>
      </c>
      <c r="E13" s="8" t="s">
        <v>932</v>
      </c>
      <c r="F13" s="8" t="s">
        <v>322</v>
      </c>
      <c r="G13" s="8" t="s">
        <v>317</v>
      </c>
    </row>
    <row r="14">
      <c r="B14" s="29" t="s">
        <v>171</v>
      </c>
      <c r="C14" s="8" t="s">
        <v>934</v>
      </c>
      <c r="D14" s="8" t="s">
        <v>935</v>
      </c>
      <c r="E14" s="8" t="s">
        <v>368</v>
      </c>
      <c r="F14" s="8" t="s">
        <v>322</v>
      </c>
      <c r="G14" s="8" t="s">
        <v>317</v>
      </c>
      <c r="H14" s="8" t="s">
        <v>936</v>
      </c>
    </row>
    <row r="15">
      <c r="B15" s="29" t="s">
        <v>176</v>
      </c>
      <c r="C15" s="8" t="s">
        <v>937</v>
      </c>
      <c r="D15" s="8" t="s">
        <v>938</v>
      </c>
      <c r="E15" s="8" t="s">
        <v>939</v>
      </c>
      <c r="F15" s="8" t="s">
        <v>322</v>
      </c>
      <c r="G15" s="8" t="s">
        <v>317</v>
      </c>
      <c r="H15" s="8" t="s">
        <v>940</v>
      </c>
    </row>
    <row r="16">
      <c r="B16" s="29" t="s">
        <v>941</v>
      </c>
      <c r="C16" s="8" t="s">
        <v>942</v>
      </c>
      <c r="D16" s="8" t="s">
        <v>943</v>
      </c>
      <c r="E16" s="8" t="s">
        <v>926</v>
      </c>
      <c r="F16" s="8" t="s">
        <v>322</v>
      </c>
      <c r="G16" s="8" t="s">
        <v>317</v>
      </c>
      <c r="H16" s="8" t="s">
        <v>940</v>
      </c>
    </row>
    <row r="17">
      <c r="B17" s="29" t="s">
        <v>949</v>
      </c>
      <c r="C17" s="8" t="s">
        <v>951</v>
      </c>
      <c r="D17" s="8" t="s">
        <v>953</v>
      </c>
      <c r="E17" s="8" t="s">
        <v>955</v>
      </c>
      <c r="F17" s="8" t="s">
        <v>322</v>
      </c>
      <c r="G17" s="8" t="s">
        <v>317</v>
      </c>
      <c r="H17" s="8" t="s">
        <v>940</v>
      </c>
    </row>
    <row r="18">
      <c r="B18" s="29" t="s">
        <v>957</v>
      </c>
      <c r="C18" s="8" t="s">
        <v>959</v>
      </c>
      <c r="D18" s="8" t="s">
        <v>960</v>
      </c>
      <c r="E18" s="8" t="s">
        <v>926</v>
      </c>
      <c r="F18" s="8" t="s">
        <v>790</v>
      </c>
      <c r="G18" s="8" t="s">
        <v>798</v>
      </c>
    </row>
    <row r="19">
      <c r="B19" s="29" t="s">
        <v>182</v>
      </c>
      <c r="C19" s="8" t="s">
        <v>962</v>
      </c>
      <c r="D19" s="8" t="s">
        <v>963</v>
      </c>
      <c r="E19" s="8" t="s">
        <v>926</v>
      </c>
      <c r="F19" s="8" t="s">
        <v>317</v>
      </c>
      <c r="G19" s="8" t="s">
        <v>454</v>
      </c>
      <c r="H19" s="8" t="s">
        <v>964</v>
      </c>
      <c r="I19" s="87" t="s">
        <v>966</v>
      </c>
    </row>
    <row r="20">
      <c r="B20" s="29" t="s">
        <v>183</v>
      </c>
      <c r="C20" s="8" t="s">
        <v>970</v>
      </c>
      <c r="D20" s="8" t="s">
        <v>971</v>
      </c>
      <c r="E20" s="8" t="s">
        <v>955</v>
      </c>
      <c r="F20" s="8" t="s">
        <v>454</v>
      </c>
      <c r="G20" s="89" t="s">
        <v>805</v>
      </c>
    </row>
    <row r="21">
      <c r="B21" s="29" t="s">
        <v>184</v>
      </c>
      <c r="C21" s="8" t="s">
        <v>973</v>
      </c>
      <c r="D21" s="8" t="s">
        <v>974</v>
      </c>
      <c r="E21" s="8" t="s">
        <v>955</v>
      </c>
      <c r="F21" s="8" t="s">
        <v>454</v>
      </c>
      <c r="G21" s="89" t="s">
        <v>805</v>
      </c>
    </row>
    <row r="22">
      <c r="B22" s="29" t="s">
        <v>185</v>
      </c>
      <c r="C22" s="8" t="s">
        <v>978</v>
      </c>
      <c r="D22" s="8" t="s">
        <v>979</v>
      </c>
      <c r="E22" s="8" t="s">
        <v>955</v>
      </c>
      <c r="F22" s="8" t="s">
        <v>454</v>
      </c>
      <c r="G22" s="89" t="s">
        <v>805</v>
      </c>
    </row>
    <row r="23">
      <c r="B23" s="29" t="s">
        <v>187</v>
      </c>
      <c r="C23" s="8" t="s">
        <v>986</v>
      </c>
      <c r="D23" s="8" t="s">
        <v>987</v>
      </c>
      <c r="E23" s="8" t="s">
        <v>955</v>
      </c>
      <c r="F23" s="8" t="s">
        <v>454</v>
      </c>
      <c r="G23" s="89" t="s">
        <v>805</v>
      </c>
    </row>
    <row r="24">
      <c r="B24" s="29" t="s">
        <v>189</v>
      </c>
      <c r="C24" s="8" t="s">
        <v>988</v>
      </c>
      <c r="D24" s="8" t="s">
        <v>989</v>
      </c>
      <c r="E24" s="8" t="s">
        <v>955</v>
      </c>
      <c r="F24" s="8" t="s">
        <v>454</v>
      </c>
      <c r="G24" s="89" t="s">
        <v>805</v>
      </c>
    </row>
    <row r="25">
      <c r="B25" s="29" t="s">
        <v>190</v>
      </c>
      <c r="C25" s="8" t="s">
        <v>990</v>
      </c>
      <c r="D25" s="8" t="s">
        <v>991</v>
      </c>
      <c r="E25" s="8" t="s">
        <v>926</v>
      </c>
      <c r="F25" s="8" t="s">
        <v>798</v>
      </c>
      <c r="G25" s="8" t="s">
        <v>790</v>
      </c>
      <c r="H25" s="8" t="s">
        <v>993</v>
      </c>
    </row>
    <row r="26">
      <c r="B26" s="29" t="s">
        <v>191</v>
      </c>
      <c r="C26" s="8" t="s">
        <v>995</v>
      </c>
      <c r="D26" s="8" t="s">
        <v>996</v>
      </c>
      <c r="E26" s="8" t="s">
        <v>998</v>
      </c>
      <c r="F26" s="8" t="s">
        <v>798</v>
      </c>
      <c r="G26" s="8" t="s">
        <v>790</v>
      </c>
    </row>
    <row r="27">
      <c r="B27" s="29" t="s">
        <v>1002</v>
      </c>
      <c r="C27" s="8" t="s">
        <v>1003</v>
      </c>
      <c r="D27" s="8" t="s">
        <v>1004</v>
      </c>
      <c r="E27" s="8" t="s">
        <v>955</v>
      </c>
      <c r="F27" s="8" t="s">
        <v>798</v>
      </c>
      <c r="G27" s="8" t="s">
        <v>790</v>
      </c>
    </row>
    <row r="28">
      <c r="B28" s="29" t="s">
        <v>193</v>
      </c>
      <c r="C28" s="8" t="s">
        <v>1007</v>
      </c>
      <c r="D28" s="8" t="s">
        <v>1008</v>
      </c>
      <c r="E28" s="8" t="s">
        <v>955</v>
      </c>
      <c r="F28" s="8" t="s">
        <v>798</v>
      </c>
      <c r="G28" s="8" t="s">
        <v>790</v>
      </c>
    </row>
    <row r="29">
      <c r="B29" s="29" t="s">
        <v>22</v>
      </c>
      <c r="C29" s="8" t="s">
        <v>1012</v>
      </c>
      <c r="D29" s="8" t="s">
        <v>1013</v>
      </c>
      <c r="E29" s="8" t="s">
        <v>905</v>
      </c>
      <c r="F29" s="8" t="s">
        <v>790</v>
      </c>
      <c r="G29" s="8" t="s">
        <v>798</v>
      </c>
    </row>
    <row r="30">
      <c r="B30" s="29" t="s">
        <v>194</v>
      </c>
      <c r="C30" s="8" t="s">
        <v>1014</v>
      </c>
      <c r="D30" s="8" t="s">
        <v>1015</v>
      </c>
      <c r="E30" s="8" t="s">
        <v>905</v>
      </c>
      <c r="F30" s="8" t="s">
        <v>790</v>
      </c>
      <c r="G30" s="8" t="s">
        <v>798</v>
      </c>
    </row>
    <row r="31">
      <c r="A31" s="94"/>
      <c r="B31" s="37"/>
      <c r="C31" s="8"/>
      <c r="D31" s="8"/>
      <c r="E31" s="8"/>
      <c r="F31" s="8" t="s">
        <v>317</v>
      </c>
      <c r="G31" s="8" t="s">
        <v>454</v>
      </c>
    </row>
    <row r="32">
      <c r="A32" s="94"/>
      <c r="B32" s="37"/>
      <c r="C32" s="8"/>
      <c r="D32" s="8"/>
      <c r="E32" s="8"/>
      <c r="F32" s="8" t="s">
        <v>317</v>
      </c>
      <c r="G32" s="8" t="s">
        <v>454</v>
      </c>
    </row>
    <row r="33">
      <c r="A33" s="94" t="s">
        <v>74</v>
      </c>
      <c r="B33" s="37" t="s">
        <v>250</v>
      </c>
      <c r="C33" s="8" t="s">
        <v>1023</v>
      </c>
      <c r="D33" s="8" t="s">
        <v>1024</v>
      </c>
      <c r="E33" s="8" t="s">
        <v>1025</v>
      </c>
      <c r="F33" s="8" t="s">
        <v>317</v>
      </c>
      <c r="G33" s="8" t="s">
        <v>454</v>
      </c>
      <c r="H33" s="8" t="s">
        <v>1027</v>
      </c>
    </row>
    <row r="34">
      <c r="B34" s="37" t="s">
        <v>1031</v>
      </c>
      <c r="C34" s="8" t="s">
        <v>1032</v>
      </c>
      <c r="D34" s="8" t="s">
        <v>1033</v>
      </c>
      <c r="E34" s="8" t="s">
        <v>1025</v>
      </c>
      <c r="F34" s="8" t="s">
        <v>805</v>
      </c>
      <c r="G34" s="8" t="s">
        <v>322</v>
      </c>
    </row>
    <row r="35">
      <c r="B35" s="37" t="s">
        <v>1036</v>
      </c>
      <c r="C35" s="8" t="s">
        <v>1038</v>
      </c>
      <c r="E35" s="8" t="s">
        <v>1025</v>
      </c>
      <c r="F35" s="8" t="s">
        <v>805</v>
      </c>
      <c r="G35" s="8" t="s">
        <v>322</v>
      </c>
    </row>
    <row r="36">
      <c r="B36" s="37" t="s">
        <v>263</v>
      </c>
      <c r="C36" s="8" t="s">
        <v>1039</v>
      </c>
      <c r="E36" s="8" t="s">
        <v>1025</v>
      </c>
      <c r="F36" s="8" t="s">
        <v>805</v>
      </c>
      <c r="G36" s="8" t="s">
        <v>322</v>
      </c>
    </row>
    <row r="37">
      <c r="A37" s="96"/>
      <c r="B37" s="37" t="s">
        <v>265</v>
      </c>
      <c r="C37" s="8" t="s">
        <v>1041</v>
      </c>
      <c r="D37" s="8" t="s">
        <v>1042</v>
      </c>
      <c r="E37" s="8" t="s">
        <v>1025</v>
      </c>
      <c r="F37" s="8" t="s">
        <v>317</v>
      </c>
      <c r="G37" s="8" t="s">
        <v>1044</v>
      </c>
    </row>
    <row r="38">
      <c r="A38" s="97" t="s">
        <v>1046</v>
      </c>
      <c r="B38" s="98" t="s">
        <v>1051</v>
      </c>
      <c r="C38" s="8" t="s">
        <v>1057</v>
      </c>
    </row>
    <row r="39">
      <c r="A39" s="99"/>
      <c r="B39" s="98" t="s">
        <v>1059</v>
      </c>
      <c r="C39" s="8" t="s">
        <v>1060</v>
      </c>
    </row>
    <row r="40">
      <c r="A40" s="96"/>
      <c r="B40" s="100" t="s">
        <v>74</v>
      </c>
      <c r="C40" s="8" t="s">
        <v>1067</v>
      </c>
    </row>
    <row r="41">
      <c r="A41" s="96"/>
    </row>
    <row r="42">
      <c r="A42" s="101" t="s">
        <v>1070</v>
      </c>
      <c r="B42" s="25" t="s">
        <v>135</v>
      </c>
    </row>
    <row r="43">
      <c r="A43" s="102" t="s">
        <v>1073</v>
      </c>
      <c r="B43" s="103" t="s">
        <v>1074</v>
      </c>
    </row>
    <row r="44">
      <c r="B44" s="103" t="s">
        <v>1016</v>
      </c>
    </row>
    <row r="45">
      <c r="B45" s="103" t="s">
        <v>1030</v>
      </c>
    </row>
    <row r="46">
      <c r="B46" s="103" t="s">
        <v>1040</v>
      </c>
    </row>
    <row r="47">
      <c r="B47" s="103" t="s">
        <v>1056</v>
      </c>
    </row>
    <row r="48">
      <c r="B48" s="103" t="s">
        <v>1068</v>
      </c>
    </row>
    <row r="49">
      <c r="A49" s="105"/>
      <c r="B49" s="106" t="s">
        <v>994</v>
      </c>
    </row>
    <row r="50">
      <c r="B50" s="106" t="s">
        <v>1017</v>
      </c>
    </row>
    <row r="51">
      <c r="B51" s="106" t="s">
        <v>1034</v>
      </c>
    </row>
    <row r="52">
      <c r="A52" s="105" t="s">
        <v>1036</v>
      </c>
      <c r="B52" s="106" t="s">
        <v>1094</v>
      </c>
    </row>
    <row r="53">
      <c r="B53" s="106" t="s">
        <v>1096</v>
      </c>
    </row>
    <row r="54">
      <c r="B54" s="106" t="s">
        <v>1098</v>
      </c>
    </row>
    <row r="55">
      <c r="A55" s="105"/>
      <c r="B55" s="106" t="s">
        <v>1099</v>
      </c>
    </row>
    <row r="56">
      <c r="A56" s="96"/>
    </row>
    <row r="57">
      <c r="A57" s="96"/>
      <c r="C57" s="8" t="s">
        <v>1101</v>
      </c>
    </row>
    <row r="58">
      <c r="A58" s="96"/>
    </row>
    <row r="59">
      <c r="A59" s="96"/>
    </row>
    <row r="61">
      <c r="A61" s="109"/>
      <c r="B61" s="8" t="s">
        <v>195</v>
      </c>
      <c r="C61" s="8" t="s">
        <v>1112</v>
      </c>
    </row>
    <row r="62">
      <c r="A62" s="109"/>
      <c r="B62" s="8" t="s">
        <v>209</v>
      </c>
      <c r="C62" s="8" t="s">
        <v>1112</v>
      </c>
    </row>
    <row r="63" ht="17.25" customHeight="1">
      <c r="A63" s="111"/>
      <c r="B63" s="8" t="s">
        <v>219</v>
      </c>
      <c r="C63" s="8" t="s">
        <v>1112</v>
      </c>
    </row>
    <row r="64">
      <c r="A64" s="111"/>
      <c r="B64" s="8" t="s">
        <v>1119</v>
      </c>
      <c r="C64" s="8" t="s">
        <v>1112</v>
      </c>
    </row>
    <row r="65">
      <c r="A65" s="109"/>
      <c r="B65" s="8" t="s">
        <v>1121</v>
      </c>
      <c r="C65" s="8" t="s">
        <v>1112</v>
      </c>
    </row>
    <row r="66">
      <c r="A66" s="109"/>
      <c r="B66" s="8" t="s">
        <v>29</v>
      </c>
      <c r="C66" s="8" t="s">
        <v>1112</v>
      </c>
    </row>
    <row r="67">
      <c r="A67" s="109"/>
      <c r="B67" s="8" t="s">
        <v>30</v>
      </c>
      <c r="C67" s="8" t="s">
        <v>1112</v>
      </c>
    </row>
    <row r="68">
      <c r="A68" s="109"/>
      <c r="B68" s="8" t="s">
        <v>1123</v>
      </c>
      <c r="C68" s="8" t="s">
        <v>1126</v>
      </c>
      <c r="G68" s="10"/>
      <c r="I68" s="10"/>
      <c r="J68" s="10"/>
      <c r="K68" s="10"/>
    </row>
    <row r="69">
      <c r="A69" s="109"/>
      <c r="B69" s="8" t="s">
        <v>1127</v>
      </c>
      <c r="C69" s="8" t="s">
        <v>1128</v>
      </c>
    </row>
    <row r="70">
      <c r="A70" s="109"/>
      <c r="B70" s="8" t="s">
        <v>229</v>
      </c>
      <c r="C70" s="8" t="s">
        <v>1112</v>
      </c>
    </row>
    <row r="71">
      <c r="A71" s="117" t="s">
        <v>71</v>
      </c>
      <c r="B71" s="10" t="s">
        <v>230</v>
      </c>
      <c r="C71" s="8" t="s">
        <v>1136</v>
      </c>
    </row>
    <row r="72">
      <c r="B72" s="8" t="s">
        <v>1137</v>
      </c>
      <c r="C72" s="8" t="s">
        <v>1138</v>
      </c>
    </row>
    <row r="73">
      <c r="A73" s="109"/>
      <c r="B73" s="10" t="s">
        <v>235</v>
      </c>
      <c r="C73" s="8" t="s">
        <v>1112</v>
      </c>
    </row>
    <row r="74">
      <c r="A74" s="109"/>
      <c r="B74" s="10" t="s">
        <v>1141</v>
      </c>
      <c r="C74" s="8" t="s">
        <v>1112</v>
      </c>
    </row>
    <row r="75">
      <c r="A75" s="109"/>
      <c r="B75" s="10" t="s">
        <v>1142</v>
      </c>
      <c r="C75" s="8" t="s">
        <v>1112</v>
      </c>
    </row>
    <row r="76">
      <c r="A76" s="109"/>
      <c r="B76" s="8" t="s">
        <v>239</v>
      </c>
      <c r="C76" s="8" t="s">
        <v>1112</v>
      </c>
    </row>
    <row r="77">
      <c r="A77" s="109"/>
      <c r="B77" s="8" t="s">
        <v>1143</v>
      </c>
    </row>
    <row r="78">
      <c r="A78" s="109"/>
      <c r="B78" s="8" t="s">
        <v>245</v>
      </c>
      <c r="C78" s="8" t="s">
        <v>1112</v>
      </c>
    </row>
    <row r="79">
      <c r="A79" s="96"/>
    </row>
    <row r="80">
      <c r="A80" s="96"/>
    </row>
    <row r="81">
      <c r="A81" s="96"/>
    </row>
    <row r="82">
      <c r="A82" s="96"/>
    </row>
    <row r="83">
      <c r="A83" s="96"/>
    </row>
    <row r="84">
      <c r="A84" s="96"/>
    </row>
    <row r="85">
      <c r="A85" s="96"/>
    </row>
    <row r="86">
      <c r="A86" s="96"/>
    </row>
    <row r="87">
      <c r="A87" s="96"/>
    </row>
    <row r="88">
      <c r="A88" s="96"/>
    </row>
    <row r="89">
      <c r="A89" s="96"/>
    </row>
    <row r="90">
      <c r="A90" s="96"/>
    </row>
    <row r="91">
      <c r="A91" s="96"/>
    </row>
    <row r="92">
      <c r="A92" s="96"/>
    </row>
    <row r="93">
      <c r="A93" s="96"/>
    </row>
    <row r="94">
      <c r="A94" s="96"/>
    </row>
    <row r="95">
      <c r="A95" s="96"/>
    </row>
    <row r="96">
      <c r="A96" s="96"/>
    </row>
    <row r="97">
      <c r="A97" s="96"/>
    </row>
    <row r="98">
      <c r="A98" s="96"/>
    </row>
    <row r="99">
      <c r="A99" s="96"/>
    </row>
    <row r="100">
      <c r="A100" s="96"/>
    </row>
    <row r="101">
      <c r="A101" s="96"/>
    </row>
    <row r="102">
      <c r="A102" s="96"/>
    </row>
    <row r="103">
      <c r="A103" s="96"/>
    </row>
    <row r="104">
      <c r="A104" s="96"/>
    </row>
    <row r="105">
      <c r="A105" s="96"/>
    </row>
    <row r="106">
      <c r="A106" s="96"/>
    </row>
    <row r="107">
      <c r="A107" s="96"/>
    </row>
    <row r="108">
      <c r="A108" s="96"/>
    </row>
    <row r="109">
      <c r="A109" s="96"/>
    </row>
    <row r="110">
      <c r="A110" s="96"/>
    </row>
    <row r="111">
      <c r="A111" s="96"/>
    </row>
    <row r="112">
      <c r="A112" s="96"/>
    </row>
    <row r="113">
      <c r="A113" s="96"/>
    </row>
    <row r="114">
      <c r="A114" s="96"/>
    </row>
    <row r="115">
      <c r="A115" s="96"/>
    </row>
    <row r="116">
      <c r="A116" s="96"/>
    </row>
    <row r="117">
      <c r="A117" s="96"/>
    </row>
    <row r="118">
      <c r="A118" s="96"/>
    </row>
    <row r="119">
      <c r="A119" s="96"/>
    </row>
    <row r="120">
      <c r="A120" s="96"/>
    </row>
    <row r="121">
      <c r="A121" s="96"/>
    </row>
    <row r="122">
      <c r="A122" s="96"/>
    </row>
    <row r="123">
      <c r="A123" s="96"/>
    </row>
    <row r="124">
      <c r="A124" s="96"/>
    </row>
    <row r="125">
      <c r="A125" s="96"/>
    </row>
    <row r="126">
      <c r="A126" s="96"/>
    </row>
    <row r="127">
      <c r="A127" s="96"/>
    </row>
    <row r="128">
      <c r="A128" s="96"/>
    </row>
    <row r="129">
      <c r="A129" s="96"/>
    </row>
    <row r="130">
      <c r="A130" s="96"/>
    </row>
    <row r="131">
      <c r="A131" s="96"/>
    </row>
    <row r="132">
      <c r="A132" s="96"/>
    </row>
    <row r="133">
      <c r="A133" s="96"/>
    </row>
    <row r="134">
      <c r="A134" s="96"/>
    </row>
    <row r="135">
      <c r="A135" s="96"/>
    </row>
    <row r="136">
      <c r="A136" s="96"/>
    </row>
    <row r="137">
      <c r="A137" s="96"/>
    </row>
    <row r="138">
      <c r="A138" s="96"/>
    </row>
    <row r="139">
      <c r="A139" s="96"/>
    </row>
    <row r="140">
      <c r="A140" s="96"/>
    </row>
    <row r="141">
      <c r="A141" s="96"/>
    </row>
    <row r="142">
      <c r="A142" s="96"/>
    </row>
    <row r="143">
      <c r="A143" s="96"/>
    </row>
    <row r="144">
      <c r="A144" s="96"/>
    </row>
    <row r="145">
      <c r="A145" s="96"/>
    </row>
    <row r="146">
      <c r="A146" s="96"/>
    </row>
    <row r="147">
      <c r="A147" s="96"/>
    </row>
    <row r="148">
      <c r="A148" s="96"/>
    </row>
    <row r="149">
      <c r="A149" s="96"/>
    </row>
    <row r="150">
      <c r="A150" s="96"/>
    </row>
    <row r="151">
      <c r="A151" s="96"/>
    </row>
    <row r="152">
      <c r="A152" s="96"/>
    </row>
    <row r="153">
      <c r="A153" s="96"/>
    </row>
    <row r="154">
      <c r="A154" s="96"/>
    </row>
    <row r="155">
      <c r="A155" s="96"/>
    </row>
    <row r="156">
      <c r="A156" s="96"/>
    </row>
    <row r="157">
      <c r="A157" s="96"/>
    </row>
    <row r="158">
      <c r="A158" s="96"/>
    </row>
    <row r="159">
      <c r="A159" s="96"/>
    </row>
    <row r="160">
      <c r="A160" s="96"/>
    </row>
    <row r="161">
      <c r="A161" s="96"/>
    </row>
    <row r="162">
      <c r="A162" s="96"/>
    </row>
    <row r="163">
      <c r="A163" s="96"/>
    </row>
    <row r="164">
      <c r="A164" s="96"/>
    </row>
    <row r="165">
      <c r="A165" s="96"/>
    </row>
    <row r="166">
      <c r="A166" s="96"/>
    </row>
    <row r="167">
      <c r="A167" s="96"/>
    </row>
    <row r="168">
      <c r="A168" s="96"/>
    </row>
    <row r="169">
      <c r="A169" s="96"/>
    </row>
    <row r="170">
      <c r="A170" s="96"/>
    </row>
    <row r="171">
      <c r="A171" s="96"/>
    </row>
    <row r="172">
      <c r="A172" s="96"/>
    </row>
    <row r="173">
      <c r="A173" s="96"/>
    </row>
    <row r="174">
      <c r="A174" s="96"/>
    </row>
    <row r="175">
      <c r="A175" s="96"/>
    </row>
    <row r="176">
      <c r="A176" s="96"/>
    </row>
    <row r="177">
      <c r="A177" s="96"/>
    </row>
    <row r="178">
      <c r="A178" s="96"/>
    </row>
    <row r="179">
      <c r="A179" s="96"/>
    </row>
    <row r="180">
      <c r="A180" s="96"/>
    </row>
    <row r="181">
      <c r="A181" s="96"/>
    </row>
    <row r="182">
      <c r="A182" s="96"/>
    </row>
    <row r="183">
      <c r="A183" s="96"/>
    </row>
    <row r="184">
      <c r="A184" s="96"/>
    </row>
    <row r="185">
      <c r="A185" s="96"/>
    </row>
    <row r="186">
      <c r="A186" s="96"/>
    </row>
    <row r="187">
      <c r="A187" s="96"/>
    </row>
    <row r="188">
      <c r="A188" s="96"/>
    </row>
    <row r="189">
      <c r="A189" s="96"/>
    </row>
    <row r="190">
      <c r="A190" s="96"/>
    </row>
    <row r="191">
      <c r="A191" s="96"/>
    </row>
    <row r="192">
      <c r="A192" s="96"/>
    </row>
    <row r="193">
      <c r="A193" s="96"/>
    </row>
    <row r="194">
      <c r="A194" s="96"/>
    </row>
    <row r="195">
      <c r="A195" s="96"/>
    </row>
    <row r="196">
      <c r="A196" s="96"/>
    </row>
    <row r="197">
      <c r="A197" s="96"/>
    </row>
    <row r="198">
      <c r="A198" s="96"/>
    </row>
    <row r="199">
      <c r="A199" s="96"/>
    </row>
    <row r="200">
      <c r="A200" s="96"/>
    </row>
    <row r="201">
      <c r="A201" s="96"/>
    </row>
    <row r="202">
      <c r="A202" s="96"/>
    </row>
    <row r="203">
      <c r="A203" s="96"/>
    </row>
    <row r="204">
      <c r="A204" s="96"/>
    </row>
    <row r="205">
      <c r="A205" s="96"/>
    </row>
    <row r="206">
      <c r="A206" s="96"/>
    </row>
    <row r="207">
      <c r="A207" s="96"/>
    </row>
    <row r="208">
      <c r="A208" s="96"/>
    </row>
    <row r="209">
      <c r="A209" s="96"/>
    </row>
    <row r="210">
      <c r="A210" s="96"/>
    </row>
    <row r="211">
      <c r="A211" s="96"/>
    </row>
    <row r="212">
      <c r="A212" s="96"/>
    </row>
    <row r="213">
      <c r="A213" s="96"/>
    </row>
    <row r="214">
      <c r="A214" s="96"/>
    </row>
    <row r="215">
      <c r="A215" s="96"/>
    </row>
    <row r="216">
      <c r="A216" s="96"/>
    </row>
    <row r="217">
      <c r="A217" s="96"/>
    </row>
    <row r="218">
      <c r="A218" s="96"/>
    </row>
    <row r="219">
      <c r="A219" s="96"/>
    </row>
    <row r="220">
      <c r="A220" s="96"/>
    </row>
    <row r="221">
      <c r="A221" s="96"/>
    </row>
    <row r="222">
      <c r="A222" s="96"/>
    </row>
    <row r="223">
      <c r="A223" s="96"/>
    </row>
    <row r="224">
      <c r="A224" s="96"/>
    </row>
    <row r="225">
      <c r="A225" s="96"/>
    </row>
    <row r="226">
      <c r="A226" s="96"/>
    </row>
    <row r="227">
      <c r="A227" s="96"/>
    </row>
    <row r="228">
      <c r="A228" s="96"/>
    </row>
    <row r="229">
      <c r="A229" s="96"/>
    </row>
    <row r="230">
      <c r="A230" s="96"/>
    </row>
    <row r="231">
      <c r="A231" s="96"/>
    </row>
    <row r="232">
      <c r="A232" s="96"/>
    </row>
    <row r="233">
      <c r="A233" s="96"/>
    </row>
    <row r="234">
      <c r="A234" s="96"/>
    </row>
    <row r="235">
      <c r="A235" s="96"/>
    </row>
    <row r="236">
      <c r="A236" s="96"/>
    </row>
    <row r="237">
      <c r="A237" s="96"/>
    </row>
    <row r="238">
      <c r="A238" s="96"/>
    </row>
    <row r="239">
      <c r="A239" s="96"/>
    </row>
    <row r="240">
      <c r="A240" s="96"/>
    </row>
    <row r="241">
      <c r="A241" s="96"/>
    </row>
    <row r="242">
      <c r="A242" s="96"/>
    </row>
    <row r="243">
      <c r="A243" s="96"/>
    </row>
    <row r="244">
      <c r="A244" s="96"/>
    </row>
    <row r="245">
      <c r="A245" s="96"/>
    </row>
    <row r="246">
      <c r="A246" s="96"/>
    </row>
    <row r="247">
      <c r="A247" s="96"/>
    </row>
    <row r="248">
      <c r="A248" s="96"/>
    </row>
    <row r="249">
      <c r="A249" s="96"/>
    </row>
    <row r="250">
      <c r="A250" s="96"/>
    </row>
    <row r="251">
      <c r="A251" s="96"/>
    </row>
    <row r="252">
      <c r="A252" s="96"/>
    </row>
    <row r="253">
      <c r="A253" s="96"/>
    </row>
    <row r="254">
      <c r="A254" s="96"/>
    </row>
    <row r="255">
      <c r="A255" s="96"/>
    </row>
    <row r="256">
      <c r="A256" s="96"/>
    </row>
    <row r="257">
      <c r="A257" s="96"/>
    </row>
    <row r="258">
      <c r="A258" s="96"/>
    </row>
    <row r="259">
      <c r="A259" s="96"/>
    </row>
    <row r="260">
      <c r="A260" s="96"/>
    </row>
    <row r="261">
      <c r="A261" s="96"/>
    </row>
    <row r="262">
      <c r="A262" s="96"/>
    </row>
    <row r="263">
      <c r="A263" s="96"/>
    </row>
    <row r="264">
      <c r="A264" s="96"/>
    </row>
    <row r="265">
      <c r="A265" s="96"/>
    </row>
    <row r="266">
      <c r="A266" s="96"/>
    </row>
    <row r="267">
      <c r="A267" s="96"/>
    </row>
    <row r="268">
      <c r="A268" s="96"/>
    </row>
    <row r="269">
      <c r="A269" s="96"/>
    </row>
    <row r="270">
      <c r="A270" s="96"/>
    </row>
    <row r="271">
      <c r="A271" s="96"/>
    </row>
    <row r="272">
      <c r="A272" s="96"/>
    </row>
    <row r="273">
      <c r="A273" s="96"/>
    </row>
    <row r="274">
      <c r="A274" s="96"/>
    </row>
    <row r="275">
      <c r="A275" s="96"/>
    </row>
    <row r="276">
      <c r="A276" s="96"/>
    </row>
    <row r="277">
      <c r="A277" s="96"/>
    </row>
    <row r="278">
      <c r="A278" s="96"/>
    </row>
    <row r="279">
      <c r="A279" s="96"/>
    </row>
    <row r="280">
      <c r="A280" s="96"/>
    </row>
    <row r="281">
      <c r="A281" s="96"/>
    </row>
    <row r="282">
      <c r="A282" s="96"/>
    </row>
    <row r="283">
      <c r="A283" s="96"/>
    </row>
    <row r="284">
      <c r="A284" s="96"/>
    </row>
    <row r="285">
      <c r="A285" s="96"/>
    </row>
    <row r="286">
      <c r="A286" s="96"/>
    </row>
    <row r="287">
      <c r="A287" s="96"/>
    </row>
    <row r="288">
      <c r="A288" s="96"/>
    </row>
    <row r="289">
      <c r="A289" s="96"/>
    </row>
    <row r="290">
      <c r="A290" s="96"/>
    </row>
    <row r="291">
      <c r="A291" s="96"/>
    </row>
    <row r="292">
      <c r="A292" s="96"/>
    </row>
    <row r="293">
      <c r="A293" s="96"/>
    </row>
    <row r="294">
      <c r="A294" s="96"/>
    </row>
    <row r="295">
      <c r="A295" s="96"/>
    </row>
    <row r="296">
      <c r="A296" s="96"/>
    </row>
    <row r="297">
      <c r="A297" s="96"/>
    </row>
    <row r="298">
      <c r="A298" s="96"/>
    </row>
    <row r="299">
      <c r="A299" s="96"/>
    </row>
    <row r="300">
      <c r="A300" s="96"/>
    </row>
    <row r="301">
      <c r="A301" s="96"/>
    </row>
    <row r="302">
      <c r="A302" s="96"/>
    </row>
    <row r="303">
      <c r="A303" s="96"/>
    </row>
    <row r="304">
      <c r="A304" s="96"/>
    </row>
    <row r="305">
      <c r="A305" s="96"/>
    </row>
    <row r="306">
      <c r="A306" s="96"/>
    </row>
    <row r="307">
      <c r="A307" s="96"/>
    </row>
    <row r="308">
      <c r="A308" s="96"/>
    </row>
    <row r="309">
      <c r="A309" s="96"/>
    </row>
    <row r="310">
      <c r="A310" s="96"/>
    </row>
    <row r="311">
      <c r="A311" s="96"/>
    </row>
    <row r="312">
      <c r="A312" s="96"/>
    </row>
    <row r="313">
      <c r="A313" s="96"/>
    </row>
    <row r="314">
      <c r="A314" s="96"/>
    </row>
    <row r="315">
      <c r="A315" s="96"/>
    </row>
    <row r="316">
      <c r="A316" s="96"/>
    </row>
    <row r="317">
      <c r="A317" s="96"/>
    </row>
    <row r="318">
      <c r="A318" s="96"/>
    </row>
    <row r="319">
      <c r="A319" s="96"/>
    </row>
    <row r="320">
      <c r="A320" s="96"/>
    </row>
    <row r="321">
      <c r="A321" s="96"/>
    </row>
    <row r="322">
      <c r="A322" s="96"/>
    </row>
    <row r="323">
      <c r="A323" s="96"/>
    </row>
    <row r="324">
      <c r="A324" s="96"/>
    </row>
    <row r="325">
      <c r="A325" s="96"/>
    </row>
    <row r="326">
      <c r="A326" s="96"/>
    </row>
    <row r="327">
      <c r="A327" s="96"/>
    </row>
    <row r="328">
      <c r="A328" s="96"/>
    </row>
    <row r="329">
      <c r="A329" s="96"/>
    </row>
    <row r="330">
      <c r="A330" s="96"/>
    </row>
    <row r="331">
      <c r="A331" s="96"/>
    </row>
    <row r="332">
      <c r="A332" s="96"/>
    </row>
    <row r="333">
      <c r="A333" s="96"/>
    </row>
    <row r="334">
      <c r="A334" s="96"/>
    </row>
    <row r="335">
      <c r="A335" s="96"/>
    </row>
    <row r="336">
      <c r="A336" s="96"/>
    </row>
    <row r="337">
      <c r="A337" s="96"/>
    </row>
    <row r="338">
      <c r="A338" s="96"/>
    </row>
    <row r="339">
      <c r="A339" s="96"/>
    </row>
    <row r="340">
      <c r="A340" s="96"/>
    </row>
    <row r="341">
      <c r="A341" s="96"/>
    </row>
    <row r="342">
      <c r="A342" s="96"/>
    </row>
    <row r="343">
      <c r="A343" s="96"/>
    </row>
    <row r="344">
      <c r="A344" s="96"/>
    </row>
    <row r="345">
      <c r="A345" s="96"/>
    </row>
    <row r="346">
      <c r="A346" s="96"/>
    </row>
    <row r="347">
      <c r="A347" s="96"/>
    </row>
    <row r="348">
      <c r="A348" s="96"/>
    </row>
    <row r="349">
      <c r="A349" s="96"/>
    </row>
    <row r="350">
      <c r="A350" s="96"/>
    </row>
    <row r="351">
      <c r="A351" s="96"/>
    </row>
    <row r="352">
      <c r="A352" s="96"/>
    </row>
    <row r="353">
      <c r="A353" s="96"/>
    </row>
    <row r="354">
      <c r="A354" s="96"/>
    </row>
    <row r="355">
      <c r="A355" s="96"/>
    </row>
    <row r="356">
      <c r="A356" s="96"/>
    </row>
    <row r="357">
      <c r="A357" s="96"/>
    </row>
    <row r="358">
      <c r="A358" s="96"/>
    </row>
    <row r="359">
      <c r="A359" s="96"/>
    </row>
    <row r="360">
      <c r="A360" s="96"/>
    </row>
    <row r="361">
      <c r="A361" s="96"/>
    </row>
    <row r="362">
      <c r="A362" s="96"/>
    </row>
    <row r="363">
      <c r="A363" s="96"/>
    </row>
    <row r="364">
      <c r="A364" s="96"/>
    </row>
    <row r="365">
      <c r="A365" s="96"/>
    </row>
    <row r="366">
      <c r="A366" s="96"/>
    </row>
    <row r="367">
      <c r="A367" s="96"/>
    </row>
    <row r="368">
      <c r="A368" s="96"/>
    </row>
    <row r="369">
      <c r="A369" s="96"/>
    </row>
    <row r="370">
      <c r="A370" s="96"/>
    </row>
    <row r="371">
      <c r="A371" s="96"/>
    </row>
    <row r="372">
      <c r="A372" s="96"/>
    </row>
    <row r="373">
      <c r="A373" s="96"/>
    </row>
    <row r="374">
      <c r="A374" s="96"/>
    </row>
    <row r="375">
      <c r="A375" s="96"/>
    </row>
    <row r="376">
      <c r="A376" s="96"/>
    </row>
    <row r="377">
      <c r="A377" s="96"/>
    </row>
    <row r="378">
      <c r="A378" s="96"/>
    </row>
    <row r="379">
      <c r="A379" s="96"/>
    </row>
    <row r="380">
      <c r="A380" s="96"/>
    </row>
    <row r="381">
      <c r="A381" s="96"/>
    </row>
    <row r="382">
      <c r="A382" s="96"/>
    </row>
    <row r="383">
      <c r="A383" s="96"/>
    </row>
    <row r="384">
      <c r="A384" s="96"/>
    </row>
    <row r="385">
      <c r="A385" s="96"/>
    </row>
    <row r="386">
      <c r="A386" s="96"/>
    </row>
    <row r="387">
      <c r="A387" s="96"/>
    </row>
    <row r="388">
      <c r="A388" s="96"/>
    </row>
    <row r="389">
      <c r="A389" s="96"/>
    </row>
    <row r="390">
      <c r="A390" s="96"/>
    </row>
    <row r="391">
      <c r="A391" s="96"/>
    </row>
    <row r="392">
      <c r="A392" s="96"/>
    </row>
    <row r="393">
      <c r="A393" s="96"/>
    </row>
    <row r="394">
      <c r="A394" s="96"/>
    </row>
    <row r="395">
      <c r="A395" s="96"/>
    </row>
    <row r="396">
      <c r="A396" s="96"/>
    </row>
    <row r="397">
      <c r="A397" s="96"/>
    </row>
    <row r="398">
      <c r="A398" s="96"/>
    </row>
    <row r="399">
      <c r="A399" s="96"/>
    </row>
    <row r="400">
      <c r="A400" s="96"/>
    </row>
    <row r="401">
      <c r="A401" s="96"/>
    </row>
    <row r="402">
      <c r="A402" s="96"/>
    </row>
    <row r="403">
      <c r="A403" s="96"/>
    </row>
    <row r="404">
      <c r="A404" s="96"/>
    </row>
    <row r="405">
      <c r="A405" s="96"/>
    </row>
    <row r="406">
      <c r="A406" s="96"/>
    </row>
    <row r="407">
      <c r="A407" s="96"/>
    </row>
    <row r="408">
      <c r="A408" s="96"/>
    </row>
    <row r="409">
      <c r="A409" s="96"/>
    </row>
    <row r="410">
      <c r="A410" s="96"/>
    </row>
    <row r="411">
      <c r="A411" s="96"/>
    </row>
    <row r="412">
      <c r="A412" s="96"/>
    </row>
    <row r="413">
      <c r="A413" s="96"/>
    </row>
    <row r="414">
      <c r="A414" s="96"/>
    </row>
    <row r="415">
      <c r="A415" s="96"/>
    </row>
    <row r="416">
      <c r="A416" s="96"/>
    </row>
    <row r="417">
      <c r="A417" s="96"/>
    </row>
    <row r="418">
      <c r="A418" s="96"/>
    </row>
    <row r="419">
      <c r="A419" s="96"/>
    </row>
    <row r="420">
      <c r="A420" s="96"/>
    </row>
    <row r="421">
      <c r="A421" s="96"/>
    </row>
    <row r="422">
      <c r="A422" s="96"/>
    </row>
    <row r="423">
      <c r="A423" s="96"/>
    </row>
    <row r="424">
      <c r="A424" s="96"/>
    </row>
    <row r="425">
      <c r="A425" s="96"/>
    </row>
    <row r="426">
      <c r="A426" s="96"/>
    </row>
    <row r="427">
      <c r="A427" s="96"/>
    </row>
    <row r="428">
      <c r="A428" s="96"/>
    </row>
    <row r="429">
      <c r="A429" s="96"/>
    </row>
    <row r="430">
      <c r="A430" s="96"/>
    </row>
    <row r="431">
      <c r="A431" s="96"/>
    </row>
    <row r="432">
      <c r="A432" s="96"/>
    </row>
    <row r="433">
      <c r="A433" s="96"/>
    </row>
    <row r="434">
      <c r="A434" s="96"/>
    </row>
    <row r="435">
      <c r="A435" s="96"/>
    </row>
    <row r="436">
      <c r="A436" s="96"/>
    </row>
    <row r="437">
      <c r="A437" s="96"/>
    </row>
    <row r="438">
      <c r="A438" s="96"/>
    </row>
    <row r="439">
      <c r="A439" s="96"/>
    </row>
    <row r="440">
      <c r="A440" s="96"/>
    </row>
    <row r="441">
      <c r="A441" s="96"/>
    </row>
    <row r="442">
      <c r="A442" s="96"/>
    </row>
    <row r="443">
      <c r="A443" s="96"/>
    </row>
    <row r="444">
      <c r="A444" s="96"/>
    </row>
    <row r="445">
      <c r="A445" s="96"/>
    </row>
    <row r="446">
      <c r="A446" s="96"/>
    </row>
    <row r="447">
      <c r="A447" s="96"/>
    </row>
    <row r="448">
      <c r="A448" s="96"/>
    </row>
    <row r="449">
      <c r="A449" s="96"/>
    </row>
    <row r="450">
      <c r="A450" s="96"/>
    </row>
    <row r="451">
      <c r="A451" s="96"/>
    </row>
    <row r="452">
      <c r="A452" s="96"/>
    </row>
    <row r="453">
      <c r="A453" s="96"/>
    </row>
    <row r="454">
      <c r="A454" s="96"/>
    </row>
    <row r="455">
      <c r="A455" s="96"/>
    </row>
    <row r="456">
      <c r="A456" s="96"/>
    </row>
    <row r="457">
      <c r="A457" s="96"/>
    </row>
    <row r="458">
      <c r="A458" s="96"/>
    </row>
    <row r="459">
      <c r="A459" s="96"/>
    </row>
    <row r="460">
      <c r="A460" s="96"/>
    </row>
    <row r="461">
      <c r="A461" s="96"/>
    </row>
    <row r="462">
      <c r="A462" s="96"/>
    </row>
    <row r="463">
      <c r="A463" s="96"/>
    </row>
    <row r="464">
      <c r="A464" s="96"/>
    </row>
    <row r="465">
      <c r="A465" s="96"/>
    </row>
    <row r="466">
      <c r="A466" s="96"/>
    </row>
    <row r="467">
      <c r="A467" s="96"/>
    </row>
    <row r="468">
      <c r="A468" s="96"/>
    </row>
    <row r="469">
      <c r="A469" s="96"/>
    </row>
    <row r="470">
      <c r="A470" s="96"/>
    </row>
    <row r="471">
      <c r="A471" s="96"/>
    </row>
    <row r="472">
      <c r="A472" s="96"/>
    </row>
    <row r="473">
      <c r="A473" s="96"/>
    </row>
    <row r="474">
      <c r="A474" s="96"/>
    </row>
    <row r="475">
      <c r="A475" s="96"/>
    </row>
    <row r="476">
      <c r="A476" s="96"/>
    </row>
    <row r="477">
      <c r="A477" s="96"/>
    </row>
    <row r="478">
      <c r="A478" s="96"/>
    </row>
    <row r="479">
      <c r="A479" s="96"/>
    </row>
    <row r="480">
      <c r="A480" s="96"/>
    </row>
    <row r="481">
      <c r="A481" s="96"/>
    </row>
    <row r="482">
      <c r="A482" s="96"/>
    </row>
    <row r="483">
      <c r="A483" s="96"/>
    </row>
    <row r="484">
      <c r="A484" s="96"/>
    </row>
    <row r="485">
      <c r="A485" s="96"/>
    </row>
    <row r="486">
      <c r="A486" s="96"/>
    </row>
    <row r="487">
      <c r="A487" s="96"/>
    </row>
    <row r="488">
      <c r="A488" s="96"/>
    </row>
    <row r="489">
      <c r="A489" s="96"/>
    </row>
    <row r="490">
      <c r="A490" s="96"/>
    </row>
    <row r="491">
      <c r="A491" s="96"/>
    </row>
    <row r="492">
      <c r="A492" s="96"/>
    </row>
    <row r="493">
      <c r="A493" s="96"/>
    </row>
    <row r="494">
      <c r="A494" s="96"/>
    </row>
    <row r="495">
      <c r="A495" s="96"/>
    </row>
    <row r="496">
      <c r="A496" s="96"/>
    </row>
    <row r="497">
      <c r="A497" s="96"/>
    </row>
    <row r="498">
      <c r="A498" s="96"/>
    </row>
    <row r="499">
      <c r="A499" s="96"/>
    </row>
    <row r="500">
      <c r="A500" s="96"/>
    </row>
    <row r="501">
      <c r="A501" s="96"/>
    </row>
    <row r="502">
      <c r="A502" s="96"/>
    </row>
    <row r="503">
      <c r="A503" s="96"/>
    </row>
    <row r="504">
      <c r="A504" s="96"/>
    </row>
    <row r="505">
      <c r="A505" s="96"/>
    </row>
    <row r="506">
      <c r="A506" s="96"/>
    </row>
    <row r="507">
      <c r="A507" s="96"/>
    </row>
    <row r="508">
      <c r="A508" s="96"/>
    </row>
    <row r="509">
      <c r="A509" s="96"/>
    </row>
    <row r="510">
      <c r="A510" s="96"/>
    </row>
    <row r="511">
      <c r="A511" s="96"/>
    </row>
    <row r="512">
      <c r="A512" s="96"/>
    </row>
    <row r="513">
      <c r="A513" s="96"/>
    </row>
    <row r="514">
      <c r="A514" s="96"/>
    </row>
    <row r="515">
      <c r="A515" s="96"/>
    </row>
    <row r="516">
      <c r="A516" s="96"/>
    </row>
    <row r="517">
      <c r="A517" s="96"/>
    </row>
    <row r="518">
      <c r="A518" s="96"/>
    </row>
    <row r="519">
      <c r="A519" s="96"/>
    </row>
    <row r="520">
      <c r="A520" s="96"/>
    </row>
    <row r="521">
      <c r="A521" s="96"/>
    </row>
    <row r="522">
      <c r="A522" s="96"/>
    </row>
    <row r="523">
      <c r="A523" s="96"/>
    </row>
    <row r="524">
      <c r="A524" s="96"/>
    </row>
    <row r="525">
      <c r="A525" s="96"/>
    </row>
    <row r="526">
      <c r="A526" s="96"/>
    </row>
    <row r="527">
      <c r="A527" s="96"/>
    </row>
    <row r="528">
      <c r="A528" s="96"/>
    </row>
    <row r="529">
      <c r="A529" s="96"/>
    </row>
    <row r="530">
      <c r="A530" s="96"/>
    </row>
    <row r="531">
      <c r="A531" s="96"/>
    </row>
    <row r="532">
      <c r="A532" s="96"/>
    </row>
    <row r="533">
      <c r="A533" s="96"/>
    </row>
    <row r="534">
      <c r="A534" s="96"/>
    </row>
    <row r="535">
      <c r="A535" s="96"/>
    </row>
    <row r="536">
      <c r="A536" s="96"/>
    </row>
    <row r="537">
      <c r="A537" s="96"/>
    </row>
    <row r="538">
      <c r="A538" s="96"/>
    </row>
    <row r="539">
      <c r="A539" s="96"/>
    </row>
    <row r="540">
      <c r="A540" s="96"/>
    </row>
    <row r="541">
      <c r="A541" s="96"/>
    </row>
    <row r="542">
      <c r="A542" s="96"/>
    </row>
    <row r="543">
      <c r="A543" s="96"/>
    </row>
    <row r="544">
      <c r="A544" s="96"/>
    </row>
    <row r="545">
      <c r="A545" s="96"/>
    </row>
    <row r="546">
      <c r="A546" s="96"/>
    </row>
    <row r="547">
      <c r="A547" s="96"/>
    </row>
    <row r="548">
      <c r="A548" s="96"/>
    </row>
    <row r="549">
      <c r="A549" s="96"/>
    </row>
    <row r="550">
      <c r="A550" s="96"/>
    </row>
    <row r="551">
      <c r="A551" s="96"/>
    </row>
    <row r="552">
      <c r="A552" s="96"/>
    </row>
    <row r="553">
      <c r="A553" s="96"/>
    </row>
    <row r="554">
      <c r="A554" s="96"/>
    </row>
    <row r="555">
      <c r="A555" s="96"/>
    </row>
    <row r="556">
      <c r="A556" s="96"/>
    </row>
    <row r="557">
      <c r="A557" s="96"/>
    </row>
    <row r="558">
      <c r="A558" s="96"/>
    </row>
    <row r="559">
      <c r="A559" s="96"/>
    </row>
    <row r="560">
      <c r="A560" s="96"/>
    </row>
    <row r="561">
      <c r="A561" s="96"/>
    </row>
    <row r="562">
      <c r="A562" s="96"/>
    </row>
    <row r="563">
      <c r="A563" s="96"/>
    </row>
    <row r="564">
      <c r="A564" s="96"/>
    </row>
    <row r="565">
      <c r="A565" s="96"/>
    </row>
    <row r="566">
      <c r="A566" s="96"/>
    </row>
    <row r="567">
      <c r="A567" s="96"/>
    </row>
    <row r="568">
      <c r="A568" s="96"/>
    </row>
    <row r="569">
      <c r="A569" s="96"/>
    </row>
    <row r="570">
      <c r="A570" s="96"/>
    </row>
    <row r="571">
      <c r="A571" s="96"/>
    </row>
    <row r="572">
      <c r="A572" s="96"/>
    </row>
    <row r="573">
      <c r="A573" s="96"/>
    </row>
    <row r="574">
      <c r="A574" s="96"/>
    </row>
    <row r="575">
      <c r="A575" s="96"/>
    </row>
    <row r="576">
      <c r="A576" s="96"/>
    </row>
    <row r="577">
      <c r="A577" s="96"/>
    </row>
    <row r="578">
      <c r="A578" s="96"/>
    </row>
    <row r="579">
      <c r="A579" s="96"/>
    </row>
    <row r="580">
      <c r="A580" s="96"/>
    </row>
    <row r="581">
      <c r="A581" s="96"/>
    </row>
    <row r="582">
      <c r="A582" s="96"/>
    </row>
    <row r="583">
      <c r="A583" s="96"/>
    </row>
    <row r="584">
      <c r="A584" s="96"/>
    </row>
    <row r="585">
      <c r="A585" s="96"/>
    </row>
    <row r="586">
      <c r="A586" s="96"/>
    </row>
    <row r="587">
      <c r="A587" s="96"/>
    </row>
    <row r="588">
      <c r="A588" s="96"/>
    </row>
    <row r="589">
      <c r="A589" s="96"/>
    </row>
    <row r="590">
      <c r="A590" s="96"/>
    </row>
    <row r="591">
      <c r="A591" s="96"/>
    </row>
    <row r="592">
      <c r="A592" s="96"/>
    </row>
    <row r="593">
      <c r="A593" s="96"/>
    </row>
    <row r="594">
      <c r="A594" s="96"/>
    </row>
    <row r="595">
      <c r="A595" s="96"/>
    </row>
    <row r="596">
      <c r="A596" s="96"/>
    </row>
    <row r="597">
      <c r="A597" s="96"/>
    </row>
    <row r="598">
      <c r="A598" s="96"/>
    </row>
    <row r="599">
      <c r="A599" s="96"/>
    </row>
    <row r="600">
      <c r="A600" s="96"/>
    </row>
    <row r="601">
      <c r="A601" s="96"/>
    </row>
    <row r="602">
      <c r="A602" s="96"/>
    </row>
    <row r="603">
      <c r="A603" s="96"/>
    </row>
    <row r="604">
      <c r="A604" s="96"/>
    </row>
    <row r="605">
      <c r="A605" s="96"/>
    </row>
    <row r="606">
      <c r="A606" s="96"/>
    </row>
    <row r="607">
      <c r="A607" s="96"/>
    </row>
    <row r="608">
      <c r="A608" s="96"/>
    </row>
    <row r="609">
      <c r="A609" s="96"/>
    </row>
    <row r="610">
      <c r="A610" s="96"/>
    </row>
    <row r="611">
      <c r="A611" s="96"/>
    </row>
    <row r="612">
      <c r="A612" s="96"/>
    </row>
    <row r="613">
      <c r="A613" s="96"/>
    </row>
    <row r="614">
      <c r="A614" s="96"/>
    </row>
    <row r="615">
      <c r="A615" s="96"/>
    </row>
    <row r="616">
      <c r="A616" s="96"/>
    </row>
    <row r="617">
      <c r="A617" s="96"/>
    </row>
    <row r="618">
      <c r="A618" s="96"/>
    </row>
    <row r="619">
      <c r="A619" s="96"/>
    </row>
    <row r="620">
      <c r="A620" s="96"/>
    </row>
    <row r="621">
      <c r="A621" s="96"/>
    </row>
    <row r="622">
      <c r="A622" s="96"/>
    </row>
    <row r="623">
      <c r="A623" s="96"/>
    </row>
    <row r="624">
      <c r="A624" s="96"/>
    </row>
    <row r="625">
      <c r="A625" s="96"/>
    </row>
    <row r="626">
      <c r="A626" s="96"/>
    </row>
    <row r="627">
      <c r="A627" s="96"/>
    </row>
    <row r="628">
      <c r="A628" s="96"/>
    </row>
    <row r="629">
      <c r="A629" s="96"/>
    </row>
    <row r="630">
      <c r="A630" s="96"/>
    </row>
    <row r="631">
      <c r="A631" s="96"/>
    </row>
    <row r="632">
      <c r="A632" s="96"/>
    </row>
    <row r="633">
      <c r="A633" s="96"/>
    </row>
    <row r="634">
      <c r="A634" s="96"/>
    </row>
    <row r="635">
      <c r="A635" s="96"/>
    </row>
    <row r="636">
      <c r="A636" s="96"/>
    </row>
    <row r="637">
      <c r="A637" s="96"/>
    </row>
    <row r="638">
      <c r="A638" s="96"/>
    </row>
    <row r="639">
      <c r="A639" s="96"/>
    </row>
    <row r="640">
      <c r="A640" s="96"/>
    </row>
    <row r="641">
      <c r="A641" s="96"/>
    </row>
    <row r="642">
      <c r="A642" s="96"/>
    </row>
    <row r="643">
      <c r="A643" s="96"/>
    </row>
    <row r="644">
      <c r="A644" s="96"/>
    </row>
    <row r="645">
      <c r="A645" s="96"/>
    </row>
    <row r="646">
      <c r="A646" s="96"/>
    </row>
    <row r="647">
      <c r="A647" s="96"/>
    </row>
    <row r="648">
      <c r="A648" s="96"/>
    </row>
    <row r="649">
      <c r="A649" s="96"/>
    </row>
    <row r="650">
      <c r="A650" s="96"/>
    </row>
    <row r="651">
      <c r="A651" s="96"/>
    </row>
    <row r="652">
      <c r="A652" s="96"/>
    </row>
    <row r="653">
      <c r="A653" s="96"/>
    </row>
    <row r="654">
      <c r="A654" s="96"/>
    </row>
    <row r="655">
      <c r="A655" s="96"/>
    </row>
    <row r="656">
      <c r="A656" s="96"/>
    </row>
    <row r="657">
      <c r="A657" s="96"/>
    </row>
    <row r="658">
      <c r="A658" s="96"/>
    </row>
    <row r="659">
      <c r="A659" s="96"/>
    </row>
    <row r="660">
      <c r="A660" s="96"/>
    </row>
    <row r="661">
      <c r="A661" s="96"/>
    </row>
    <row r="662">
      <c r="A662" s="96"/>
    </row>
    <row r="663">
      <c r="A663" s="96"/>
    </row>
    <row r="664">
      <c r="A664" s="96"/>
    </row>
    <row r="665">
      <c r="A665" s="96"/>
    </row>
    <row r="666">
      <c r="A666" s="96"/>
    </row>
    <row r="667">
      <c r="A667" s="96"/>
    </row>
    <row r="668">
      <c r="A668" s="96"/>
    </row>
    <row r="669">
      <c r="A669" s="96"/>
    </row>
    <row r="670">
      <c r="A670" s="96"/>
    </row>
    <row r="671">
      <c r="A671" s="96"/>
    </row>
    <row r="672">
      <c r="A672" s="96"/>
    </row>
    <row r="673">
      <c r="A673" s="96"/>
    </row>
    <row r="674">
      <c r="A674" s="96"/>
    </row>
    <row r="675">
      <c r="A675" s="96"/>
    </row>
    <row r="676">
      <c r="A676" s="96"/>
    </row>
    <row r="677">
      <c r="A677" s="96"/>
    </row>
    <row r="678">
      <c r="A678" s="96"/>
    </row>
    <row r="679">
      <c r="A679" s="96"/>
    </row>
    <row r="680">
      <c r="A680" s="96"/>
    </row>
    <row r="681">
      <c r="A681" s="96"/>
    </row>
    <row r="682">
      <c r="A682" s="96"/>
    </row>
    <row r="683">
      <c r="A683" s="96"/>
    </row>
    <row r="684">
      <c r="A684" s="96"/>
    </row>
    <row r="685">
      <c r="A685" s="96"/>
    </row>
    <row r="686">
      <c r="A686" s="96"/>
    </row>
    <row r="687">
      <c r="A687" s="96"/>
    </row>
    <row r="688">
      <c r="A688" s="96"/>
    </row>
    <row r="689">
      <c r="A689" s="96"/>
    </row>
    <row r="690">
      <c r="A690" s="96"/>
    </row>
    <row r="691">
      <c r="A691" s="96"/>
    </row>
    <row r="692">
      <c r="A692" s="96"/>
    </row>
    <row r="693">
      <c r="A693" s="96"/>
    </row>
    <row r="694">
      <c r="A694" s="96"/>
    </row>
    <row r="695">
      <c r="A695" s="96"/>
    </row>
    <row r="696">
      <c r="A696" s="96"/>
    </row>
    <row r="697">
      <c r="A697" s="96"/>
    </row>
    <row r="698">
      <c r="A698" s="96"/>
    </row>
    <row r="699">
      <c r="A699" s="96"/>
    </row>
    <row r="700">
      <c r="A700" s="96"/>
    </row>
    <row r="701">
      <c r="A701" s="96"/>
    </row>
    <row r="702">
      <c r="A702" s="96"/>
    </row>
    <row r="703">
      <c r="A703" s="96"/>
    </row>
    <row r="704">
      <c r="A704" s="96"/>
    </row>
    <row r="705">
      <c r="A705" s="96"/>
    </row>
    <row r="706">
      <c r="A706" s="96"/>
    </row>
    <row r="707">
      <c r="A707" s="96"/>
    </row>
    <row r="708">
      <c r="A708" s="96"/>
    </row>
    <row r="709">
      <c r="A709" s="96"/>
    </row>
    <row r="710">
      <c r="A710" s="96"/>
    </row>
    <row r="711">
      <c r="A711" s="96"/>
    </row>
    <row r="712">
      <c r="A712" s="96"/>
    </row>
    <row r="713">
      <c r="A713" s="96"/>
    </row>
    <row r="714">
      <c r="A714" s="96"/>
    </row>
    <row r="715">
      <c r="A715" s="96"/>
    </row>
    <row r="716">
      <c r="A716" s="96"/>
    </row>
    <row r="717">
      <c r="A717" s="96"/>
    </row>
    <row r="718">
      <c r="A718" s="96"/>
    </row>
    <row r="719">
      <c r="A719" s="96"/>
    </row>
    <row r="720">
      <c r="A720" s="96"/>
    </row>
    <row r="721">
      <c r="A721" s="96"/>
    </row>
    <row r="722">
      <c r="A722" s="96"/>
    </row>
    <row r="723">
      <c r="A723" s="96"/>
    </row>
    <row r="724">
      <c r="A724" s="96"/>
    </row>
    <row r="725">
      <c r="A725" s="96"/>
    </row>
    <row r="726">
      <c r="A726" s="96"/>
    </row>
    <row r="727">
      <c r="A727" s="96"/>
    </row>
    <row r="728">
      <c r="A728" s="96"/>
    </row>
    <row r="729">
      <c r="A729" s="96"/>
    </row>
    <row r="730">
      <c r="A730" s="96"/>
    </row>
    <row r="731">
      <c r="A731" s="96"/>
    </row>
    <row r="732">
      <c r="A732" s="96"/>
    </row>
    <row r="733">
      <c r="A733" s="96"/>
    </row>
    <row r="734">
      <c r="A734" s="96"/>
    </row>
    <row r="735">
      <c r="A735" s="96"/>
    </row>
    <row r="736">
      <c r="A736" s="96"/>
    </row>
    <row r="737">
      <c r="A737" s="96"/>
    </row>
    <row r="738">
      <c r="A738" s="96"/>
    </row>
    <row r="739">
      <c r="A739" s="96"/>
    </row>
    <row r="740">
      <c r="A740" s="96"/>
    </row>
    <row r="741">
      <c r="A741" s="96"/>
    </row>
    <row r="742">
      <c r="A742" s="96"/>
    </row>
    <row r="743">
      <c r="A743" s="96"/>
    </row>
    <row r="744">
      <c r="A744" s="96"/>
    </row>
    <row r="745">
      <c r="A745" s="96"/>
    </row>
    <row r="746">
      <c r="A746" s="96"/>
    </row>
    <row r="747">
      <c r="A747" s="96"/>
    </row>
    <row r="748">
      <c r="A748" s="96"/>
    </row>
    <row r="749">
      <c r="A749" s="96"/>
    </row>
    <row r="750">
      <c r="A750" s="96"/>
    </row>
    <row r="751">
      <c r="A751" s="96"/>
    </row>
    <row r="752">
      <c r="A752" s="96"/>
    </row>
    <row r="753">
      <c r="A753" s="96"/>
    </row>
    <row r="754">
      <c r="A754" s="96"/>
    </row>
    <row r="755">
      <c r="A755" s="96"/>
    </row>
    <row r="756">
      <c r="A756" s="96"/>
    </row>
    <row r="757">
      <c r="A757" s="96"/>
    </row>
    <row r="758">
      <c r="A758" s="96"/>
    </row>
    <row r="759">
      <c r="A759" s="96"/>
    </row>
    <row r="760">
      <c r="A760" s="96"/>
    </row>
    <row r="761">
      <c r="A761" s="96"/>
    </row>
    <row r="762">
      <c r="A762" s="96"/>
    </row>
    <row r="763">
      <c r="A763" s="96"/>
    </row>
    <row r="764">
      <c r="A764" s="96"/>
    </row>
    <row r="765">
      <c r="A765" s="96"/>
    </row>
    <row r="766">
      <c r="A766" s="96"/>
    </row>
    <row r="767">
      <c r="A767" s="96"/>
    </row>
    <row r="768">
      <c r="A768" s="96"/>
    </row>
    <row r="769">
      <c r="A769" s="96"/>
    </row>
    <row r="770">
      <c r="A770" s="96"/>
    </row>
    <row r="771">
      <c r="A771" s="96"/>
    </row>
    <row r="772">
      <c r="A772" s="96"/>
    </row>
    <row r="773">
      <c r="A773" s="96"/>
    </row>
    <row r="774">
      <c r="A774" s="96"/>
    </row>
    <row r="775">
      <c r="A775" s="96"/>
    </row>
    <row r="776">
      <c r="A776" s="96"/>
    </row>
    <row r="777">
      <c r="A777" s="96"/>
    </row>
    <row r="778">
      <c r="A778" s="96"/>
    </row>
    <row r="779">
      <c r="A779" s="96"/>
    </row>
    <row r="780">
      <c r="A780" s="96"/>
    </row>
    <row r="781">
      <c r="A781" s="96"/>
    </row>
    <row r="782">
      <c r="A782" s="96"/>
    </row>
    <row r="783">
      <c r="A783" s="96"/>
    </row>
    <row r="784">
      <c r="A784" s="96"/>
    </row>
    <row r="785">
      <c r="A785" s="96"/>
    </row>
    <row r="786">
      <c r="A786" s="96"/>
    </row>
    <row r="787">
      <c r="A787" s="96"/>
    </row>
    <row r="788">
      <c r="A788" s="96"/>
    </row>
    <row r="789">
      <c r="A789" s="96"/>
    </row>
    <row r="790">
      <c r="A790" s="96"/>
    </row>
    <row r="791">
      <c r="A791" s="96"/>
    </row>
    <row r="792">
      <c r="A792" s="96"/>
    </row>
    <row r="793">
      <c r="A793" s="96"/>
    </row>
    <row r="794">
      <c r="A794" s="96"/>
    </row>
    <row r="795">
      <c r="A795" s="96"/>
    </row>
    <row r="796">
      <c r="A796" s="96"/>
    </row>
    <row r="797">
      <c r="A797" s="96"/>
    </row>
    <row r="798">
      <c r="A798" s="96"/>
    </row>
    <row r="799">
      <c r="A799" s="96"/>
    </row>
    <row r="800">
      <c r="A800" s="96"/>
    </row>
    <row r="801">
      <c r="A801" s="96"/>
    </row>
    <row r="802">
      <c r="A802" s="96"/>
    </row>
    <row r="803">
      <c r="A803" s="96"/>
    </row>
    <row r="804">
      <c r="A804" s="96"/>
    </row>
    <row r="805">
      <c r="A805" s="96"/>
    </row>
    <row r="806">
      <c r="A806" s="96"/>
    </row>
    <row r="807">
      <c r="A807" s="96"/>
    </row>
    <row r="808">
      <c r="A808" s="96"/>
    </row>
    <row r="809">
      <c r="A809" s="96"/>
    </row>
    <row r="810">
      <c r="A810" s="96"/>
    </row>
    <row r="811">
      <c r="A811" s="96"/>
    </row>
    <row r="812">
      <c r="A812" s="96"/>
    </row>
    <row r="813">
      <c r="A813" s="96"/>
    </row>
    <row r="814">
      <c r="A814" s="96"/>
    </row>
    <row r="815">
      <c r="A815" s="96"/>
    </row>
    <row r="816">
      <c r="A816" s="96"/>
    </row>
    <row r="817">
      <c r="A817" s="96"/>
    </row>
    <row r="818">
      <c r="A818" s="96"/>
    </row>
    <row r="819">
      <c r="A819" s="96"/>
    </row>
    <row r="820">
      <c r="A820" s="96"/>
    </row>
    <row r="821">
      <c r="A821" s="96"/>
    </row>
    <row r="822">
      <c r="A822" s="96"/>
    </row>
    <row r="823">
      <c r="A823" s="96"/>
    </row>
    <row r="824">
      <c r="A824" s="96"/>
    </row>
    <row r="825">
      <c r="A825" s="96"/>
    </row>
    <row r="826">
      <c r="A826" s="96"/>
    </row>
    <row r="827">
      <c r="A827" s="96"/>
    </row>
    <row r="828">
      <c r="A828" s="96"/>
    </row>
    <row r="829">
      <c r="A829" s="96"/>
    </row>
    <row r="830">
      <c r="A830" s="96"/>
    </row>
    <row r="831">
      <c r="A831" s="96"/>
    </row>
    <row r="832">
      <c r="A832" s="96"/>
    </row>
    <row r="833">
      <c r="A833" s="96"/>
    </row>
    <row r="834">
      <c r="A834" s="96"/>
    </row>
    <row r="835">
      <c r="A835" s="96"/>
    </row>
    <row r="836">
      <c r="A836" s="96"/>
    </row>
    <row r="837">
      <c r="A837" s="96"/>
    </row>
    <row r="838">
      <c r="A838" s="96"/>
    </row>
    <row r="839">
      <c r="A839" s="96"/>
    </row>
    <row r="840">
      <c r="A840" s="96"/>
    </row>
    <row r="841">
      <c r="A841" s="96"/>
    </row>
    <row r="842">
      <c r="A842" s="96"/>
    </row>
    <row r="843">
      <c r="A843" s="96"/>
    </row>
    <row r="844">
      <c r="A844" s="96"/>
    </row>
    <row r="845">
      <c r="A845" s="96"/>
    </row>
    <row r="846">
      <c r="A846" s="96"/>
    </row>
    <row r="847">
      <c r="A847" s="96"/>
    </row>
    <row r="848">
      <c r="A848" s="96"/>
    </row>
    <row r="849">
      <c r="A849" s="96"/>
    </row>
    <row r="850">
      <c r="A850" s="96"/>
    </row>
    <row r="851">
      <c r="A851" s="96"/>
    </row>
    <row r="852">
      <c r="A852" s="96"/>
    </row>
    <row r="853">
      <c r="A853" s="96"/>
    </row>
    <row r="854">
      <c r="A854" s="96"/>
    </row>
    <row r="855">
      <c r="A855" s="96"/>
    </row>
    <row r="856">
      <c r="A856" s="96"/>
    </row>
    <row r="857">
      <c r="A857" s="96"/>
    </row>
    <row r="858">
      <c r="A858" s="96"/>
    </row>
    <row r="859">
      <c r="A859" s="96"/>
    </row>
    <row r="860">
      <c r="A860" s="96"/>
    </row>
    <row r="861">
      <c r="A861" s="96"/>
    </row>
    <row r="862">
      <c r="A862" s="96"/>
    </row>
    <row r="863">
      <c r="A863" s="96"/>
    </row>
    <row r="864">
      <c r="A864" s="96"/>
    </row>
    <row r="865">
      <c r="A865" s="96"/>
    </row>
    <row r="866">
      <c r="A866" s="96"/>
    </row>
    <row r="867">
      <c r="A867" s="96"/>
    </row>
    <row r="868">
      <c r="A868" s="96"/>
    </row>
    <row r="869">
      <c r="A869" s="96"/>
    </row>
    <row r="870">
      <c r="A870" s="96"/>
    </row>
    <row r="871">
      <c r="A871" s="96"/>
    </row>
    <row r="872">
      <c r="A872" s="96"/>
    </row>
    <row r="873">
      <c r="A873" s="96"/>
    </row>
    <row r="874">
      <c r="A874" s="96"/>
    </row>
    <row r="875">
      <c r="A875" s="96"/>
    </row>
    <row r="876">
      <c r="A876" s="96"/>
    </row>
    <row r="877">
      <c r="A877" s="96"/>
    </row>
    <row r="878">
      <c r="A878" s="96"/>
    </row>
    <row r="879">
      <c r="A879" s="96"/>
    </row>
    <row r="880">
      <c r="A880" s="96"/>
    </row>
    <row r="881">
      <c r="A881" s="96"/>
    </row>
    <row r="882">
      <c r="A882" s="96"/>
    </row>
    <row r="883">
      <c r="A883" s="96"/>
    </row>
    <row r="884">
      <c r="A884" s="96"/>
    </row>
    <row r="885">
      <c r="A885" s="96"/>
    </row>
    <row r="886">
      <c r="A886" s="96"/>
    </row>
    <row r="887">
      <c r="A887" s="96"/>
    </row>
    <row r="888">
      <c r="A888" s="96"/>
    </row>
    <row r="889">
      <c r="A889" s="96"/>
    </row>
    <row r="890">
      <c r="A890" s="96"/>
    </row>
    <row r="891">
      <c r="A891" s="96"/>
    </row>
    <row r="892">
      <c r="A892" s="96"/>
    </row>
    <row r="893">
      <c r="A893" s="96"/>
    </row>
    <row r="894">
      <c r="A894" s="96"/>
    </row>
    <row r="895">
      <c r="A895" s="96"/>
    </row>
    <row r="896">
      <c r="A896" s="96"/>
    </row>
    <row r="897">
      <c r="A897" s="96"/>
    </row>
    <row r="898">
      <c r="A898" s="96"/>
    </row>
    <row r="899">
      <c r="A899" s="96"/>
    </row>
    <row r="900">
      <c r="A900" s="96"/>
    </row>
    <row r="901">
      <c r="A901" s="96"/>
    </row>
    <row r="902">
      <c r="A902" s="96"/>
    </row>
    <row r="903">
      <c r="A903" s="96"/>
    </row>
    <row r="904">
      <c r="A904" s="96"/>
    </row>
    <row r="905">
      <c r="A905" s="96"/>
    </row>
    <row r="906">
      <c r="A906" s="96"/>
    </row>
    <row r="907">
      <c r="A907" s="96"/>
    </row>
    <row r="908">
      <c r="A908" s="96"/>
    </row>
    <row r="909">
      <c r="A909" s="96"/>
    </row>
    <row r="910">
      <c r="A910" s="96"/>
    </row>
    <row r="911">
      <c r="A911" s="96"/>
    </row>
    <row r="912">
      <c r="A912" s="96"/>
    </row>
    <row r="913">
      <c r="A913" s="96"/>
    </row>
    <row r="914">
      <c r="A914" s="96"/>
    </row>
    <row r="915">
      <c r="A915" s="96"/>
    </row>
    <row r="916">
      <c r="A916" s="96"/>
    </row>
    <row r="917">
      <c r="A917" s="96"/>
    </row>
    <row r="918">
      <c r="A918" s="96"/>
    </row>
    <row r="919">
      <c r="A919" s="96"/>
    </row>
    <row r="920">
      <c r="A920" s="96"/>
    </row>
    <row r="921">
      <c r="A921" s="96"/>
    </row>
    <row r="922">
      <c r="A922" s="96"/>
    </row>
    <row r="923">
      <c r="A923" s="96"/>
    </row>
    <row r="924">
      <c r="A924" s="96"/>
    </row>
    <row r="925">
      <c r="A925" s="96"/>
    </row>
    <row r="926">
      <c r="A926" s="96"/>
    </row>
    <row r="927">
      <c r="A927" s="96"/>
    </row>
    <row r="928">
      <c r="A928" s="96"/>
    </row>
    <row r="929">
      <c r="A929" s="96"/>
    </row>
    <row r="930">
      <c r="A930" s="96"/>
    </row>
    <row r="931">
      <c r="A931" s="96"/>
    </row>
    <row r="932">
      <c r="A932" s="96"/>
    </row>
    <row r="933">
      <c r="A933" s="96"/>
    </row>
    <row r="934">
      <c r="A934" s="96"/>
    </row>
    <row r="935">
      <c r="A935" s="96"/>
    </row>
    <row r="936">
      <c r="A936" s="96"/>
    </row>
    <row r="937">
      <c r="A937" s="96"/>
    </row>
    <row r="938">
      <c r="A938" s="96"/>
    </row>
    <row r="939">
      <c r="A939" s="96"/>
    </row>
    <row r="940">
      <c r="A940" s="96"/>
    </row>
    <row r="941">
      <c r="A941" s="96"/>
    </row>
    <row r="942">
      <c r="A942" s="96"/>
    </row>
    <row r="943">
      <c r="A943" s="96"/>
    </row>
    <row r="944">
      <c r="A944" s="96"/>
    </row>
    <row r="945">
      <c r="A945" s="96"/>
    </row>
    <row r="946">
      <c r="A946" s="96"/>
    </row>
    <row r="947">
      <c r="A947" s="96"/>
    </row>
    <row r="948">
      <c r="A948" s="96"/>
    </row>
    <row r="949">
      <c r="A949" s="96"/>
    </row>
    <row r="950">
      <c r="A950" s="96"/>
    </row>
    <row r="951">
      <c r="A951" s="96"/>
    </row>
    <row r="952">
      <c r="A952" s="96"/>
    </row>
    <row r="953">
      <c r="A953" s="96"/>
    </row>
    <row r="954">
      <c r="A954" s="96"/>
    </row>
    <row r="955">
      <c r="A955" s="96"/>
    </row>
    <row r="956">
      <c r="A956" s="96"/>
    </row>
    <row r="957">
      <c r="A957" s="96"/>
    </row>
    <row r="958">
      <c r="A958" s="96"/>
    </row>
    <row r="959">
      <c r="A959" s="96"/>
    </row>
    <row r="960">
      <c r="A960" s="96"/>
    </row>
    <row r="961">
      <c r="A961" s="96"/>
    </row>
    <row r="962">
      <c r="A962" s="96"/>
    </row>
    <row r="963">
      <c r="A963" s="96"/>
    </row>
    <row r="964">
      <c r="A964" s="96"/>
    </row>
    <row r="965">
      <c r="A965" s="96"/>
    </row>
    <row r="966">
      <c r="A966" s="96"/>
    </row>
    <row r="967">
      <c r="A967" s="96"/>
    </row>
    <row r="968">
      <c r="A968" s="96"/>
    </row>
    <row r="969">
      <c r="A969" s="96"/>
    </row>
    <row r="970">
      <c r="A970" s="96"/>
    </row>
    <row r="971">
      <c r="A971" s="96"/>
    </row>
    <row r="972">
      <c r="A972" s="96"/>
    </row>
    <row r="973">
      <c r="A973" s="96"/>
    </row>
    <row r="974">
      <c r="A974" s="96"/>
    </row>
    <row r="975">
      <c r="A975" s="96"/>
    </row>
    <row r="976">
      <c r="A976" s="96"/>
    </row>
    <row r="977">
      <c r="A977" s="96"/>
    </row>
    <row r="978">
      <c r="A978" s="96"/>
    </row>
    <row r="979">
      <c r="A979" s="96"/>
    </row>
    <row r="980">
      <c r="A980" s="96"/>
    </row>
    <row r="981">
      <c r="A981" s="96"/>
    </row>
    <row r="982">
      <c r="A982" s="96"/>
    </row>
    <row r="983">
      <c r="A983" s="96"/>
    </row>
    <row r="984">
      <c r="A984" s="96"/>
    </row>
    <row r="985">
      <c r="A985" s="96"/>
    </row>
    <row r="986">
      <c r="A986" s="96"/>
    </row>
    <row r="987">
      <c r="A987" s="96"/>
    </row>
    <row r="988">
      <c r="A988" s="96"/>
    </row>
    <row r="989">
      <c r="A989" s="96"/>
    </row>
    <row r="990">
      <c r="A990" s="96"/>
    </row>
    <row r="991">
      <c r="A991" s="96"/>
    </row>
    <row r="992">
      <c r="A992" s="96"/>
    </row>
    <row r="993">
      <c r="A993" s="96"/>
    </row>
    <row r="994">
      <c r="A994" s="96"/>
    </row>
    <row r="995">
      <c r="A995" s="96"/>
    </row>
    <row r="996">
      <c r="A996" s="96"/>
    </row>
    <row r="997">
      <c r="A997" s="96"/>
    </row>
    <row r="998">
      <c r="A998" s="96"/>
    </row>
    <row r="999">
      <c r="A999" s="96"/>
    </row>
    <row r="1000">
      <c r="A1000" s="96"/>
    </row>
    <row r="1001">
      <c r="A1001" s="96"/>
    </row>
    <row r="1002">
      <c r="A1002" s="96"/>
    </row>
    <row r="1003">
      <c r="A1003" s="96"/>
    </row>
    <row r="1004">
      <c r="A1004" s="96"/>
    </row>
    <row r="1005">
      <c r="A1005" s="96"/>
    </row>
    <row r="1006">
      <c r="A1006" s="96"/>
    </row>
    <row r="1007">
      <c r="A1007" s="96"/>
    </row>
    <row r="1008">
      <c r="A1008" s="96"/>
    </row>
    <row r="1009">
      <c r="A1009" s="96"/>
    </row>
    <row r="1010">
      <c r="A1010" s="96"/>
    </row>
  </sheetData>
  <mergeCells count="7">
    <mergeCell ref="A2:A9"/>
    <mergeCell ref="A11:A30"/>
    <mergeCell ref="A33:A36"/>
    <mergeCell ref="A43:A48"/>
    <mergeCell ref="A49:A51"/>
    <mergeCell ref="A52:A54"/>
    <mergeCell ref="A71:A72"/>
  </mergeCells>
  <dataValidations>
    <dataValidation type="list" allowBlank="1" showErrorMessage="1" sqref="E14">
      <formula1>"Public,CC0,Controlled,Restricted,Not specified,CC-BY"</formula1>
    </dataValidation>
    <dataValidation type="list" allowBlank="1" showErrorMessage="1" sqref="E12">
      <formula1>"Dropdown(Character)"</formula1>
    </dataValidation>
    <dataValidation type="list" allowBlank="1" showErrorMessage="1" sqref="E15:E16 E18:E19 E25">
      <formula1>"Dropdown (Character),Dropdown(Character)"</formula1>
    </dataValidation>
    <dataValidation type="list" allowBlank="1" showErrorMessage="1" sqref="E13">
      <formula1>"Open,Private,Upon request"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4" t="s">
        <v>1070</v>
      </c>
      <c r="B1" s="115" t="s">
        <v>1073</v>
      </c>
      <c r="H1" s="120"/>
      <c r="K1" s="120" t="s">
        <v>1036</v>
      </c>
      <c r="N1" s="120"/>
    </row>
    <row r="2">
      <c r="A2" s="25" t="s">
        <v>135</v>
      </c>
      <c r="B2" s="103" t="s">
        <v>1074</v>
      </c>
      <c r="C2" s="103" t="s">
        <v>1016</v>
      </c>
      <c r="D2" s="103" t="s">
        <v>1030</v>
      </c>
      <c r="E2" s="103" t="s">
        <v>1040</v>
      </c>
      <c r="F2" s="103" t="s">
        <v>1056</v>
      </c>
      <c r="G2" s="103" t="s">
        <v>1068</v>
      </c>
      <c r="H2" s="106" t="s">
        <v>994</v>
      </c>
      <c r="I2" s="106" t="s">
        <v>1017</v>
      </c>
      <c r="J2" s="106" t="s">
        <v>1034</v>
      </c>
      <c r="K2" s="106" t="s">
        <v>1094</v>
      </c>
      <c r="L2" s="106" t="s">
        <v>1096</v>
      </c>
      <c r="M2" s="106" t="s">
        <v>1098</v>
      </c>
      <c r="N2" s="106" t="s">
        <v>1099</v>
      </c>
    </row>
    <row r="3">
      <c r="A3" s="10"/>
    </row>
    <row r="4">
      <c r="A4" s="10"/>
    </row>
  </sheetData>
  <mergeCells count="3">
    <mergeCell ref="B1:G1"/>
    <mergeCell ref="H1:J1"/>
    <mergeCell ref="K1:M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9.5"/>
    <col customWidth="1" min="3" max="3" width="12.88"/>
    <col customWidth="1" min="4" max="4" width="14.63"/>
    <col customWidth="1" min="5" max="5" width="22.38"/>
    <col customWidth="1" min="6" max="6" width="18.13"/>
    <col customWidth="1" min="7" max="7" width="27.63"/>
  </cols>
  <sheetData>
    <row r="2" ht="22.5" customHeight="1">
      <c r="A2" s="140" t="s">
        <v>1208</v>
      </c>
      <c r="B2" s="141" t="s">
        <v>1211</v>
      </c>
      <c r="C2" s="141" t="s">
        <v>1212</v>
      </c>
      <c r="D2" s="141" t="s">
        <v>1213</v>
      </c>
      <c r="E2" s="141" t="s">
        <v>1214</v>
      </c>
      <c r="F2" s="141" t="s">
        <v>1215</v>
      </c>
      <c r="G2" s="142" t="s">
        <v>1216</v>
      </c>
    </row>
    <row r="3" ht="22.5" customHeight="1">
      <c r="A3" s="144" t="s">
        <v>288</v>
      </c>
      <c r="B3" s="145">
        <v>362.0</v>
      </c>
      <c r="C3" s="146">
        <v>184.0</v>
      </c>
      <c r="D3" s="146">
        <v>326.0</v>
      </c>
      <c r="E3" s="146">
        <v>182.0</v>
      </c>
      <c r="F3" s="146">
        <v>11.0</v>
      </c>
      <c r="G3" s="147">
        <v>11.0</v>
      </c>
    </row>
    <row r="4" ht="22.5" customHeight="1">
      <c r="A4" s="144" t="s">
        <v>1231</v>
      </c>
      <c r="B4" s="146">
        <v>162.0</v>
      </c>
      <c r="C4" s="146">
        <v>94.0</v>
      </c>
      <c r="D4" s="146">
        <v>149.0</v>
      </c>
      <c r="E4" s="146">
        <v>93.0</v>
      </c>
      <c r="F4" s="146">
        <v>6.0</v>
      </c>
      <c r="G4" s="147">
        <v>6.0</v>
      </c>
    </row>
    <row r="5" ht="22.5" customHeight="1">
      <c r="A5" s="144" t="s">
        <v>1237</v>
      </c>
      <c r="B5" s="146">
        <v>2315.0</v>
      </c>
      <c r="C5" s="146">
        <v>749.0</v>
      </c>
      <c r="D5" s="146">
        <v>2024.0</v>
      </c>
      <c r="E5" s="146">
        <v>736.0</v>
      </c>
      <c r="F5" s="145">
        <v>49.0</v>
      </c>
      <c r="G5" s="147">
        <v>48.0</v>
      </c>
    </row>
    <row r="6" ht="22.5" customHeight="1">
      <c r="A6" s="144" t="s">
        <v>1239</v>
      </c>
      <c r="B6" s="91">
        <v>3091.0</v>
      </c>
      <c r="C6" s="146">
        <v>1406.0</v>
      </c>
      <c r="D6" s="91">
        <v>2790.0</v>
      </c>
      <c r="E6" s="91">
        <v>1368.0</v>
      </c>
      <c r="F6" s="91">
        <v>135.0</v>
      </c>
      <c r="G6" s="149">
        <v>132.0</v>
      </c>
    </row>
    <row r="61">
      <c r="B61" s="8" t="s">
        <v>368</v>
      </c>
      <c r="C61" s="8" t="s">
        <v>1243</v>
      </c>
    </row>
    <row r="62">
      <c r="C62" s="8" t="s">
        <v>1245</v>
      </c>
    </row>
    <row r="63">
      <c r="B63" s="8" t="s">
        <v>1246</v>
      </c>
      <c r="D63" s="8">
        <v>10.0</v>
      </c>
    </row>
    <row r="64">
      <c r="B64" s="8" t="s">
        <v>1248</v>
      </c>
      <c r="D64" s="8">
        <v>3.0</v>
      </c>
    </row>
    <row r="65">
      <c r="B65" s="8" t="s">
        <v>1249</v>
      </c>
      <c r="D65" s="8">
        <v>54.0</v>
      </c>
    </row>
  </sheetData>
  <drawing r:id="rId1"/>
  <tableParts count="1">
    <tablePart r:id="rId3"/>
  </tableParts>
</worksheet>
</file>